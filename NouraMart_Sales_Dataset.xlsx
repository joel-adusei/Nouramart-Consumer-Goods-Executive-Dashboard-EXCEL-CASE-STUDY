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EL\Documents\EXCEL PROJECTS\"/>
    </mc:Choice>
  </mc:AlternateContent>
  <xr:revisionPtr revIDLastSave="0" documentId="13_ncr:1_{9F04DB01-0C5E-4FB6-AA1B-9888EE2CEF8E}" xr6:coauthVersionLast="47" xr6:coauthVersionMax="47" xr10:uidLastSave="{00000000-0000-0000-0000-000000000000}"/>
  <bookViews>
    <workbookView xWindow="28680" yWindow="-120" windowWidth="29040" windowHeight="15990" tabRatio="500" firstSheet="2" activeTab="7" xr2:uid="{00000000-000D-0000-FFFF-FFFF00000000}"/>
  </bookViews>
  <sheets>
    <sheet name="Sales_raw_data" sheetId="1" r:id="rId1"/>
    <sheet name="Product_Lookup" sheetId="5" r:id="rId2"/>
    <sheet name="Clean_data" sheetId="12" r:id="rId3"/>
    <sheet name="New_Sales_Data" sheetId="13" r:id="rId4"/>
    <sheet name="Combined_Data" sheetId="17" r:id="rId5"/>
    <sheet name="Pivot Tables" sheetId="18" r:id="rId6"/>
    <sheet name="KPIs" sheetId="20" r:id="rId7"/>
    <sheet name="Dashboard" sheetId="19" r:id="rId8"/>
  </sheets>
  <definedNames>
    <definedName name="_xlnm._FilterDatabase" localSheetId="0" hidden="1">Sales_raw_data!$A$1:$O$124</definedName>
  </definedNames>
  <calcPr calcId="191029"/>
  <pivotCaches>
    <pivotCache cacheId="4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18" l="1"/>
  <c r="L41" i="18"/>
  <c r="L40" i="18"/>
  <c r="L39" i="18"/>
  <c r="L43" i="18"/>
  <c r="B6" i="20"/>
  <c r="B5" i="20"/>
  <c r="B4" i="20"/>
  <c r="B3" i="20"/>
  <c r="B2" i="20"/>
  <c r="N121" i="17"/>
  <c r="O121" i="17" s="1"/>
  <c r="M121" i="17"/>
  <c r="M120" i="17"/>
  <c r="N120" i="17" s="1"/>
  <c r="O120" i="17" s="1"/>
  <c r="N119" i="17"/>
  <c r="O119" i="17" s="1"/>
  <c r="M119" i="17"/>
  <c r="M118" i="17"/>
  <c r="N118" i="17" s="1"/>
  <c r="O118" i="17" s="1"/>
  <c r="M117" i="17"/>
  <c r="N117" i="17" s="1"/>
  <c r="O117" i="17" s="1"/>
  <c r="M116" i="17"/>
  <c r="N116" i="17" s="1"/>
  <c r="O116" i="17" s="1"/>
  <c r="M115" i="17"/>
  <c r="N115" i="17" s="1"/>
  <c r="O115" i="17" s="1"/>
  <c r="N114" i="17"/>
  <c r="O114" i="17" s="1"/>
  <c r="M113" i="17"/>
  <c r="N113" i="17" s="1"/>
  <c r="O113" i="17" s="1"/>
  <c r="M112" i="17"/>
  <c r="N112" i="17" s="1"/>
  <c r="O112" i="17" s="1"/>
  <c r="M111" i="17"/>
  <c r="N111" i="17" s="1"/>
  <c r="O111" i="17" s="1"/>
  <c r="M110" i="17"/>
  <c r="N110" i="17" s="1"/>
  <c r="O110" i="17" s="1"/>
  <c r="M109" i="17"/>
  <c r="N109" i="17" s="1"/>
  <c r="O109" i="17" s="1"/>
  <c r="M108" i="17"/>
  <c r="N108" i="17" s="1"/>
  <c r="O108" i="17" s="1"/>
  <c r="M107" i="17"/>
  <c r="N107" i="17" s="1"/>
  <c r="O107" i="17" s="1"/>
  <c r="M106" i="17"/>
  <c r="N106" i="17" s="1"/>
  <c r="O106" i="17" s="1"/>
  <c r="N105" i="17"/>
  <c r="O105" i="17" s="1"/>
  <c r="M104" i="17"/>
  <c r="N104" i="17" s="1"/>
  <c r="O104" i="17" s="1"/>
  <c r="M103" i="17"/>
  <c r="N103" i="17" s="1"/>
  <c r="O103" i="17" s="1"/>
  <c r="M102" i="17"/>
  <c r="N102" i="17" s="1"/>
  <c r="O102" i="17" s="1"/>
  <c r="M101" i="17"/>
  <c r="N101" i="17" s="1"/>
  <c r="O101" i="17" s="1"/>
  <c r="M100" i="17"/>
  <c r="N100" i="17" s="1"/>
  <c r="O100" i="17" s="1"/>
  <c r="M99" i="17"/>
  <c r="N99" i="17" s="1"/>
  <c r="O99" i="17" s="1"/>
  <c r="M98" i="17"/>
  <c r="N98" i="17" s="1"/>
  <c r="O98" i="17" s="1"/>
  <c r="M97" i="17"/>
  <c r="N97" i="17" s="1"/>
  <c r="O97" i="17" s="1"/>
  <c r="M96" i="17"/>
  <c r="N96" i="17" s="1"/>
  <c r="O96" i="17" s="1"/>
  <c r="M95" i="17"/>
  <c r="N95" i="17" s="1"/>
  <c r="O95" i="17" s="1"/>
  <c r="M94" i="17"/>
  <c r="N94" i="17" s="1"/>
  <c r="O94" i="17" s="1"/>
  <c r="M93" i="17"/>
  <c r="N93" i="17" s="1"/>
  <c r="O93" i="17" s="1"/>
  <c r="M92" i="17"/>
  <c r="N92" i="17" s="1"/>
  <c r="O92" i="17" s="1"/>
  <c r="N91" i="17"/>
  <c r="O91" i="17" s="1"/>
  <c r="M90" i="17"/>
  <c r="N90" i="17" s="1"/>
  <c r="O90" i="17" s="1"/>
  <c r="M89" i="17"/>
  <c r="N89" i="17" s="1"/>
  <c r="O89" i="17" s="1"/>
  <c r="M88" i="17"/>
  <c r="N88" i="17" s="1"/>
  <c r="O88" i="17" s="1"/>
  <c r="M87" i="17"/>
  <c r="N87" i="17" s="1"/>
  <c r="O87" i="17" s="1"/>
  <c r="N86" i="17"/>
  <c r="O86" i="17" s="1"/>
  <c r="M86" i="17"/>
  <c r="M85" i="17"/>
  <c r="N85" i="17" s="1"/>
  <c r="O85" i="17" s="1"/>
  <c r="N84" i="17"/>
  <c r="O84" i="17" s="1"/>
  <c r="M84" i="17"/>
  <c r="M83" i="17"/>
  <c r="N83" i="17" s="1"/>
  <c r="O83" i="17" s="1"/>
  <c r="M82" i="17"/>
  <c r="N82" i="17" s="1"/>
  <c r="O82" i="17" s="1"/>
  <c r="M81" i="17"/>
  <c r="N81" i="17" s="1"/>
  <c r="O81" i="17" s="1"/>
  <c r="N80" i="17"/>
  <c r="O80" i="17" s="1"/>
  <c r="M80" i="17"/>
  <c r="M79" i="17"/>
  <c r="N79" i="17" s="1"/>
  <c r="O79" i="17" s="1"/>
  <c r="N78" i="17"/>
  <c r="O78" i="17" s="1"/>
  <c r="M78" i="17"/>
  <c r="M77" i="17"/>
  <c r="N77" i="17" s="1"/>
  <c r="O77" i="17" s="1"/>
  <c r="M76" i="17"/>
  <c r="N76" i="17" s="1"/>
  <c r="O76" i="17" s="1"/>
  <c r="M75" i="17"/>
  <c r="N75" i="17" s="1"/>
  <c r="O75" i="17" s="1"/>
  <c r="M74" i="17"/>
  <c r="N74" i="17" s="1"/>
  <c r="O74" i="17" s="1"/>
  <c r="N73" i="17"/>
  <c r="O73" i="17" s="1"/>
  <c r="M72" i="17"/>
  <c r="N72" i="17" s="1"/>
  <c r="O72" i="17" s="1"/>
  <c r="M71" i="17"/>
  <c r="N71" i="17" s="1"/>
  <c r="O71" i="17" s="1"/>
  <c r="M70" i="17"/>
  <c r="N70" i="17" s="1"/>
  <c r="O70" i="17" s="1"/>
  <c r="M69" i="17"/>
  <c r="N69" i="17" s="1"/>
  <c r="O69" i="17" s="1"/>
  <c r="M68" i="17"/>
  <c r="N68" i="17" s="1"/>
  <c r="O68" i="17" s="1"/>
  <c r="M67" i="17"/>
  <c r="N67" i="17" s="1"/>
  <c r="O67" i="17" s="1"/>
  <c r="M66" i="17"/>
  <c r="N66" i="17" s="1"/>
  <c r="O66" i="17" s="1"/>
  <c r="M65" i="17"/>
  <c r="N65" i="17" s="1"/>
  <c r="O65" i="17" s="1"/>
  <c r="M64" i="17"/>
  <c r="N64" i="17" s="1"/>
  <c r="O64" i="17" s="1"/>
  <c r="M63" i="17"/>
  <c r="N63" i="17" s="1"/>
  <c r="O63" i="17" s="1"/>
  <c r="M62" i="17"/>
  <c r="N62" i="17" s="1"/>
  <c r="O62" i="17" s="1"/>
  <c r="M61" i="17"/>
  <c r="N61" i="17" s="1"/>
  <c r="O61" i="17" s="1"/>
  <c r="M60" i="17"/>
  <c r="N60" i="17" s="1"/>
  <c r="O60" i="17" s="1"/>
  <c r="M59" i="17"/>
  <c r="N59" i="17" s="1"/>
  <c r="O59" i="17" s="1"/>
  <c r="M58" i="17"/>
  <c r="N58" i="17" s="1"/>
  <c r="O58" i="17" s="1"/>
  <c r="N57" i="17"/>
  <c r="O57" i="17" s="1"/>
  <c r="N56" i="17"/>
  <c r="O56" i="17" s="1"/>
  <c r="M56" i="17"/>
  <c r="M55" i="17"/>
  <c r="N55" i="17" s="1"/>
  <c r="O55" i="17" s="1"/>
  <c r="M54" i="17"/>
  <c r="N54" i="17" s="1"/>
  <c r="O54" i="17" s="1"/>
  <c r="M53" i="17"/>
  <c r="N53" i="17" s="1"/>
  <c r="O53" i="17" s="1"/>
  <c r="M52" i="17"/>
  <c r="N52" i="17" s="1"/>
  <c r="O52" i="17" s="1"/>
  <c r="M51" i="17"/>
  <c r="N51" i="17" s="1"/>
  <c r="O51" i="17" s="1"/>
  <c r="N50" i="17"/>
  <c r="O50" i="17" s="1"/>
  <c r="M50" i="17"/>
  <c r="M49" i="17"/>
  <c r="N49" i="17" s="1"/>
  <c r="O49" i="17" s="1"/>
  <c r="M48" i="17"/>
  <c r="N48" i="17" s="1"/>
  <c r="O48" i="17" s="1"/>
  <c r="M47" i="17"/>
  <c r="N47" i="17" s="1"/>
  <c r="O47" i="17" s="1"/>
  <c r="M46" i="17"/>
  <c r="N46" i="17" s="1"/>
  <c r="O46" i="17" s="1"/>
  <c r="M45" i="17"/>
  <c r="N45" i="17" s="1"/>
  <c r="O45" i="17" s="1"/>
  <c r="M44" i="17"/>
  <c r="N44" i="17" s="1"/>
  <c r="O44" i="17" s="1"/>
  <c r="M43" i="17"/>
  <c r="N43" i="17" s="1"/>
  <c r="O43" i="17" s="1"/>
  <c r="M42" i="17"/>
  <c r="N42" i="17" s="1"/>
  <c r="O42" i="17" s="1"/>
  <c r="M41" i="17"/>
  <c r="N41" i="17" s="1"/>
  <c r="O41" i="17" s="1"/>
  <c r="N40" i="17"/>
  <c r="O40" i="17" s="1"/>
  <c r="N39" i="17"/>
  <c r="O39" i="17" s="1"/>
  <c r="M39" i="17"/>
  <c r="M38" i="17"/>
  <c r="N38" i="17" s="1"/>
  <c r="O38" i="17" s="1"/>
  <c r="N37" i="17"/>
  <c r="O37" i="17" s="1"/>
  <c r="M37" i="17"/>
  <c r="M36" i="17"/>
  <c r="N36" i="17" s="1"/>
  <c r="O36" i="17" s="1"/>
  <c r="M35" i="17"/>
  <c r="N35" i="17" s="1"/>
  <c r="O35" i="17" s="1"/>
  <c r="M34" i="17"/>
  <c r="N34" i="17" s="1"/>
  <c r="O34" i="17" s="1"/>
  <c r="M33" i="17"/>
  <c r="N33" i="17" s="1"/>
  <c r="O33" i="17" s="1"/>
  <c r="M32" i="17"/>
  <c r="N32" i="17" s="1"/>
  <c r="O32" i="17" s="1"/>
  <c r="N31" i="17"/>
  <c r="O31" i="17" s="1"/>
  <c r="M31" i="17"/>
  <c r="M30" i="17"/>
  <c r="N30" i="17" s="1"/>
  <c r="O30" i="17" s="1"/>
  <c r="M29" i="17"/>
  <c r="N29" i="17" s="1"/>
  <c r="O29" i="17" s="1"/>
  <c r="M28" i="17"/>
  <c r="N28" i="17" s="1"/>
  <c r="O28" i="17" s="1"/>
  <c r="M27" i="17"/>
  <c r="N27" i="17" s="1"/>
  <c r="O27" i="17" s="1"/>
  <c r="M26" i="17"/>
  <c r="N26" i="17" s="1"/>
  <c r="O26" i="17" s="1"/>
  <c r="M25" i="17"/>
  <c r="N25" i="17" s="1"/>
  <c r="O25" i="17" s="1"/>
  <c r="N24" i="17"/>
  <c r="O24" i="17" s="1"/>
  <c r="M23" i="17"/>
  <c r="N23" i="17" s="1"/>
  <c r="O23" i="17" s="1"/>
  <c r="M22" i="17"/>
  <c r="N22" i="17" s="1"/>
  <c r="O22" i="17" s="1"/>
  <c r="M21" i="17"/>
  <c r="N21" i="17" s="1"/>
  <c r="O21" i="17" s="1"/>
  <c r="M20" i="17"/>
  <c r="N20" i="17" s="1"/>
  <c r="O20" i="17" s="1"/>
  <c r="M19" i="17"/>
  <c r="N19" i="17" s="1"/>
  <c r="O19" i="17" s="1"/>
  <c r="M18" i="17"/>
  <c r="N18" i="17" s="1"/>
  <c r="O18" i="17" s="1"/>
  <c r="M17" i="17"/>
  <c r="N17" i="17" s="1"/>
  <c r="O17" i="17" s="1"/>
  <c r="N16" i="17"/>
  <c r="O16" i="17" s="1"/>
  <c r="M16" i="17"/>
  <c r="M15" i="17"/>
  <c r="N15" i="17" s="1"/>
  <c r="O15" i="17" s="1"/>
  <c r="M14" i="17"/>
  <c r="N14" i="17" s="1"/>
  <c r="O14" i="17" s="1"/>
  <c r="M13" i="17"/>
  <c r="N13" i="17" s="1"/>
  <c r="O13" i="17" s="1"/>
  <c r="M12" i="17"/>
  <c r="N12" i="17" s="1"/>
  <c r="O12" i="17" s="1"/>
  <c r="M11" i="17"/>
  <c r="N11" i="17" s="1"/>
  <c r="O11" i="17" s="1"/>
  <c r="N10" i="17"/>
  <c r="O10" i="17" s="1"/>
  <c r="M10" i="17"/>
  <c r="M9" i="17"/>
  <c r="N9" i="17" s="1"/>
  <c r="O9" i="17" s="1"/>
  <c r="N8" i="17"/>
  <c r="O8" i="17" s="1"/>
  <c r="M8" i="17"/>
  <c r="N7" i="17"/>
  <c r="O7" i="17" s="1"/>
  <c r="M6" i="17"/>
  <c r="N6" i="17" s="1"/>
  <c r="O6" i="17" s="1"/>
  <c r="N5" i="17"/>
  <c r="O5" i="17" s="1"/>
  <c r="M5" i="17"/>
  <c r="M4" i="17"/>
  <c r="N4" i="17" s="1"/>
  <c r="O4" i="17" s="1"/>
  <c r="M3" i="17"/>
  <c r="N3" i="17" s="1"/>
  <c r="O3" i="17" s="1"/>
  <c r="M2" i="17"/>
  <c r="N2" i="17" s="1"/>
  <c r="O2" i="17" s="1"/>
  <c r="O2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N2" i="12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M121" i="12"/>
  <c r="M120" i="12"/>
  <c r="M119" i="12"/>
  <c r="M118" i="12"/>
  <c r="M117" i="12"/>
  <c r="M116" i="12"/>
  <c r="M115" i="12"/>
  <c r="M113" i="12"/>
  <c r="M112" i="12"/>
  <c r="M111" i="12"/>
  <c r="M110" i="12"/>
  <c r="M109" i="12"/>
  <c r="M108" i="12"/>
  <c r="M107" i="12"/>
  <c r="M106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6" i="12"/>
  <c r="M5" i="12"/>
  <c r="M4" i="12"/>
  <c r="M3" i="12"/>
  <c r="M2" i="12"/>
</calcChain>
</file>

<file path=xl/sharedStrings.xml><?xml version="1.0" encoding="utf-8"?>
<sst xmlns="http://schemas.openxmlformats.org/spreadsheetml/2006/main" count="26333" uniqueCount="1597">
  <si>
    <t>Order ID</t>
  </si>
  <si>
    <t>Product ID</t>
  </si>
  <si>
    <t>Product Name</t>
  </si>
  <si>
    <t>Category</t>
  </si>
  <si>
    <t>Region</t>
  </si>
  <si>
    <t>Sales Channel</t>
  </si>
  <si>
    <t>Sales Rep</t>
  </si>
  <si>
    <t>Order Date</t>
  </si>
  <si>
    <t>Units Sold</t>
  </si>
  <si>
    <t>Unit Price (₦)</t>
  </si>
  <si>
    <t>Discount (%)</t>
  </si>
  <si>
    <t>Payment Status</t>
  </si>
  <si>
    <t>Total Sales (₦)</t>
  </si>
  <si>
    <t>Net Revenue (₦)</t>
  </si>
  <si>
    <t>Revenue Tier</t>
  </si>
  <si>
    <t>ORD-1001</t>
  </si>
  <si>
    <t>PKG-001</t>
  </si>
  <si>
    <t>BEVERAGES</t>
  </si>
  <si>
    <t>NORTH</t>
  </si>
  <si>
    <t>SUPERMARKET</t>
  </si>
  <si>
    <t>AMARA OSEI</t>
  </si>
  <si>
    <t>337 units</t>
  </si>
  <si>
    <t xml:space="preserve"> ₦990.00</t>
  </si>
  <si>
    <t>PAID</t>
  </si>
  <si>
    <t>ORD-1002</t>
  </si>
  <si>
    <t>PKG-002</t>
  </si>
  <si>
    <t>Snacks</t>
  </si>
  <si>
    <t>South</t>
  </si>
  <si>
    <t>Wholesaler</t>
  </si>
  <si>
    <t>Tunde Bello</t>
  </si>
  <si>
    <t>Pending</t>
  </si>
  <si>
    <t>ORD-1003</t>
  </si>
  <si>
    <t>PKG-003</t>
  </si>
  <si>
    <t>East</t>
  </si>
  <si>
    <t>Online</t>
  </si>
  <si>
    <t>Ngozi Eze</t>
  </si>
  <si>
    <t>Paid</t>
  </si>
  <si>
    <t>ORD-1004</t>
  </si>
  <si>
    <t>PKG-004</t>
  </si>
  <si>
    <t>Beverages</t>
  </si>
  <si>
    <t>West</t>
  </si>
  <si>
    <t>Convenience Store</t>
  </si>
  <si>
    <t>Emeka Okafor</t>
  </si>
  <si>
    <t>ORD-1005</t>
  </si>
  <si>
    <t>PKG-005</t>
  </si>
  <si>
    <t>Central</t>
  </si>
  <si>
    <t>Pharmacy</t>
  </si>
  <si>
    <t>Fatima Musa</t>
  </si>
  <si>
    <t>ORD-1006</t>
  </si>
  <si>
    <t>PKG-006</t>
  </si>
  <si>
    <t>Baked Goods</t>
  </si>
  <si>
    <t>North</t>
  </si>
  <si>
    <t>Supermarket</t>
  </si>
  <si>
    <t>Chidi Nwosu</t>
  </si>
  <si>
    <t>ORD-1007</t>
  </si>
  <si>
    <t>PKG-007</t>
  </si>
  <si>
    <t>Amara Osei</t>
  </si>
  <si>
    <t>ORD-1008</t>
  </si>
  <si>
    <t>PKG-008</t>
  </si>
  <si>
    <t>Breakfast</t>
  </si>
  <si>
    <t>ORD-1009</t>
  </si>
  <si>
    <t>PKG-009</t>
  </si>
  <si>
    <t>ORD-1010</t>
  </si>
  <si>
    <t>PKG-010</t>
  </si>
  <si>
    <t>ORD-1011</t>
  </si>
  <si>
    <t>ORD-1012</t>
  </si>
  <si>
    <t xml:space="preserve">  Snacks  </t>
  </si>
  <si>
    <t xml:space="preserve">  South  </t>
  </si>
  <si>
    <t xml:space="preserve">  Wholesaler  </t>
  </si>
  <si>
    <t xml:space="preserve">  Chidi Nwosu  </t>
  </si>
  <si>
    <t xml:space="preserve">  Pending  </t>
  </si>
  <si>
    <t>ORD-1013</t>
  </si>
  <si>
    <t>ORD-1014</t>
  </si>
  <si>
    <t>ORD-1015</t>
  </si>
  <si>
    <t>ORD-1016</t>
  </si>
  <si>
    <t>ORD-1017</t>
  </si>
  <si>
    <t>ORD-1018</t>
  </si>
  <si>
    <t>BREAKFAST</t>
  </si>
  <si>
    <t>EAST</t>
  </si>
  <si>
    <t>ONLINE</t>
  </si>
  <si>
    <t>CHIDI NWOSU</t>
  </si>
  <si>
    <t>ORD-1019</t>
  </si>
  <si>
    <t>ORD-1020</t>
  </si>
  <si>
    <t xml:space="preserve"> ₦750.00</t>
  </si>
  <si>
    <t>ORD-1021</t>
  </si>
  <si>
    <t>ORD-1022</t>
  </si>
  <si>
    <t>ORD-1023</t>
  </si>
  <si>
    <t xml:space="preserve">  East  </t>
  </si>
  <si>
    <t xml:space="preserve">  Online  </t>
  </si>
  <si>
    <t xml:space="preserve">  Fatima Musa  </t>
  </si>
  <si>
    <t xml:space="preserve">  Paid  </t>
  </si>
  <si>
    <t>ORD-1024</t>
  </si>
  <si>
    <t>beverages</t>
  </si>
  <si>
    <t>west</t>
  </si>
  <si>
    <t>convenience store</t>
  </si>
  <si>
    <t>chidi nwosu</t>
  </si>
  <si>
    <t>paid</t>
  </si>
  <si>
    <t>ORD-1025</t>
  </si>
  <si>
    <t>ORD-1026</t>
  </si>
  <si>
    <t>152 units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</si>
  <si>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</si>
  <si>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</si>
  <si>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</si>
  <si>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</si>
  <si>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</si>
  <si>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</si>
  <si>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</si>
  <si>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</si>
  <si>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 xml:space="preserve">  Beverages  </t>
  </si>
  <si>
    <t xml:space="preserve">  West  </t>
  </si>
  <si>
    <t xml:space="preserve">  Convenience Store  </t>
  </si>
  <si>
    <t xml:space="preserve">  Emeka Okafor  </t>
  </si>
  <si>
    <t>ORD-1035</t>
  </si>
  <si>
    <t>CENTRAL</t>
  </si>
  <si>
    <t>PHARMACY</t>
  </si>
  <si>
    <t>FATIMA MUSA</t>
  </si>
  <si>
    <t>PENDING</t>
  </si>
  <si>
    <t>ORD-1036</t>
  </si>
  <si>
    <t>ORD-1037</t>
  </si>
  <si>
    <t>ORD-1038</t>
  </si>
  <si>
    <t>ORD-1039</t>
  </si>
  <si>
    <t xml:space="preserve"> ₦280.00</t>
  </si>
  <si>
    <t>ORD-1040</t>
  </si>
  <si>
    <t>ORD-1041</t>
  </si>
  <si>
    <t>ORD-1042</t>
  </si>
  <si>
    <t>ORD-1043</t>
  </si>
  <si>
    <t>ORD-1044</t>
  </si>
  <si>
    <t>ORD-1045</t>
  </si>
  <si>
    <t xml:space="preserve">  Central  </t>
  </si>
  <si>
    <t xml:space="preserve">  Pharmacy  </t>
  </si>
  <si>
    <t xml:space="preserve">  Ngozi Eze  </t>
  </si>
  <si>
    <t>ORD-1046</t>
  </si>
  <si>
    <t>ORD-1047</t>
  </si>
  <si>
    <t>south</t>
  </si>
  <si>
    <t>wholesaler</t>
  </si>
  <si>
    <t>fatima musa</t>
  </si>
  <si>
    <t>pending</t>
  </si>
  <si>
    <t>ORD-1048</t>
  </si>
  <si>
    <t>ORD-1049</t>
  </si>
  <si>
    <t>ORD-1050</t>
  </si>
  <si>
    <t>ORD-1051</t>
  </si>
  <si>
    <t>315 units</t>
  </si>
  <si>
    <t>ORD-1052</t>
  </si>
  <si>
    <t>SNACKS</t>
  </si>
  <si>
    <t>SOUTH</t>
  </si>
  <si>
    <t>WHOLESALER</t>
  </si>
  <si>
    <t>EMEKA OKAFOR</t>
  </si>
  <si>
    <t>ORD-1053</t>
  </si>
  <si>
    <t>ORD-1054</t>
  </si>
  <si>
    <t>ORD-1055</t>
  </si>
  <si>
    <t>ORD-1056</t>
  </si>
  <si>
    <t xml:space="preserve">  Baked Goods  </t>
  </si>
  <si>
    <t xml:space="preserve">  North  </t>
  </si>
  <si>
    <t xml:space="preserve">  Supermarket  </t>
  </si>
  <si>
    <t xml:space="preserve">  Tunde Bello  </t>
  </si>
  <si>
    <t>ORD-1057</t>
  </si>
  <si>
    <t>ORD-1058</t>
  </si>
  <si>
    <t xml:space="preserve"> ₦2800.00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</si>
  <si>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</si>
  <si>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</si>
  <si>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</si>
  <si>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</si>
  <si>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</si>
  <si>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</si>
  <si>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</si>
  <si>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</si>
  <si>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</si>
  <si>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 xml:space="preserve">  Amara Osei  </t>
  </si>
  <si>
    <t>ORD-1068</t>
  </si>
  <si>
    <t>ORD-1069</t>
  </si>
  <si>
    <t>WEST</t>
  </si>
  <si>
    <t>CONVENIENCE STORE</t>
  </si>
  <si>
    <t>NGOZI EZE</t>
  </si>
  <si>
    <t>ORD-1070</t>
  </si>
  <si>
    <t>baked goods</t>
  </si>
  <si>
    <t>central</t>
  </si>
  <si>
    <t>pharmacy</t>
  </si>
  <si>
    <t>emeka okafor</t>
  </si>
  <si>
    <t>ORD-1071</t>
  </si>
  <si>
    <t>ORD-1072</t>
  </si>
  <si>
    <t>ORD-1073</t>
  </si>
  <si>
    <t>ORD-1074</t>
  </si>
  <si>
    <t>ORD-1075</t>
  </si>
  <si>
    <t>ORD-1076</t>
  </si>
  <si>
    <t>253 units</t>
  </si>
  <si>
    <t>ORD-1077</t>
  </si>
  <si>
    <t xml:space="preserve"> ₦650.00</t>
  </si>
  <si>
    <t>ORD-1078</t>
  </si>
  <si>
    <t xml:space="preserve">  Breakfast  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</si>
  <si>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</si>
  <si>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</si>
  <si>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</si>
  <si>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</si>
  <si>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</si>
  <si>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</si>
  <si>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</si>
  <si>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</si>
  <si>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BAKED GOODS</t>
  </si>
  <si>
    <t>TUNDE BELLO</t>
  </si>
  <si>
    <t>ORD-1087</t>
  </si>
  <si>
    <t>ORD-1088</t>
  </si>
  <si>
    <t>ORD-1089</t>
  </si>
  <si>
    <t>ORD-1090</t>
  </si>
  <si>
    <t>ORD-1091</t>
  </si>
  <si>
    <t>ORD-1092</t>
  </si>
  <si>
    <t>ORD-1093</t>
  </si>
  <si>
    <t>snacks</t>
  </si>
  <si>
    <t>east</t>
  </si>
  <si>
    <t>online</t>
  </si>
  <si>
    <t>ngozi eze</t>
  </si>
  <si>
    <t>ORD-1094</t>
  </si>
  <si>
    <t>ORD-1095</t>
  </si>
  <si>
    <t>ORD-1096</t>
  </si>
  <si>
    <t xml:space="preserve"> ₦895.0</t>
  </si>
  <si>
    <t>ORD-1097</t>
  </si>
  <si>
    <t>ORD-1098</t>
  </si>
  <si>
    <t>ORD-1099</t>
  </si>
  <si>
    <t>ORD-1100</t>
  </si>
  <si>
    <t>ORD-1101</t>
  </si>
  <si>
    <t>65 units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</si>
  <si>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</si>
  <si>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</si>
  <si>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</si>
  <si>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</si>
  <si>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</si>
  <si>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</si>
  <si>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</si>
  <si>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</si>
  <si>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</si>
  <si>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</si>
  <si>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</si>
  <si>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</si>
  <si>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</si>
  <si>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</si>
  <si>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 xml:space="preserve"> ₦200.0</t>
  </si>
  <si>
    <t>ORD-1116</t>
  </si>
  <si>
    <t>north</t>
  </si>
  <si>
    <t>supermarket</t>
  </si>
  <si>
    <t>tunde bello</t>
  </si>
  <si>
    <t>ORD-1117</t>
  </si>
  <si>
    <t>ORD-1118</t>
  </si>
  <si>
    <t>ORD-1119</t>
  </si>
  <si>
    <t>ORD-1120</t>
  </si>
  <si>
    <t>Category Code</t>
  </si>
  <si>
    <t>CrispBite Corn Chips 100g</t>
  </si>
  <si>
    <t>SNK</t>
  </si>
  <si>
    <t>CrispBite Potato Chips 150g</t>
  </si>
  <si>
    <t>DailyBrew Green Tea 25 bags</t>
  </si>
  <si>
    <t>BEV</t>
  </si>
  <si>
    <t>FreshSip Mango Juice 500ml</t>
  </si>
  <si>
    <t>FreshSip Orange Juice 1L</t>
  </si>
  <si>
    <t>GoldenBite Biscuits 200g</t>
  </si>
  <si>
    <t>BAK</t>
  </si>
  <si>
    <t>GoldenBite Chocolate Cookies 150g</t>
  </si>
  <si>
    <t>HealthPure Bottled Water 500ml</t>
  </si>
  <si>
    <t>NutriMix Cereal Box 500g</t>
  </si>
  <si>
    <t>BRK</t>
  </si>
  <si>
    <t>NutriMix Granola Bar</t>
  </si>
  <si>
    <t>PKG-011</t>
  </si>
  <si>
    <t>NouraMart Protein Bar 60g</t>
  </si>
  <si>
    <t>PKG-012</t>
  </si>
  <si>
    <t>ZestSip Citrus Drink 350ml</t>
  </si>
  <si>
    <t>PKG-013</t>
  </si>
  <si>
    <t>GoldenBite Oat Cookies 180g</t>
  </si>
  <si>
    <t>ORD-2001</t>
  </si>
  <si>
    <t>Low</t>
  </si>
  <si>
    <t>ORD-2002</t>
  </si>
  <si>
    <t>Medium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</si>
  <si>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</si>
  <si>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</si>
  <si>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</si>
  <si>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</si>
  <si>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</si>
  <si>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</si>
  <si>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</si>
  <si>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</si>
  <si>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</si>
  <si>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High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</si>
  <si>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</si>
  <si>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</si>
  <si>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</si>
  <si>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</si>
  <si>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</si>
  <si>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</si>
  <si>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</si>
  <si>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</si>
  <si>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</si>
  <si>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</si>
  <si>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</si>
  <si>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</si>
  <si>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</si>
  <si>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</si>
  <si>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</si>
  <si>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</si>
  <si>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</si>
  <si>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</si>
  <si>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</si>
  <si>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</si>
  <si>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</si>
  <si>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</si>
  <si>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</si>
  <si>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</si>
  <si>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</si>
  <si>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</si>
  <si>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</si>
  <si>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</si>
  <si>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</si>
  <si>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</si>
  <si>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</si>
  <si>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</si>
  <si>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</si>
  <si>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</si>
  <si>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</si>
  <si>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</si>
  <si>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</si>
  <si>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</si>
  <si>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</si>
  <si>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</si>
  <si>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</si>
  <si>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</si>
  <si>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</si>
  <si>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</si>
  <si>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</si>
  <si>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</si>
  <si>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</si>
  <si>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</si>
  <si>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</si>
  <si>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</si>
  <si>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</si>
  <si>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</si>
  <si>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</si>
  <si>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</si>
  <si>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</si>
  <si>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</si>
  <si>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</si>
  <si>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</si>
  <si>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</si>
  <si>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</si>
  <si>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</si>
  <si>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</si>
  <si>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</si>
  <si>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</si>
  <si>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</si>
  <si>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</si>
  <si>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</si>
  <si>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</si>
  <si>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</si>
  <si>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</si>
  <si>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</si>
  <si>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</si>
  <si>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</si>
  <si>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</si>
  <si>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</si>
  <si>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</si>
  <si>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</si>
  <si>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</si>
  <si>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</si>
  <si>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</si>
  <si>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</si>
  <si>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</si>
  <si>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</si>
  <si>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</si>
  <si>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</si>
  <si>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</si>
  <si>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</si>
  <si>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</si>
  <si>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</si>
  <si>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</si>
  <si>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</si>
  <si>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</si>
  <si>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</si>
  <si>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</si>
  <si>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</si>
  <si>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</si>
  <si>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</si>
  <si>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</si>
  <si>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</si>
  <si>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</si>
  <si>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</si>
  <si>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</si>
  <si>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</si>
  <si>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</si>
  <si>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</si>
  <si>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</si>
  <si>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</si>
  <si>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</si>
  <si>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</si>
  <si>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</si>
  <si>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</si>
  <si>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</si>
  <si>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</si>
  <si>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</si>
  <si>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</si>
  <si>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</si>
  <si>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</si>
  <si>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</si>
  <si>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</si>
  <si>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</si>
  <si>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</si>
  <si>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</si>
  <si>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</si>
  <si>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</si>
  <si>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</si>
  <si>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</si>
  <si>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</si>
  <si>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</si>
  <si>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</si>
  <si>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</si>
  <si>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</si>
  <si>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</si>
  <si>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</si>
  <si>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</si>
  <si>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</si>
  <si>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</si>
  <si>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</si>
  <si>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</si>
  <si>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</si>
  <si>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</si>
  <si>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</si>
  <si>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</si>
  <si>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</si>
  <si>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</si>
  <si>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</si>
  <si>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</si>
  <si>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</si>
  <si>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</si>
  <si>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</si>
  <si>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</si>
  <si>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</si>
  <si>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</si>
  <si>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</si>
  <si>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</si>
  <si>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</si>
  <si>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</si>
  <si>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</si>
  <si>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</si>
  <si>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</si>
  <si>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</si>
  <si>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</si>
  <si>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</si>
  <si>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</si>
  <si>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</si>
  <si>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</si>
  <si>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</si>
  <si>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</si>
  <si>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</si>
  <si>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</si>
  <si>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</si>
  <si>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</si>
  <si>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</si>
  <si>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</si>
  <si>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</si>
  <si>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</si>
  <si>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</si>
  <si>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</si>
  <si>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</si>
  <si>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</si>
  <si>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</si>
  <si>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</si>
  <si>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</si>
  <si>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</si>
  <si>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</si>
  <si>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</si>
  <si>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</si>
  <si>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</si>
  <si>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</si>
  <si>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</si>
  <si>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</si>
  <si>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</si>
  <si>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</si>
  <si>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</si>
  <si>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</si>
  <si>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</si>
  <si>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</si>
  <si>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</si>
  <si>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</si>
  <si>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</si>
  <si>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</si>
  <si>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</si>
  <si>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</si>
  <si>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</si>
  <si>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</si>
  <si>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</si>
  <si>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</si>
  <si>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</si>
  <si>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</si>
  <si>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</si>
  <si>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</si>
  <si>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</si>
  <si>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</si>
  <si>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</si>
  <si>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</si>
  <si>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</si>
  <si>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</si>
  <si>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</si>
  <si>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</si>
  <si>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</si>
  <si>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</si>
  <si>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</si>
  <si>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</si>
  <si>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</si>
  <si>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</si>
  <si>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</si>
  <si>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</si>
  <si>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</si>
  <si>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</si>
  <si>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</si>
  <si>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</si>
  <si>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</si>
  <si>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</si>
  <si>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</si>
  <si>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</si>
  <si>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</si>
  <si>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</si>
  <si>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</si>
  <si>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</si>
  <si>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</si>
  <si>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</si>
  <si>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</si>
  <si>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</si>
  <si>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</si>
  <si>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</si>
  <si>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</si>
  <si>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</si>
  <si>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</si>
  <si>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</si>
  <si>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</si>
  <si>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</si>
  <si>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</si>
  <si>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</si>
  <si>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</si>
  <si>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</si>
  <si>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</si>
  <si>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</si>
  <si>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</si>
  <si>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</si>
  <si>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</si>
  <si>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</si>
  <si>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</si>
  <si>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</si>
  <si>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</si>
  <si>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</si>
  <si>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</si>
  <si>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</si>
  <si>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</si>
  <si>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</si>
  <si>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</si>
  <si>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</si>
  <si>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</si>
  <si>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</si>
  <si>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</si>
  <si>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</si>
  <si>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</si>
  <si>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</si>
  <si>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</si>
  <si>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</si>
  <si>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</si>
  <si>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</si>
  <si>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</si>
  <si>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</si>
  <si>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</si>
  <si>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</si>
  <si>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</si>
  <si>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</si>
  <si>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</si>
  <si>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</si>
  <si>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</si>
  <si>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</si>
  <si>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</si>
  <si>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</si>
  <si>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</si>
  <si>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</si>
  <si>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</si>
  <si>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</si>
  <si>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</si>
  <si>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</si>
  <si>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</si>
  <si>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</si>
  <si>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</si>
  <si>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</si>
  <si>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</si>
  <si>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</si>
  <si>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</si>
  <si>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</si>
  <si>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</si>
  <si>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</si>
  <si>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</si>
  <si>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</si>
  <si>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</si>
  <si>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</si>
  <si>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</si>
  <si>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</si>
  <si>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</si>
  <si>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</si>
  <si>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</si>
  <si>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</si>
  <si>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</si>
  <si>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</si>
  <si>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</si>
  <si>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</si>
  <si>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</si>
  <si>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</si>
  <si>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</si>
  <si>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</si>
  <si>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</si>
  <si>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</si>
  <si>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</si>
  <si>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</si>
  <si>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</si>
  <si>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</si>
  <si>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</si>
  <si>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</si>
  <si>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</si>
  <si>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</si>
  <si>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</si>
  <si>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</si>
  <si>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</si>
  <si>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</si>
  <si>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</si>
  <si>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</si>
  <si>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</si>
  <si>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</si>
  <si>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</si>
  <si>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</si>
  <si>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</si>
  <si>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</si>
  <si>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</si>
  <si>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</si>
  <si>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</si>
  <si>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</si>
  <si>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</si>
  <si>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</si>
  <si>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</si>
  <si>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</si>
  <si>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</si>
  <si>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</si>
  <si>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</si>
  <si>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</si>
  <si>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</si>
  <si>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</si>
  <si>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</si>
  <si>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</si>
  <si>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</si>
  <si>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</si>
  <si>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</si>
  <si>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</si>
  <si>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</si>
  <si>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</si>
  <si>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</si>
  <si>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</si>
  <si>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</si>
  <si>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</si>
  <si>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</si>
  <si>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</si>
  <si>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</si>
  <si>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</si>
  <si>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</si>
  <si>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</si>
  <si>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</si>
  <si>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</si>
  <si>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</si>
  <si>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</si>
  <si>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</si>
  <si>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</si>
  <si>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</si>
  <si>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</si>
  <si>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</si>
  <si>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</si>
  <si>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</si>
  <si>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</si>
  <si>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</si>
  <si>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</si>
  <si>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</si>
  <si>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</si>
  <si>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</si>
  <si>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</si>
  <si>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</si>
  <si>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</si>
  <si>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</si>
  <si>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</si>
  <si>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</si>
  <si>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</si>
  <si>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</si>
  <si>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</si>
  <si>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</si>
  <si>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</si>
  <si>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</si>
  <si>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</si>
  <si>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</si>
  <si>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</si>
  <si>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</si>
  <si>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</si>
  <si>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</si>
  <si>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</si>
  <si>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</si>
  <si>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</si>
  <si>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</si>
  <si>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</si>
  <si>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</si>
  <si>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</si>
  <si>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</si>
  <si>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</si>
  <si>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</si>
  <si>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</si>
  <si>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</si>
  <si>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</si>
  <si>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</si>
  <si>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</si>
  <si>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</si>
  <si>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</si>
  <si>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</si>
  <si>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</si>
  <si>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</si>
  <si>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</si>
  <si>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</si>
  <si>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</si>
  <si>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</si>
  <si>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</si>
  <si>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</si>
  <si>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</si>
  <si>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</si>
  <si>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</si>
  <si>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</si>
  <si>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</si>
  <si>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</si>
  <si>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</si>
  <si>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</si>
  <si>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</si>
  <si>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</si>
  <si>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</si>
  <si>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</si>
  <si>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</si>
  <si>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</si>
  <si>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</si>
  <si>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</si>
  <si>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</si>
  <si>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</si>
  <si>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</si>
  <si>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</si>
  <si>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</si>
  <si>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</si>
  <si>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</si>
  <si>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</si>
  <si>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</si>
  <si>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</si>
  <si>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</si>
  <si>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</si>
  <si>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</si>
  <si>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</si>
  <si>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</si>
  <si>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</si>
  <si>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</si>
  <si>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</si>
  <si>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</si>
  <si>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</si>
  <si>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</si>
  <si>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</si>
  <si>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</si>
  <si>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</si>
  <si>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</si>
  <si>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</si>
  <si>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</si>
  <si>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</si>
  <si>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</si>
  <si>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</si>
  <si>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</si>
  <si>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</si>
  <si>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</si>
  <si>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</si>
  <si>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</si>
  <si>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</si>
  <si>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</si>
  <si>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</si>
  <si>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</si>
  <si>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</si>
  <si>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</si>
  <si>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</si>
  <si>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</si>
  <si>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</si>
  <si>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</si>
  <si>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</si>
  <si>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</si>
  <si>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</si>
  <si>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</si>
  <si>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</si>
  <si>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</si>
  <si>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</si>
  <si>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</si>
  <si>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</si>
  <si>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</si>
  <si>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</si>
  <si>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</si>
  <si>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</si>
  <si>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</si>
  <si>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</si>
  <si>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</si>
  <si>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</si>
  <si>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</si>
  <si>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</si>
  <si>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</si>
  <si>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</si>
  <si>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</si>
  <si>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</si>
  <si>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</si>
  <si>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</si>
  <si>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</si>
  <si>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</si>
  <si>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</si>
  <si>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</si>
  <si>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</si>
  <si>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</si>
  <si>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</si>
  <si>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</si>
  <si>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</si>
  <si>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</si>
  <si>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</si>
  <si>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</si>
  <si>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</si>
  <si>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</si>
  <si>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</si>
  <si>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</si>
  <si>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</si>
  <si>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</si>
  <si>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</si>
  <si>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</si>
  <si>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</si>
  <si>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</si>
  <si>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</si>
  <si>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</si>
  <si>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</si>
  <si>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</si>
  <si>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</si>
  <si>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</si>
  <si>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</si>
  <si>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</si>
  <si>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</si>
  <si>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</si>
  <si>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</si>
  <si>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</si>
  <si>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</si>
  <si>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</si>
  <si>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</si>
  <si>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</si>
  <si>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</si>
  <si>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</si>
  <si>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</si>
  <si>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</si>
  <si>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</si>
  <si>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</si>
  <si>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</si>
  <si>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</si>
  <si>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</si>
  <si>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</si>
  <si>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</si>
  <si>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</si>
  <si>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</si>
  <si>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</si>
  <si>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</si>
  <si>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</si>
  <si>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</si>
  <si>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</si>
  <si>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</si>
  <si>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</si>
  <si>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</si>
  <si>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</si>
  <si>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</si>
  <si>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</si>
  <si>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</si>
  <si>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</si>
  <si>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</si>
  <si>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</si>
  <si>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</si>
  <si>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</si>
  <si>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</si>
  <si>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</si>
  <si>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</si>
  <si>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</si>
  <si>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</si>
  <si>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</si>
  <si>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</si>
  <si>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</si>
  <si>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</si>
  <si>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</si>
  <si>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</si>
  <si>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</si>
  <si>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</si>
  <si>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</si>
  <si>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</si>
  <si>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</si>
  <si>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</si>
  <si>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</si>
  <si>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</si>
  <si>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</si>
  <si>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</si>
  <si>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</si>
  <si>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</si>
  <si>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</si>
  <si>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</si>
  <si>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</si>
  <si>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</si>
  <si>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</si>
  <si>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</si>
  <si>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</si>
  <si>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</si>
  <si>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</si>
  <si>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</si>
  <si>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</si>
  <si>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</si>
  <si>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</si>
  <si>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</si>
  <si>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</si>
  <si>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</si>
  <si>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</si>
  <si>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</si>
  <si>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</si>
  <si>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</si>
  <si>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</si>
  <si>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</si>
  <si>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</si>
  <si>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</si>
  <si>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</si>
  <si>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</si>
  <si>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</si>
  <si>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</si>
  <si>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</si>
  <si>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</si>
  <si>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</si>
  <si>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</si>
  <si>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</si>
  <si>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</si>
  <si>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</si>
  <si>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</si>
  <si>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</si>
  <si>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</si>
  <si>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</si>
  <si>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</si>
  <si>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</si>
  <si>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</si>
  <si>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</si>
  <si>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</si>
  <si>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</si>
  <si>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</si>
  <si>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</si>
  <si>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</si>
  <si>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</si>
  <si>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</si>
  <si>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</si>
  <si>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</si>
  <si>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</si>
  <si>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</si>
  <si>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</si>
  <si>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</si>
  <si>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</si>
  <si>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</si>
  <si>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</si>
  <si>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</si>
  <si>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</si>
  <si>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</si>
  <si>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</si>
  <si>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</si>
  <si>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</si>
  <si>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</si>
  <si>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</si>
  <si>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</si>
  <si>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</si>
  <si>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</si>
  <si>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</si>
  <si>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</si>
  <si>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</si>
  <si>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</si>
  <si>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</si>
  <si>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</si>
  <si>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</si>
  <si>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</si>
  <si>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</si>
  <si>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</si>
  <si>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</si>
  <si>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</si>
  <si>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</si>
  <si>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</si>
  <si>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</si>
  <si>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</si>
  <si>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</si>
  <si>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</si>
  <si>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</si>
  <si>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</si>
  <si>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</si>
  <si>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</si>
  <si>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</si>
  <si>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</si>
  <si>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</si>
  <si>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</si>
  <si>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</si>
  <si>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</si>
  <si>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</si>
  <si>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</si>
  <si>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</si>
  <si>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</si>
  <si>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</si>
  <si>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</si>
  <si>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</si>
  <si>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</si>
  <si>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</si>
  <si>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</si>
  <si>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</si>
  <si>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</si>
  <si>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</si>
  <si>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</si>
  <si>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</si>
  <si>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</si>
  <si>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</si>
  <si>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</si>
  <si>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</si>
  <si>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</si>
  <si>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</si>
  <si>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</si>
  <si>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</si>
  <si>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</si>
  <si>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</si>
  <si>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</si>
  <si>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</si>
  <si>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</si>
  <si>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</si>
  <si>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</si>
  <si>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</si>
  <si>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</si>
  <si>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</si>
  <si>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</si>
  <si>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</si>
  <si>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</si>
  <si>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</si>
  <si>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</si>
  <si>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</si>
  <si>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</si>
  <si>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</si>
  <si>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</si>
  <si>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</si>
  <si>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</si>
  <si>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</si>
  <si>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</si>
  <si>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</si>
  <si>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</si>
  <si>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</si>
  <si>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</si>
  <si>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</si>
  <si>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</si>
  <si>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</si>
  <si>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</si>
  <si>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</si>
  <si>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</si>
  <si>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</si>
  <si>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</si>
  <si>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</si>
  <si>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</si>
  <si>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</si>
  <si>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</si>
  <si>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</si>
  <si>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</si>
  <si>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</si>
  <si>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</si>
  <si>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</si>
  <si>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</si>
  <si>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</si>
  <si>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</si>
  <si>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</si>
  <si>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</si>
  <si>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</si>
  <si>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</si>
  <si>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</si>
  <si>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</si>
  <si>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</si>
  <si>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</si>
  <si>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</si>
  <si>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</si>
  <si>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</si>
  <si>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</si>
  <si>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</si>
  <si>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</si>
  <si>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</si>
  <si>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</si>
  <si>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</si>
  <si>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</si>
  <si>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</si>
  <si>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</si>
  <si>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</si>
  <si>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</si>
  <si>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</si>
  <si>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</si>
  <si>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</si>
  <si>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</si>
  <si>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</si>
  <si>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</si>
  <si>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</si>
  <si>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</si>
  <si>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</si>
  <si>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</si>
  <si>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</si>
  <si>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</si>
  <si>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</si>
  <si>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</si>
  <si>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</si>
  <si>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</si>
  <si>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</si>
  <si>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</si>
  <si>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</si>
  <si>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</si>
  <si>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</si>
  <si>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</si>
  <si>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</si>
  <si>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</si>
  <si>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</si>
  <si>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</si>
  <si>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</si>
  <si>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</si>
  <si>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</si>
  <si>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</si>
  <si>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</si>
  <si>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</si>
  <si>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</si>
  <si>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</si>
  <si>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</si>
  <si>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</si>
  <si>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</si>
  <si>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</si>
  <si>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</si>
  <si>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</si>
  <si>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</si>
  <si>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</si>
  <si>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</si>
  <si>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</si>
  <si>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</si>
  <si>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</si>
  <si>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</si>
  <si>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</si>
  <si>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</si>
  <si>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</si>
  <si>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</si>
  <si>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</si>
  <si>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</si>
  <si>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</si>
  <si>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</si>
  <si>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</si>
  <si>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</si>
  <si>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</si>
  <si>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</si>
  <si>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</si>
  <si>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</si>
  <si>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</si>
  <si>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</si>
  <si>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</si>
  <si>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</si>
  <si>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</si>
  <si>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</si>
  <si>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</si>
  <si>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</si>
  <si>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</si>
  <si>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</si>
  <si>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</si>
  <si>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</si>
  <si>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</si>
  <si>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</si>
  <si>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</si>
  <si>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</si>
  <si>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</si>
  <si>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</si>
  <si>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</si>
  <si>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</si>
  <si>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</si>
  <si>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</si>
  <si>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</si>
  <si>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</si>
  <si>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</si>
  <si>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</si>
  <si>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</si>
  <si>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</si>
  <si>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</si>
  <si>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</si>
  <si>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</si>
  <si>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</si>
  <si>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</si>
  <si>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</si>
  <si>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</si>
  <si>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</si>
  <si>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</si>
  <si>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</si>
  <si>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</si>
  <si>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</si>
  <si>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</si>
  <si>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</si>
  <si>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</si>
  <si>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</si>
  <si>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</si>
  <si>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</si>
  <si>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</si>
  <si>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</si>
  <si>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</si>
  <si>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</si>
  <si>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</si>
  <si>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</si>
  <si>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</si>
  <si>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</si>
  <si>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</si>
  <si>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</si>
  <si>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</si>
  <si>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</si>
  <si>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</si>
  <si>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</si>
  <si>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</si>
  <si>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</si>
  <si>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</si>
  <si>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</si>
  <si>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</si>
  <si>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</si>
  <si>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</si>
  <si>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</si>
  <si>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</si>
  <si>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</si>
  <si>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</si>
  <si>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</si>
  <si>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</si>
  <si>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</si>
  <si>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</si>
  <si>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</si>
  <si>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</si>
  <si>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</si>
  <si>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</si>
  <si>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</si>
  <si>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</si>
  <si>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</si>
  <si>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</si>
  <si>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</si>
  <si>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</si>
  <si>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</si>
  <si>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</si>
  <si>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</si>
  <si>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</si>
  <si>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</si>
  <si>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</si>
  <si>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</si>
  <si>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</si>
  <si>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</si>
  <si>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</si>
  <si>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</si>
  <si>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</si>
  <si>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</si>
  <si>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</si>
  <si>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</si>
  <si>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</si>
  <si>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</si>
  <si>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</si>
  <si>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</si>
  <si>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</si>
  <si>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</si>
  <si>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</si>
  <si>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</si>
  <si>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</si>
  <si>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</si>
  <si>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</si>
  <si>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</si>
  <si>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</si>
  <si>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</si>
  <si>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</si>
  <si>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</si>
  <si>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</si>
  <si>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</si>
  <si>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</si>
  <si>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</si>
  <si>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</si>
  <si>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</si>
  <si>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</si>
  <si>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</si>
  <si>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</si>
  <si>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</si>
  <si>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</si>
  <si>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</si>
  <si>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</si>
  <si>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</si>
  <si>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</si>
  <si>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</si>
  <si>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</si>
  <si>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</si>
  <si>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</si>
  <si>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</si>
  <si>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</si>
  <si>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</si>
  <si>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</si>
  <si>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</si>
  <si>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</si>
  <si>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</si>
  <si>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</si>
  <si>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</si>
  <si>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</si>
  <si>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</si>
  <si>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</si>
  <si>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</si>
  <si>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</si>
  <si>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</si>
  <si>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</si>
  <si>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</si>
  <si>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</si>
  <si>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</si>
  <si>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</si>
  <si>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</si>
  <si>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</si>
  <si>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</si>
  <si>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</si>
  <si>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</si>
  <si>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</si>
  <si>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</si>
  <si>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</si>
  <si>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</si>
  <si>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</si>
  <si>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</si>
  <si>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</si>
  <si>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</si>
  <si>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</si>
  <si>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</si>
  <si>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</si>
  <si>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</si>
  <si>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</si>
  <si>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</si>
  <si>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</si>
  <si>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</si>
  <si>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</si>
  <si>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</si>
  <si>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</si>
  <si>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</si>
  <si>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</si>
  <si>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</si>
  <si>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</si>
  <si>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</si>
  <si>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</si>
  <si>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</si>
  <si>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</si>
  <si>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</si>
  <si>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</si>
  <si>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</si>
  <si>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</si>
  <si>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</si>
  <si>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</si>
  <si>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</si>
  <si>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</si>
  <si>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</si>
  <si>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</si>
  <si>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</si>
  <si>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</si>
  <si>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</si>
  <si>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</si>
  <si>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</si>
  <si>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</si>
  <si>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</si>
  <si>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</si>
  <si>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</si>
  <si>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</si>
  <si>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</si>
  <si>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</si>
  <si>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</si>
  <si>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</si>
  <si>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</si>
  <si>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</si>
  <si>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</si>
  <si>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</si>
  <si>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</si>
  <si>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</si>
  <si>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</si>
  <si>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</si>
  <si>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</si>
  <si>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</si>
  <si>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</si>
  <si>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</si>
  <si>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</si>
  <si>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</si>
  <si>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</si>
  <si>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</si>
  <si>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</si>
  <si>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</si>
  <si>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</si>
  <si>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</si>
  <si>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</si>
  <si>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</si>
  <si>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</si>
  <si>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</si>
  <si>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</si>
  <si>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</si>
  <si>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</si>
  <si>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</si>
  <si>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</si>
  <si>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</si>
  <si>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</si>
  <si>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</si>
  <si>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</si>
  <si>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</si>
  <si>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</si>
  <si>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</si>
  <si>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</si>
  <si>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</si>
  <si>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</si>
  <si>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</si>
  <si>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</si>
  <si>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</si>
  <si>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</si>
  <si>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</si>
  <si>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</si>
  <si>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</si>
  <si>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</si>
  <si>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</si>
  <si>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</si>
  <si>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</si>
  <si>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</si>
  <si>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</si>
  <si>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</si>
  <si>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</si>
  <si>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</si>
  <si>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</si>
  <si>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</si>
  <si>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</si>
  <si>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</si>
  <si>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</si>
  <si>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</si>
  <si>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</si>
  <si>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</si>
  <si>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</si>
  <si>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</si>
  <si>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</si>
  <si>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</si>
  <si>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</si>
  <si>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</si>
  <si>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</si>
  <si>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</si>
  <si>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</si>
  <si>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</si>
  <si>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</si>
  <si>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</si>
  <si>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</si>
  <si>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</si>
  <si>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</si>
  <si>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</si>
  <si>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</si>
  <si>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</si>
  <si>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</si>
  <si>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</si>
  <si>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</si>
  <si>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</si>
  <si>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</si>
  <si>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</si>
  <si>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</si>
  <si>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</si>
  <si>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</si>
  <si>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</si>
  <si>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</si>
  <si>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</si>
  <si>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</si>
  <si>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</si>
  <si>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</si>
  <si>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</si>
  <si>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</si>
  <si>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</si>
  <si>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</si>
  <si>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</si>
  <si>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</si>
  <si>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</si>
  <si>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</si>
  <si>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</si>
  <si>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</si>
  <si>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</si>
  <si>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</si>
  <si>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</si>
  <si>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</si>
  <si>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</si>
  <si>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</si>
  <si>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</si>
  <si>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</si>
  <si>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</si>
  <si>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</si>
  <si>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</si>
  <si>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</si>
  <si>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</si>
  <si>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</si>
  <si>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</si>
  <si>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</si>
  <si>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</si>
  <si>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</si>
  <si>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</si>
  <si>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</si>
  <si>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</si>
  <si>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</si>
  <si>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</si>
  <si>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</si>
  <si>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</si>
  <si>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</si>
  <si>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</si>
  <si>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</si>
  <si>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</si>
  <si>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</si>
  <si>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</si>
  <si>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</si>
  <si>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</si>
  <si>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</si>
  <si>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</si>
  <si>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</si>
  <si>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</si>
  <si>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</si>
  <si>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</si>
  <si>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</si>
  <si>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</si>
  <si>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</si>
  <si>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</si>
  <si>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</si>
  <si>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</si>
  <si>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</si>
  <si>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</si>
  <si>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</si>
  <si>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</si>
  <si>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</si>
  <si>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</si>
  <si>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</si>
  <si>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</si>
  <si>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</si>
  <si>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</si>
  <si>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</si>
  <si>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</si>
  <si>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</si>
  <si>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</si>
  <si>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</si>
  <si>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</si>
  <si>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</si>
  <si>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</si>
  <si>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</si>
  <si>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</si>
  <si>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</si>
  <si>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</si>
  <si>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</si>
  <si>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</si>
  <si>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</si>
  <si>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</si>
  <si>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</si>
  <si>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</si>
  <si>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</si>
  <si>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</si>
  <si>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</si>
  <si>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</si>
  <si>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</si>
  <si>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</si>
  <si>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</si>
  <si>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</si>
  <si>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</si>
  <si>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</si>
  <si>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</si>
  <si>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</si>
  <si>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</si>
  <si>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</si>
  <si>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</si>
  <si>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</si>
  <si>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</si>
  <si>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</si>
  <si>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</si>
  <si>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</si>
  <si>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</si>
  <si>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</si>
  <si>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</si>
  <si>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</si>
  <si>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</si>
  <si>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</si>
  <si>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Total Net Revenue</t>
  </si>
  <si>
    <t>Total Orders</t>
  </si>
  <si>
    <t>Row Labels</t>
  </si>
  <si>
    <t>Grand Total</t>
  </si>
  <si>
    <t>2024</t>
  </si>
  <si>
    <t>2025</t>
  </si>
  <si>
    <t>2026</t>
  </si>
  <si>
    <t>Sum of Net Revenue (₦)</t>
  </si>
  <si>
    <t>Top Region</t>
  </si>
  <si>
    <t>Top 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</si>
  <si>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</si>
  <si>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</si>
  <si>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</si>
  <si>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</si>
  <si>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</si>
  <si>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</si>
  <si>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</si>
  <si>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</si>
  <si>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</si>
  <si>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</si>
  <si>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</si>
  <si>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</si>
  <si>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</si>
  <si>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1.  Monthly revenue across all three years</t>
  </si>
  <si>
    <t xml:space="preserve">2. Total paid revenue per region </t>
  </si>
  <si>
    <t>3. Which product category contributes the most to total revenue — and which contributes the least?</t>
  </si>
  <si>
    <t xml:space="preserve">4. Which five products are driving the most revenue for NouraMart </t>
  </si>
  <si>
    <t>5. Which sales channel generates the highest total paid revenue — and which is the weakest performer?</t>
  </si>
  <si>
    <t>6. How do we compare sales rep performance side by side using a pivot table?</t>
  </si>
  <si>
    <t>KPI</t>
  </si>
  <si>
    <t>Answer</t>
  </si>
  <si>
    <t>Average Order Value</t>
  </si>
  <si>
    <t xml:space="preserve"> </t>
  </si>
  <si>
    <t>Remainder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</si>
</sst>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₦-46A]#,##0"/>
    <numFmt numFmtId="165" formatCode="[$₦-46A]#,##0.00"/>
    <numFmt numFmtId="168" formatCode="[$₦-46A]#,##0.0"/>
    <numFmt numFmtId="169" formatCode="[$₦-46A]#,##0.0,,&quot;M&quot;"/>
    <numFmt numFmtId="171" formatCode="[$₦-46A]#,##0.0,&quot;K&quot;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3E8"/>
        <bgColor rgb="FFF4F7FC"/>
      </patternFill>
    </fill>
    <fill>
      <patternFill patternType="solid">
        <fgColor rgb="FFFFFFFF"/>
        <bgColor rgb="FFF4F7FC"/>
      </patternFill>
    </fill>
    <fill>
      <patternFill patternType="solid">
        <fgColor rgb="FFFF6B00"/>
        <bgColor rgb="FFFF9900"/>
      </patternFill>
    </fill>
    <fill>
      <patternFill patternType="solid">
        <fgColor rgb="FF1B3A5C"/>
        <bgColor rgb="FF333333"/>
      </patternFill>
    </fill>
    <fill>
      <patternFill patternType="solid">
        <fgColor rgb="FFF4F7FC"/>
        <bgColor rgb="FFFFFFFF"/>
      </patternFill>
    </fill>
    <fill>
      <patternFill patternType="solid">
        <fgColor rgb="FFF4F7FC"/>
      </patternFill>
    </fill>
    <fill>
      <patternFill patternType="solid">
        <f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070D14"/>
        <bgColor indexed="64"/>
      </patternFill>
    </fill>
  </fills>
  <borders count="21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  <border>
      <left style="thin">
        <color rgb="FFD0D9E8"/>
      </left>
      <right/>
      <top style="thin">
        <color rgb="FFD0D9E8"/>
      </top>
      <bottom style="thin">
        <color rgb="FFD0D9E8"/>
      </bottom>
      <diagonal/>
    </border>
    <border>
      <left/>
      <right style="thin">
        <color rgb="FFD0D9E8"/>
      </right>
      <top/>
      <bottom style="thin">
        <color rgb="FFD0D9E8"/>
      </bottom>
      <diagonal/>
    </border>
    <border>
      <left style="thin">
        <color rgb="FFD0D9E8"/>
      </left>
      <right style="thin">
        <color rgb="FFD0D9E8"/>
      </right>
      <top/>
      <bottom style="thin">
        <color rgb="FFD0D9E8"/>
      </bottom>
      <diagonal/>
    </border>
    <border>
      <left style="thin">
        <color rgb="FFD0D9E8"/>
      </left>
      <right/>
      <top/>
      <bottom style="thin">
        <color rgb="FFD0D9E8"/>
      </bottom>
      <diagonal/>
    </border>
    <border>
      <left style="thin">
        <color rgb="FFD0D9E8"/>
      </left>
      <right style="thin">
        <color rgb="FFD0D9E8"/>
      </right>
      <top style="thin">
        <color rgb="FFD0D9E8"/>
      </top>
      <bottom/>
      <diagonal/>
    </border>
    <border>
      <left style="thin">
        <color rgb="FFD0D9E8"/>
      </left>
      <right/>
      <top style="thin">
        <color rgb="FFD0D9E8"/>
      </top>
      <bottom/>
      <diagonal/>
    </border>
    <border>
      <left style="thin">
        <color rgb="FFD0D9E8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D0D9E8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D0D9E8"/>
      </left>
      <right/>
      <top style="thin">
        <color theme="4" tint="0.39997558519241921"/>
      </top>
      <bottom/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9" fontId="4" fillId="0" borderId="0"/>
  </cellStyleXfs>
  <cellXfs count="181">
    <xf numFmtId="0" fontId="0" fillId="0" borderId="0" xfId="0"/>
    <xf numFmtId="0" fontId="1" fillId="4" borderId="0" xfId="0" applyFont="1" applyFill="1" applyAlignment="1">
      <alignment horizontal="center" vertical="center"/>
    </xf>
    <xf numFmtId="0" fontId="2" fillId="2" borderId="0" xfId="0" applyFont="1" applyFill="1"/>
    <xf numFmtId="0" fontId="2" fillId="3" borderId="0" xfId="0" applyFont="1" applyFill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9" fontId="0" fillId="0" borderId="0" xfId="1" applyFont="1"/>
    <xf numFmtId="164" fontId="0" fillId="0" borderId="0" xfId="0" applyNumberFormat="1"/>
    <xf numFmtId="165" fontId="0" fillId="0" borderId="0" xfId="0" applyNumberFormat="1"/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  <xf numFmtId="0" fontId="2" fillId="7" borderId="0" xfId="0" applyFont="1" applyFill="1"/>
    <xf numFmtId="0" fontId="2" fillId="8" borderId="0" xfId="0" applyFont="1" applyFill="1"/>
    <xf numFmtId="0" fontId="2" fillId="6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7" borderId="1" xfId="0" applyFont="1" applyFill="1" applyBorder="1"/>
    <xf numFmtId="0" fontId="2" fillId="8" borderId="1" xfId="0" applyFont="1" applyFill="1" applyBorder="1"/>
    <xf numFmtId="49" fontId="2" fillId="7" borderId="0" xfId="0" applyNumberFormat="1" applyFont="1" applyFill="1"/>
    <xf numFmtId="49" fontId="2" fillId="8" borderId="0" xfId="0" applyNumberFormat="1" applyFont="1" applyFill="1"/>
    <xf numFmtId="49" fontId="2" fillId="6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49" fontId="2" fillId="7" borderId="1" xfId="0" applyNumberFormat="1" applyFont="1" applyFill="1" applyBorder="1"/>
    <xf numFmtId="49" fontId="2" fillId="3" borderId="1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/>
    <xf numFmtId="49" fontId="2" fillId="6" borderId="1" xfId="0" applyNumberFormat="1" applyFont="1" applyFill="1" applyBorder="1" applyAlignment="1">
      <alignment horizontal="left" vertical="center"/>
    </xf>
    <xf numFmtId="49" fontId="2" fillId="6" borderId="6" xfId="0" applyNumberFormat="1" applyFont="1" applyFill="1" applyBorder="1" applyAlignment="1">
      <alignment horizontal="left" vertical="center"/>
    </xf>
    <xf numFmtId="14" fontId="2" fillId="7" borderId="0" xfId="0" applyNumberFormat="1" applyFont="1" applyFill="1" applyAlignment="1">
      <alignment horizontal="center"/>
    </xf>
    <xf numFmtId="14" fontId="2" fillId="8" borderId="0" xfId="0" applyNumberFormat="1" applyFont="1" applyFill="1" applyAlignment="1">
      <alignment horizontal="center"/>
    </xf>
    <xf numFmtId="14" fontId="2" fillId="6" borderId="0" xfId="0" applyNumberFormat="1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6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/>
    </xf>
    <xf numFmtId="0" fontId="2" fillId="7" borderId="0" xfId="0" applyFont="1" applyFill="1" applyAlignment="1">
      <alignment horizontal="right"/>
    </xf>
    <xf numFmtId="9" fontId="2" fillId="7" borderId="0" xfId="0" applyNumberFormat="1" applyFont="1" applyFill="1" applyAlignment="1">
      <alignment horizontal="right"/>
    </xf>
    <xf numFmtId="3" fontId="2" fillId="7" borderId="0" xfId="0" applyNumberFormat="1" applyFont="1" applyFill="1" applyAlignment="1">
      <alignment horizontal="right"/>
    </xf>
    <xf numFmtId="0" fontId="2" fillId="8" borderId="0" xfId="0" applyFont="1" applyFill="1" applyAlignment="1">
      <alignment horizontal="right"/>
    </xf>
    <xf numFmtId="9" fontId="2" fillId="8" borderId="0" xfId="0" applyNumberFormat="1" applyFont="1" applyFill="1" applyAlignment="1">
      <alignment horizontal="right"/>
    </xf>
    <xf numFmtId="3" fontId="2" fillId="8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 vertical="center"/>
    </xf>
    <xf numFmtId="9" fontId="2" fillId="6" borderId="0" xfId="0" applyNumberFormat="1" applyFont="1" applyFill="1" applyAlignment="1">
      <alignment horizontal="right" vertical="center"/>
    </xf>
    <xf numFmtId="3" fontId="2" fillId="6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9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7" borderId="1" xfId="0" applyFont="1" applyFill="1" applyBorder="1" applyAlignment="1">
      <alignment horizontal="right"/>
    </xf>
    <xf numFmtId="9" fontId="2" fillId="7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9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right"/>
    </xf>
    <xf numFmtId="9" fontId="2" fillId="8" borderId="1" xfId="0" applyNumberFormat="1" applyFont="1" applyFill="1" applyBorder="1" applyAlignment="1">
      <alignment horizontal="right"/>
    </xf>
    <xf numFmtId="3" fontId="2" fillId="8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9" fontId="2" fillId="6" borderId="1" xfId="0" applyNumberFormat="1" applyFont="1" applyFill="1" applyBorder="1" applyAlignment="1">
      <alignment horizontal="right" vertical="center"/>
    </xf>
    <xf numFmtId="3" fontId="2" fillId="6" borderId="1" xfId="0" applyNumberFormat="1" applyFont="1" applyFill="1" applyBorder="1" applyAlignment="1">
      <alignment horizontal="right" vertical="center"/>
    </xf>
    <xf numFmtId="0" fontId="2" fillId="6" borderId="6" xfId="0" applyFont="1" applyFill="1" applyBorder="1" applyAlignment="1">
      <alignment horizontal="right" vertical="center"/>
    </xf>
    <xf numFmtId="9" fontId="2" fillId="6" borderId="6" xfId="0" applyNumberFormat="1" applyFont="1" applyFill="1" applyBorder="1" applyAlignment="1">
      <alignment horizontal="right" vertical="center"/>
    </xf>
    <xf numFmtId="3" fontId="2" fillId="6" borderId="6" xfId="0" applyNumberFormat="1" applyFont="1" applyFill="1" applyBorder="1" applyAlignment="1">
      <alignment horizontal="right" vertical="center"/>
    </xf>
    <xf numFmtId="0" fontId="0" fillId="0" borderId="9" xfId="0" applyFont="1" applyBorder="1"/>
    <xf numFmtId="0" fontId="0" fillId="0" borderId="10" xfId="0" applyFont="1" applyBorder="1"/>
    <xf numFmtId="1" fontId="2" fillId="7" borderId="1" xfId="0" applyNumberFormat="1" applyFont="1" applyFill="1" applyBorder="1" applyAlignment="1">
      <alignment horizontal="right"/>
    </xf>
    <xf numFmtId="1" fontId="2" fillId="3" borderId="1" xfId="0" applyNumberFormat="1" applyFont="1" applyFill="1" applyBorder="1" applyAlignment="1">
      <alignment horizontal="right" vertical="center"/>
    </xf>
    <xf numFmtId="1" fontId="2" fillId="8" borderId="1" xfId="0" applyNumberFormat="1" applyFont="1" applyFill="1" applyBorder="1" applyAlignment="1">
      <alignment horizontal="right"/>
    </xf>
    <xf numFmtId="1" fontId="2" fillId="6" borderId="1" xfId="0" applyNumberFormat="1" applyFont="1" applyFill="1" applyBorder="1" applyAlignment="1">
      <alignment horizontal="right" vertical="center"/>
    </xf>
    <xf numFmtId="1" fontId="2" fillId="6" borderId="6" xfId="0" applyNumberFormat="1" applyFont="1" applyFill="1" applyBorder="1" applyAlignment="1">
      <alignment horizontal="right" vertical="center"/>
    </xf>
    <xf numFmtId="9" fontId="2" fillId="7" borderId="1" xfId="1" applyFont="1" applyFill="1" applyBorder="1" applyAlignment="1">
      <alignment horizontal="right"/>
    </xf>
    <xf numFmtId="9" fontId="2" fillId="3" borderId="1" xfId="1" applyFont="1" applyFill="1" applyBorder="1" applyAlignment="1">
      <alignment horizontal="right" vertical="center"/>
    </xf>
    <xf numFmtId="9" fontId="2" fillId="8" borderId="1" xfId="1" applyFont="1" applyFill="1" applyBorder="1" applyAlignment="1">
      <alignment horizontal="right"/>
    </xf>
    <xf numFmtId="9" fontId="2" fillId="6" borderId="1" xfId="1" applyFont="1" applyFill="1" applyBorder="1" applyAlignment="1">
      <alignment horizontal="right" vertical="center"/>
    </xf>
    <xf numFmtId="9" fontId="2" fillId="6" borderId="6" xfId="1" applyFont="1" applyFill="1" applyBorder="1" applyAlignment="1">
      <alignment horizontal="right" vertical="center"/>
    </xf>
    <xf numFmtId="49" fontId="2" fillId="7" borderId="1" xfId="0" applyNumberFormat="1" applyFont="1" applyFill="1" applyBorder="1" applyAlignment="1">
      <alignment horizontal="left"/>
    </xf>
    <xf numFmtId="49" fontId="2" fillId="8" borderId="1" xfId="0" applyNumberFormat="1" applyFont="1" applyFill="1" applyBorder="1" applyAlignment="1">
      <alignment horizontal="left"/>
    </xf>
    <xf numFmtId="165" fontId="2" fillId="7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 vertical="center"/>
    </xf>
    <xf numFmtId="165" fontId="2" fillId="8" borderId="1" xfId="0" applyNumberFormat="1" applyFont="1" applyFill="1" applyBorder="1" applyAlignment="1">
      <alignment horizontal="right"/>
    </xf>
    <xf numFmtId="165" fontId="2" fillId="6" borderId="1" xfId="0" applyNumberFormat="1" applyFont="1" applyFill="1" applyBorder="1" applyAlignment="1">
      <alignment horizontal="right" vertical="center"/>
    </xf>
    <xf numFmtId="165" fontId="2" fillId="6" borderId="6" xfId="0" applyNumberFormat="1" applyFont="1" applyFill="1" applyBorder="1" applyAlignment="1">
      <alignment horizontal="right" vertical="center"/>
    </xf>
    <xf numFmtId="0" fontId="0" fillId="10" borderId="13" xfId="0" applyFont="1" applyFill="1" applyBorder="1"/>
    <xf numFmtId="0" fontId="0" fillId="10" borderId="14" xfId="0" applyFont="1" applyFill="1" applyBorder="1"/>
    <xf numFmtId="49" fontId="0" fillId="10" borderId="14" xfId="0" applyNumberFormat="1" applyFont="1" applyFill="1" applyBorder="1"/>
    <xf numFmtId="1" fontId="0" fillId="10" borderId="14" xfId="0" applyNumberFormat="1" applyFont="1" applyFill="1" applyBorder="1"/>
    <xf numFmtId="165" fontId="0" fillId="10" borderId="14" xfId="0" applyNumberFormat="1" applyFont="1" applyFill="1" applyBorder="1"/>
    <xf numFmtId="49" fontId="0" fillId="10" borderId="15" xfId="0" applyNumberFormat="1" applyFont="1" applyFill="1" applyBorder="1"/>
    <xf numFmtId="0" fontId="0" fillId="0" borderId="13" xfId="0" applyFont="1" applyBorder="1"/>
    <xf numFmtId="0" fontId="0" fillId="0" borderId="14" xfId="0" applyFont="1" applyBorder="1"/>
    <xf numFmtId="49" fontId="0" fillId="0" borderId="14" xfId="0" applyNumberFormat="1" applyFont="1" applyBorder="1"/>
    <xf numFmtId="1" fontId="0" fillId="0" borderId="14" xfId="0" applyNumberFormat="1" applyFont="1" applyBorder="1"/>
    <xf numFmtId="165" fontId="0" fillId="0" borderId="14" xfId="0" applyNumberFormat="1" applyFont="1" applyBorder="1"/>
    <xf numFmtId="49" fontId="0" fillId="0" borderId="15" xfId="0" applyNumberFormat="1" applyFont="1" applyBorder="1"/>
    <xf numFmtId="49" fontId="0" fillId="0" borderId="10" xfId="0" applyNumberFormat="1" applyFont="1" applyBorder="1"/>
    <xf numFmtId="1" fontId="0" fillId="0" borderId="10" xfId="0" applyNumberFormat="1" applyFont="1" applyBorder="1"/>
    <xf numFmtId="165" fontId="0" fillId="0" borderId="10" xfId="0" applyNumberFormat="1" applyFont="1" applyBorder="1"/>
    <xf numFmtId="49" fontId="0" fillId="0" borderId="12" xfId="0" applyNumberFormat="1" applyFont="1" applyBorder="1"/>
    <xf numFmtId="0" fontId="2" fillId="7" borderId="8" xfId="0" applyFont="1" applyFill="1" applyBorder="1"/>
    <xf numFmtId="0" fontId="2" fillId="7" borderId="10" xfId="0" applyFont="1" applyFill="1" applyBorder="1"/>
    <xf numFmtId="49" fontId="2" fillId="7" borderId="10" xfId="0" applyNumberFormat="1" applyFont="1" applyFill="1" applyBorder="1"/>
    <xf numFmtId="14" fontId="2" fillId="7" borderId="10" xfId="0" applyNumberFormat="1" applyFont="1" applyFill="1" applyBorder="1" applyAlignment="1">
      <alignment horizontal="center"/>
    </xf>
    <xf numFmtId="0" fontId="2" fillId="8" borderId="8" xfId="0" applyFont="1" applyFill="1" applyBorder="1"/>
    <xf numFmtId="0" fontId="2" fillId="8" borderId="10" xfId="0" applyFont="1" applyFill="1" applyBorder="1"/>
    <xf numFmtId="49" fontId="2" fillId="8" borderId="10" xfId="0" applyNumberFormat="1" applyFont="1" applyFill="1" applyBorder="1"/>
    <xf numFmtId="14" fontId="2" fillId="8" borderId="10" xfId="0" applyNumberFormat="1" applyFont="1" applyFill="1" applyBorder="1" applyAlignment="1">
      <alignment horizontal="center"/>
    </xf>
    <xf numFmtId="0" fontId="2" fillId="6" borderId="10" xfId="0" applyFont="1" applyFill="1" applyBorder="1" applyAlignment="1">
      <alignment horizontal="left" vertical="center"/>
    </xf>
    <xf numFmtId="49" fontId="2" fillId="6" borderId="10" xfId="0" applyNumberFormat="1" applyFont="1" applyFill="1" applyBorder="1" applyAlignment="1">
      <alignment horizontal="left" vertical="center"/>
    </xf>
    <xf numFmtId="14" fontId="2" fillId="6" borderId="10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/>
    </xf>
    <xf numFmtId="49" fontId="2" fillId="3" borderId="10" xfId="0" applyNumberFormat="1" applyFont="1" applyFill="1" applyBorder="1" applyAlignment="1">
      <alignment horizontal="left" vertical="center"/>
    </xf>
    <xf numFmtId="14" fontId="2" fillId="3" borderId="10" xfId="0" applyNumberFormat="1" applyFont="1" applyFill="1" applyBorder="1" applyAlignment="1">
      <alignment horizontal="center" vertical="center"/>
    </xf>
    <xf numFmtId="0" fontId="5" fillId="9" borderId="16" xfId="0" applyFont="1" applyFill="1" applyBorder="1"/>
    <xf numFmtId="0" fontId="5" fillId="9" borderId="0" xfId="0" applyFont="1" applyFill="1" applyBorder="1"/>
    <xf numFmtId="49" fontId="5" fillId="9" borderId="0" xfId="0" applyNumberFormat="1" applyFont="1" applyFill="1" applyBorder="1"/>
    <xf numFmtId="0" fontId="2" fillId="8" borderId="18" xfId="0" applyFont="1" applyFill="1" applyBorder="1"/>
    <xf numFmtId="14" fontId="5" fillId="9" borderId="0" xfId="0" applyNumberFormat="1" applyFont="1" applyFill="1" applyBorder="1"/>
    <xf numFmtId="14" fontId="0" fillId="10" borderId="14" xfId="0" applyNumberFormat="1" applyFont="1" applyFill="1" applyBorder="1" applyAlignment="1">
      <alignment horizontal="center"/>
    </xf>
    <xf numFmtId="14" fontId="0" fillId="0" borderId="14" xfId="0" applyNumberFormat="1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1" fontId="5" fillId="9" borderId="0" xfId="0" applyNumberFormat="1" applyFont="1" applyFill="1" applyBorder="1"/>
    <xf numFmtId="1" fontId="2" fillId="7" borderId="10" xfId="0" applyNumberFormat="1" applyFont="1" applyFill="1" applyBorder="1" applyAlignment="1">
      <alignment horizontal="right"/>
    </xf>
    <xf numFmtId="1" fontId="2" fillId="8" borderId="10" xfId="0" applyNumberFormat="1" applyFont="1" applyFill="1" applyBorder="1" applyAlignment="1">
      <alignment horizontal="right"/>
    </xf>
    <xf numFmtId="1" fontId="2" fillId="6" borderId="10" xfId="0" applyNumberFormat="1" applyFont="1" applyFill="1" applyBorder="1" applyAlignment="1">
      <alignment horizontal="right" vertical="center"/>
    </xf>
    <xf numFmtId="1" fontId="2" fillId="3" borderId="10" xfId="0" applyNumberFormat="1" applyFont="1" applyFill="1" applyBorder="1" applyAlignment="1">
      <alignment horizontal="right" vertical="center"/>
    </xf>
    <xf numFmtId="165" fontId="5" fillId="9" borderId="0" xfId="0" applyNumberFormat="1" applyFont="1" applyFill="1" applyBorder="1"/>
    <xf numFmtId="165" fontId="2" fillId="7" borderId="10" xfId="0" applyNumberFormat="1" applyFont="1" applyFill="1" applyBorder="1" applyAlignment="1">
      <alignment horizontal="right"/>
    </xf>
    <xf numFmtId="165" fontId="2" fillId="8" borderId="10" xfId="0" applyNumberFormat="1" applyFont="1" applyFill="1" applyBorder="1" applyAlignment="1">
      <alignment horizontal="right"/>
    </xf>
    <xf numFmtId="165" fontId="2" fillId="6" borderId="10" xfId="0" applyNumberFormat="1" applyFont="1" applyFill="1" applyBorder="1" applyAlignment="1">
      <alignment horizontal="right" vertical="center"/>
    </xf>
    <xf numFmtId="165" fontId="2" fillId="3" borderId="10" xfId="0" applyNumberFormat="1" applyFont="1" applyFill="1" applyBorder="1" applyAlignment="1">
      <alignment horizontal="right" vertical="center"/>
    </xf>
    <xf numFmtId="9" fontId="5" fillId="9" borderId="0" xfId="1" applyFont="1" applyFill="1" applyBorder="1"/>
    <xf numFmtId="9" fontId="0" fillId="10" borderId="14" xfId="1" applyFont="1" applyFill="1" applyBorder="1"/>
    <xf numFmtId="9" fontId="0" fillId="0" borderId="14" xfId="1" applyFont="1" applyBorder="1"/>
    <xf numFmtId="9" fontId="0" fillId="0" borderId="10" xfId="1" applyFont="1" applyBorder="1"/>
    <xf numFmtId="9" fontId="2" fillId="7" borderId="10" xfId="1" applyFont="1" applyFill="1" applyBorder="1" applyAlignment="1">
      <alignment horizontal="right"/>
    </xf>
    <xf numFmtId="9" fontId="2" fillId="8" borderId="10" xfId="1" applyFont="1" applyFill="1" applyBorder="1" applyAlignment="1">
      <alignment horizontal="right"/>
    </xf>
    <xf numFmtId="9" fontId="2" fillId="6" borderId="10" xfId="1" applyFont="1" applyFill="1" applyBorder="1" applyAlignment="1">
      <alignment horizontal="right" vertical="center"/>
    </xf>
    <xf numFmtId="9" fontId="2" fillId="3" borderId="10" xfId="1" applyFont="1" applyFill="1" applyBorder="1" applyAlignment="1">
      <alignment horizontal="right" vertical="center"/>
    </xf>
    <xf numFmtId="168" fontId="5" fillId="9" borderId="0" xfId="0" applyNumberFormat="1" applyFont="1" applyFill="1" applyBorder="1"/>
    <xf numFmtId="168" fontId="0" fillId="10" borderId="14" xfId="0" applyNumberFormat="1" applyFont="1" applyFill="1" applyBorder="1"/>
    <xf numFmtId="168" fontId="0" fillId="0" borderId="14" xfId="0" applyNumberFormat="1" applyFont="1" applyBorder="1"/>
    <xf numFmtId="168" fontId="0" fillId="0" borderId="10" xfId="0" applyNumberFormat="1" applyFont="1" applyBorder="1"/>
    <xf numFmtId="168" fontId="2" fillId="7" borderId="10" xfId="0" applyNumberFormat="1" applyFont="1" applyFill="1" applyBorder="1" applyAlignment="1">
      <alignment horizontal="right"/>
    </xf>
    <xf numFmtId="168" fontId="2" fillId="8" borderId="10" xfId="0" applyNumberFormat="1" applyFont="1" applyFill="1" applyBorder="1" applyAlignment="1">
      <alignment horizontal="right"/>
    </xf>
    <xf numFmtId="168" fontId="2" fillId="6" borderId="10" xfId="0" applyNumberFormat="1" applyFont="1" applyFill="1" applyBorder="1" applyAlignment="1">
      <alignment horizontal="right" vertical="center"/>
    </xf>
    <xf numFmtId="168" fontId="2" fillId="3" borderId="10" xfId="0" applyNumberFormat="1" applyFont="1" applyFill="1" applyBorder="1" applyAlignment="1">
      <alignment horizontal="right" vertical="center"/>
    </xf>
    <xf numFmtId="168" fontId="2" fillId="7" borderId="1" xfId="0" applyNumberFormat="1" applyFont="1" applyFill="1" applyBorder="1" applyAlignment="1">
      <alignment horizontal="right"/>
    </xf>
    <xf numFmtId="168" fontId="2" fillId="3" borderId="1" xfId="0" applyNumberFormat="1" applyFont="1" applyFill="1" applyBorder="1" applyAlignment="1">
      <alignment horizontal="right" vertical="center"/>
    </xf>
    <xf numFmtId="168" fontId="2" fillId="8" borderId="1" xfId="0" applyNumberFormat="1" applyFont="1" applyFill="1" applyBorder="1" applyAlignment="1">
      <alignment horizontal="right"/>
    </xf>
    <xf numFmtId="168" fontId="2" fillId="6" borderId="1" xfId="0" applyNumberFormat="1" applyFont="1" applyFill="1" applyBorder="1" applyAlignment="1">
      <alignment horizontal="right" vertical="center"/>
    </xf>
    <xf numFmtId="168" fontId="2" fillId="6" borderId="6" xfId="0" applyNumberFormat="1" applyFont="1" applyFill="1" applyBorder="1" applyAlignment="1">
      <alignment horizontal="right" vertical="center"/>
    </xf>
    <xf numFmtId="168" fontId="0" fillId="0" borderId="0" xfId="0" applyNumberFormat="1"/>
    <xf numFmtId="49" fontId="2" fillId="7" borderId="10" xfId="0" applyNumberFormat="1" applyFont="1" applyFill="1" applyBorder="1" applyAlignment="1">
      <alignment horizontal="left"/>
    </xf>
    <xf numFmtId="49" fontId="2" fillId="8" borderId="10" xfId="0" applyNumberFormat="1" applyFont="1" applyFill="1" applyBorder="1" applyAlignment="1">
      <alignment horizontal="left"/>
    </xf>
    <xf numFmtId="49" fontId="5" fillId="9" borderId="17" xfId="0" applyNumberFormat="1" applyFont="1" applyFill="1" applyBorder="1"/>
    <xf numFmtId="49" fontId="2" fillId="7" borderId="11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/>
    </xf>
    <xf numFmtId="49" fontId="2" fillId="6" borderId="11" xfId="0" applyNumberFormat="1" applyFont="1" applyFill="1" applyBorder="1" applyAlignment="1">
      <alignment horizontal="left" vertical="center"/>
    </xf>
    <xf numFmtId="49" fontId="2" fillId="3" borderId="11" xfId="0" applyNumberFormat="1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/>
    <xf numFmtId="0" fontId="6" fillId="11" borderId="19" xfId="0" applyFont="1" applyFill="1" applyBorder="1"/>
    <xf numFmtId="0" fontId="0" fillId="12" borderId="0" xfId="0" applyFill="1"/>
    <xf numFmtId="169" fontId="0" fillId="0" borderId="0" xfId="0" applyNumberFormat="1"/>
    <xf numFmtId="171" fontId="0" fillId="0" borderId="0" xfId="0" applyNumberFormat="1"/>
    <xf numFmtId="0" fontId="6" fillId="11" borderId="20" xfId="0" applyFont="1" applyFill="1" applyBorder="1" applyAlignment="1">
      <alignment horizontal="left"/>
    </xf>
    <xf numFmtId="169" fontId="6" fillId="11" borderId="20" xfId="0" applyNumberFormat="1" applyFont="1" applyFill="1" applyBorder="1"/>
  </cellXfs>
  <cellStyles count="3">
    <cellStyle name="Normal" xfId="0" builtinId="0"/>
    <cellStyle name="Percent" xfId="1" builtinId="5"/>
    <cellStyle name="Percent 2" xfId="2" xr:uid="{37AFF0B3-0F44-4649-A144-DEC6D9ECA76D}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8" formatCode="[$₦-46A]#,##0.0"/>
      <fill>
        <patternFill patternType="solid">
          <fgColor rgb="FFFFFFFF"/>
          <bgColor rgb="FFF4F7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8" formatCode="[$₦-46A]#,##0.0"/>
      <fill>
        <patternFill patternType="solid">
          <fgColor rgb="FFFFFFFF"/>
          <bgColor rgb="FFF4F7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[$₦-46A]#,##0.00"/>
      <fill>
        <patternFill patternType="solid">
          <fgColor rgb="FFFFFFFF"/>
          <bgColor rgb="FFF4F7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solid">
          <fgColor rgb="FFFFFFFF"/>
          <bgColor rgb="FFF4F7FC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fill>
        <patternFill patternType="solid">
          <fgColor rgb="FFFFFFFF"/>
          <bgColor rgb="FFF4F7F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4F7FC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4F7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rgb="FFD0D9E8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  <bottom style="thin">
          <color rgb="FFD0D9E8"/>
        </bottom>
      </border>
    </dxf>
    <dxf>
      <numFmt numFmtId="30" formatCode="@"/>
    </dxf>
    <dxf>
      <numFmt numFmtId="165" formatCode="[$₦-46A]#,##0.00"/>
    </dxf>
    <dxf>
      <numFmt numFmtId="164" formatCode="[$₦-46A]#,##0"/>
    </dxf>
    <dxf>
      <numFmt numFmtId="30" formatCode="@"/>
    </dxf>
    <dxf>
      <numFmt numFmtId="164" formatCode="[$₦-46A]#,##0"/>
    </dxf>
    <dxf>
      <numFmt numFmtId="1" formatCode="0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/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rgb="FFFFFFFF"/>
          <bgColor rgb="FFF4F7FC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rgb="FFFFFFFF"/>
          <bgColor rgb="FFF4F7FC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fill>
        <patternFill patternType="solid">
          <fgColor rgb="FFFFFFFF"/>
          <bgColor rgb="FFF4F7FC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4F7FC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4F7FC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fill>
        <patternFill patternType="solid">
          <fgColor rgb="FFFFFFFF"/>
          <bgColor rgb="FFF4F7F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D0D9E8"/>
        </right>
        <top style="thin">
          <color rgb="FFD0D9E8"/>
        </top>
        <bottom style="thin">
          <color rgb="FFD0D9E8"/>
        </bottom>
        <vertical/>
        <horizontal/>
      </border>
    </dxf>
    <dxf>
      <border outline="0">
        <top style="thin">
          <color rgb="FFD0D9E8"/>
        </top>
      </border>
    </dxf>
    <dxf>
      <border outline="0">
        <left style="thin">
          <color rgb="FFD0D9E8"/>
        </left>
        <right style="thin">
          <color rgb="FFD0D9E8"/>
        </right>
        <top style="thin">
          <color rgb="FFD0D9E8"/>
        </top>
        <bottom style="thin">
          <color rgb="FFD0D9E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FFF"/>
          <bgColor rgb="FFF4F7FC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D0D9E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33333"/>
          <bgColor rgb="FF1B3A5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9E8"/>
        </left>
        <right style="thin">
          <color rgb="FFD0D9E8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8"/>
      <rgbColor rgb="FFE8F5E9"/>
      <rgbColor rgb="FF660066"/>
      <rgbColor rgb="FFFF8080"/>
      <rgbColor rgb="FF0066CC"/>
      <rgbColor rgb="FFD0D9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1FA"/>
      <rgbColor rgb="FFF4F7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B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2A4A6E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9E0B"/>
      <color rgb="FF17375E"/>
      <color rgb="FF00D4AA"/>
      <color rgb="FF1A0A00"/>
      <color rgb="FF132840"/>
      <color rgb="FF0D1B2A"/>
      <color rgb="FF070D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[NouraMart_Salles_Dataset_GITHUB.xlsx]Pivot Tables!PivotTable15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5080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10"/>
          <c:spPr>
            <a:solidFill>
              <a:schemeClr val="accent6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50800" cap="rnd">
            <a:solidFill>
              <a:srgbClr val="00D4AA"/>
            </a:solidFill>
            <a:round/>
          </a:ln>
          <a:effectLst/>
        </c:spPr>
        <c:marker>
          <c:symbol val="circle"/>
          <c:size val="10"/>
          <c:spPr>
            <a:solidFill>
              <a:srgbClr val="00D4AA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tx2">
                <a:lumMod val="20000"/>
                <a:lumOff val="80000"/>
              </a:schemeClr>
            </a:solidFill>
            <a:round/>
          </a:ln>
          <a:effectLst/>
        </c:spPr>
        <c:marker>
          <c:symbol val="circle"/>
          <c:size val="10"/>
          <c:spPr>
            <a:solidFill>
              <a:schemeClr val="tx2">
                <a:lumMod val="20000"/>
                <a:lumOff val="8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Tables'!$D$9:$D$10</c:f>
              <c:strCache>
                <c:ptCount val="1"/>
                <c:pt idx="0">
                  <c:v>2024</c:v>
                </c:pt>
              </c:strCache>
            </c:strRef>
          </c:tx>
          <c:spPr>
            <a:ln w="508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'Pivot Tables'!$C$11:$C$23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Tables'!$D$11:$D$23</c:f>
              <c:numCache>
                <c:formatCode>[$₦-46A]#,##0.0</c:formatCode>
                <c:ptCount val="12"/>
                <c:pt idx="0">
                  <c:v>5108949.5</c:v>
                </c:pt>
                <c:pt idx="1">
                  <c:v>4080558.65</c:v>
                </c:pt>
                <c:pt idx="2">
                  <c:v>4918146.5999999996</c:v>
                </c:pt>
                <c:pt idx="3">
                  <c:v>5978014.8499999996</c:v>
                </c:pt>
                <c:pt idx="4">
                  <c:v>33880</c:v>
                </c:pt>
                <c:pt idx="5">
                  <c:v>4224813.75</c:v>
                </c:pt>
                <c:pt idx="6">
                  <c:v>4074311.8000000003</c:v>
                </c:pt>
                <c:pt idx="7">
                  <c:v>3302361</c:v>
                </c:pt>
                <c:pt idx="8">
                  <c:v>2903069.3</c:v>
                </c:pt>
                <c:pt idx="9">
                  <c:v>3353023.2</c:v>
                </c:pt>
                <c:pt idx="10">
                  <c:v>2909902.6000000006</c:v>
                </c:pt>
                <c:pt idx="11">
                  <c:v>996842.50000000012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21-45CF-8838-4F721F118F37}"/>
            </c:ext>
          </c:extLst>
        </c:ser>
        <c:ser>
          <c:idx val="1"/>
          <c:order val="1"/>
          <c:tx>
            <c:strRef>
              <c:f>'Pivot Tables'!$E$9:$E$10</c:f>
              <c:strCache>
                <c:ptCount val="1"/>
                <c:pt idx="0">
                  <c:v>2025</c:v>
                </c:pt>
              </c:strCache>
            </c:strRef>
          </c:tx>
          <c:spPr>
            <a:ln w="50800" cap="rnd">
              <a:solidFill>
                <a:srgbClr val="00D4AA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D4AA"/>
              </a:solidFill>
              <a:ln w="9525">
                <a:noFill/>
              </a:ln>
              <a:effectLst/>
            </c:spPr>
          </c:marker>
          <c:cat>
            <c:strRef>
              <c:f>'Pivot Tables'!$C$11:$C$23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Tables'!$E$11:$E$23</c:f>
              <c:numCache>
                <c:formatCode>[$₦-46A]#,##0.0</c:formatCode>
                <c:ptCount val="12"/>
                <c:pt idx="0">
                  <c:v>4766789.5</c:v>
                </c:pt>
                <c:pt idx="1">
                  <c:v>5661650.3500000006</c:v>
                </c:pt>
                <c:pt idx="2">
                  <c:v>5851903.3499999996</c:v>
                </c:pt>
                <c:pt idx="3">
                  <c:v>4488471.25</c:v>
                </c:pt>
                <c:pt idx="4">
                  <c:v>2758113.35</c:v>
                </c:pt>
                <c:pt idx="5">
                  <c:v>6315554.5999999996</c:v>
                </c:pt>
                <c:pt idx="6">
                  <c:v>5084961.0999999996</c:v>
                </c:pt>
                <c:pt idx="7">
                  <c:v>4220503.0999999996</c:v>
                </c:pt>
                <c:pt idx="8">
                  <c:v>4278758.0999999996</c:v>
                </c:pt>
                <c:pt idx="9">
                  <c:v>4379108.1999999993</c:v>
                </c:pt>
                <c:pt idx="10">
                  <c:v>4129634.8000000007</c:v>
                </c:pt>
                <c:pt idx="11">
                  <c:v>1359293.1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21-45CF-8838-4F721F118F37}"/>
            </c:ext>
          </c:extLst>
        </c:ser>
        <c:ser>
          <c:idx val="2"/>
          <c:order val="2"/>
          <c:tx>
            <c:strRef>
              <c:f>'Pivot Tables'!$F$9:$F$10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20000"/>
                  <a:lumOff val="8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'Pivot Tables'!$C$11:$C$23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Tables'!$F$11:$F$23</c:f>
              <c:numCache>
                <c:formatCode>[$₦-46A]#,##0.0</c:formatCode>
                <c:ptCount val="12"/>
                <c:pt idx="0">
                  <c:v>5244011.8499999987</c:v>
                </c:pt>
                <c:pt idx="1">
                  <c:v>5333288.95</c:v>
                </c:pt>
                <c:pt idx="2">
                  <c:v>5829287.7500000009</c:v>
                </c:pt>
                <c:pt idx="3">
                  <c:v>5604900.1999999993</c:v>
                </c:pt>
                <c:pt idx="4">
                  <c:v>2959197.8000000003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921-45CF-8838-4F721F118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315743"/>
        <c:axId val="380316223"/>
      </c:lineChart>
      <c:catAx>
        <c:axId val="38031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380316223"/>
        <c:crosses val="autoZero"/>
        <c:auto val="1"/>
        <c:lblAlgn val="ctr"/>
        <c:lblOffset val="100"/>
        <c:noMultiLvlLbl val="0"/>
      </c:catAx>
      <c:valAx>
        <c:axId val="380316223"/>
        <c:scaling>
          <c:orientation val="minMax"/>
        </c:scaling>
        <c:delete val="0"/>
        <c:axPos val="l"/>
        <c:numFmt formatCode="[$₦-46A]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38031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Tables'!$K$38</c:f>
              <c:strCache>
                <c:ptCount val="1"/>
                <c:pt idx="0">
                  <c:v>Sum of Net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>
                  <a:alpha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7B7-4F24-99EA-921853F949C8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>
                  <a:alpha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B7-4F24-99EA-921853F949C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20000"/>
                  <a:lumOff val="80000"/>
                  <a:alpha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7B7-4F24-99EA-921853F949C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B7-4F24-99EA-921853F949C8}"/>
              </c:ext>
            </c:extLst>
          </c:dPt>
          <c:dPt>
            <c:idx val="4"/>
            <c:invertIfNegative val="0"/>
            <c:bubble3D val="0"/>
            <c:spPr>
              <a:solidFill>
                <a:srgbClr val="F59E0B">
                  <a:alpha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7B7-4F24-99EA-921853F949C8}"/>
              </c:ext>
            </c:extLst>
          </c:dPt>
          <c:dLbls>
            <c:dLbl>
              <c:idx val="0"/>
              <c:layout>
                <c:manualLayout>
                  <c:x val="0.63573949360759241"/>
                  <c:y val="-1.1434378407676215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7B7-4F24-99EA-921853F949C8}"/>
                </c:ext>
              </c:extLst>
            </c:dLbl>
            <c:dLbl>
              <c:idx val="1"/>
              <c:layout>
                <c:manualLayout>
                  <c:x val="0.5952616981344500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B7-4F24-99EA-921853F949C8}"/>
                </c:ext>
              </c:extLst>
            </c:dLbl>
            <c:dLbl>
              <c:idx val="2"/>
              <c:layout>
                <c:manualLayout>
                  <c:x val="0.57621332379414747"/>
                  <c:y val="-5.717189203838107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B7-4F24-99EA-921853F949C8}"/>
                </c:ext>
              </c:extLst>
            </c:dLbl>
            <c:dLbl>
              <c:idx val="3"/>
              <c:layout>
                <c:manualLayout>
                  <c:x val="0.5416881453023493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B7-4F24-99EA-921853F949C8}"/>
                </c:ext>
              </c:extLst>
            </c:dLbl>
            <c:dLbl>
              <c:idx val="4"/>
              <c:layout>
                <c:manualLayout>
                  <c:x val="0.37977696340977901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B7-4F24-99EA-921853F949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Tables'!$J$39:$J$43</c:f>
              <c:strCache>
                <c:ptCount val="5"/>
                <c:pt idx="0">
                  <c:v>GoldenBite Chocolate Cookies 150g</c:v>
                </c:pt>
                <c:pt idx="1">
                  <c:v>FreshSip Orange Juice 1L</c:v>
                </c:pt>
                <c:pt idx="2">
                  <c:v>GoldenBite Biscuits 200g</c:v>
                </c:pt>
                <c:pt idx="3">
                  <c:v>DailyBrew Green Tea 25 bags</c:v>
                </c:pt>
                <c:pt idx="4">
                  <c:v>NutriMix Cereal Box 500g</c:v>
                </c:pt>
              </c:strCache>
            </c:strRef>
          </c:cat>
          <c:val>
            <c:numRef>
              <c:f>'Pivot Tables'!$K$39:$K$43</c:f>
              <c:numCache>
                <c:formatCode>[$₦-46A]#,##0.0,,"M"</c:formatCode>
                <c:ptCount val="5"/>
                <c:pt idx="0">
                  <c:v>8343457.5</c:v>
                </c:pt>
                <c:pt idx="1">
                  <c:v>11949012.9</c:v>
                </c:pt>
                <c:pt idx="2">
                  <c:v>13868400.899999999</c:v>
                </c:pt>
                <c:pt idx="3">
                  <c:v>16727004</c:v>
                </c:pt>
                <c:pt idx="4">
                  <c:v>31746372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7-4F24-99EA-921853F949C8}"/>
            </c:ext>
          </c:extLst>
        </c:ser>
        <c:ser>
          <c:idx val="1"/>
          <c:order val="1"/>
          <c:tx>
            <c:strRef>
              <c:f>'Pivot Tables'!$L$38</c:f>
              <c:strCache>
                <c:ptCount val="1"/>
                <c:pt idx="0">
                  <c:v>Remainder</c:v>
                </c:pt>
              </c:strCache>
            </c:strRef>
          </c:tx>
          <c:spPr>
            <a:solidFill>
              <a:srgbClr val="17375E">
                <a:alpha val="95000"/>
              </a:srgbClr>
            </a:solidFill>
            <a:ln>
              <a:noFill/>
            </a:ln>
            <a:effectLst/>
          </c:spPr>
          <c:invertIfNegative val="0"/>
          <c:cat>
            <c:strRef>
              <c:f>'Pivot Tables'!$J$39:$J$43</c:f>
              <c:strCache>
                <c:ptCount val="5"/>
                <c:pt idx="0">
                  <c:v>GoldenBite Chocolate Cookies 150g</c:v>
                </c:pt>
                <c:pt idx="1">
                  <c:v>FreshSip Orange Juice 1L</c:v>
                </c:pt>
                <c:pt idx="2">
                  <c:v>GoldenBite Biscuits 200g</c:v>
                </c:pt>
                <c:pt idx="3">
                  <c:v>DailyBrew Green Tea 25 bags</c:v>
                </c:pt>
                <c:pt idx="4">
                  <c:v>NutriMix Cereal Box 500g</c:v>
                </c:pt>
              </c:strCache>
            </c:strRef>
          </c:cat>
          <c:val>
            <c:numRef>
              <c:f>'Pivot Tables'!$L$39:$L$43</c:f>
              <c:numCache>
                <c:formatCode>[$₦-46A]#,##0.0</c:formatCode>
                <c:ptCount val="5"/>
                <c:pt idx="0">
                  <c:v>23402914.5</c:v>
                </c:pt>
                <c:pt idx="1">
                  <c:v>19797359.100000001</c:v>
                </c:pt>
                <c:pt idx="2">
                  <c:v>17877971.100000001</c:v>
                </c:pt>
                <c:pt idx="3">
                  <c:v>15019368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7-4F24-99EA-921853F9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100"/>
        <c:axId val="2044339039"/>
        <c:axId val="2044341439"/>
      </c:barChart>
      <c:catAx>
        <c:axId val="2044339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2044341439"/>
        <c:crosses val="autoZero"/>
        <c:auto val="1"/>
        <c:lblAlgn val="ctr"/>
        <c:lblOffset val="100"/>
        <c:noMultiLvlLbl val="0"/>
      </c:catAx>
      <c:valAx>
        <c:axId val="2044341439"/>
        <c:scaling>
          <c:orientation val="minMax"/>
        </c:scaling>
        <c:delete val="1"/>
        <c:axPos val="b"/>
        <c:numFmt formatCode="[$₦-46A]#,##0.0,,&quot;M&quot;" sourceLinked="1"/>
        <c:majorTickMark val="none"/>
        <c:minorTickMark val="none"/>
        <c:tickLblPos val="nextTo"/>
        <c:crossAx val="204433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79373</xdr:colOff>
      <xdr:row>3</xdr:row>
      <xdr:rowOff>22225</xdr:rowOff>
    </xdr:from>
    <xdr:to>
      <xdr:col>41</xdr:col>
      <xdr:colOff>396874</xdr:colOff>
      <xdr:row>70</xdr:row>
      <xdr:rowOff>56445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FBB6930-050A-C4E1-E466-FA4AAB39DC9C}"/>
            </a:ext>
          </a:extLst>
        </xdr:cNvPr>
        <xdr:cNvSpPr/>
      </xdr:nvSpPr>
      <xdr:spPr>
        <a:xfrm>
          <a:off x="3698873" y="546100"/>
          <a:ext cx="21431251" cy="11734095"/>
        </a:xfrm>
        <a:prstGeom prst="roundRect">
          <a:avLst>
            <a:gd name="adj" fmla="val 4627"/>
          </a:avLst>
        </a:prstGeom>
        <a:solidFill>
          <a:srgbClr val="0D1B2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6</xdr:col>
      <xdr:colOff>456564</xdr:colOff>
      <xdr:row>6</xdr:row>
      <xdr:rowOff>12065</xdr:rowOff>
    </xdr:from>
    <xdr:to>
      <xdr:col>24</xdr:col>
      <xdr:colOff>158750</xdr:colOff>
      <xdr:row>9</xdr:row>
      <xdr:rowOff>135560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D8BCD9-18FD-E178-046E-A3E88FBC46E4}"/>
            </a:ext>
          </a:extLst>
        </xdr:cNvPr>
        <xdr:cNvSpPr txBox="1"/>
      </xdr:nvSpPr>
      <xdr:spPr>
        <a:xfrm>
          <a:off x="4076064" y="1059815"/>
          <a:ext cx="10560686" cy="647370"/>
        </a:xfrm>
        <a:prstGeom prst="rect">
          <a:avLst/>
        </a:prstGeom>
        <a:solidFill>
          <a:srgbClr val="13284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bg1"/>
              </a:solidFill>
            </a:rPr>
            <a:t>NOURAMART CONSUMER GOODS - EXECUTIVE DASHBOARD</a:t>
          </a:r>
          <a:endParaRPr lang="en-GH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380999</xdr:colOff>
      <xdr:row>11</xdr:row>
      <xdr:rowOff>135255</xdr:rowOff>
    </xdr:from>
    <xdr:to>
      <xdr:col>14</xdr:col>
      <xdr:colOff>224409</xdr:colOff>
      <xdr:row>18</xdr:row>
      <xdr:rowOff>160595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24E3F12-05E9-341D-75EA-244722598F66}"/>
            </a:ext>
          </a:extLst>
        </xdr:cNvPr>
        <xdr:cNvSpPr/>
      </xdr:nvSpPr>
      <xdr:spPr>
        <a:xfrm>
          <a:off x="4000499" y="2056130"/>
          <a:ext cx="4669410" cy="1247715"/>
        </a:xfrm>
        <a:prstGeom prst="roundRect">
          <a:avLst>
            <a:gd name="adj" fmla="val 8974"/>
          </a:avLst>
        </a:prstGeom>
        <a:solidFill>
          <a:srgbClr val="1328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6</xdr:col>
      <xdr:colOff>373379</xdr:colOff>
      <xdr:row>21</xdr:row>
      <xdr:rowOff>35560</xdr:rowOff>
    </xdr:from>
    <xdr:to>
      <xdr:col>14</xdr:col>
      <xdr:colOff>228219</xdr:colOff>
      <xdr:row>28</xdr:row>
      <xdr:rowOff>58995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E40A268-F184-9C45-E967-353BF04E3F62}"/>
            </a:ext>
          </a:extLst>
        </xdr:cNvPr>
        <xdr:cNvSpPr/>
      </xdr:nvSpPr>
      <xdr:spPr>
        <a:xfrm>
          <a:off x="3992879" y="3702685"/>
          <a:ext cx="4680840" cy="1245810"/>
        </a:xfrm>
        <a:prstGeom prst="roundRect">
          <a:avLst>
            <a:gd name="adj" fmla="val 8974"/>
          </a:avLst>
        </a:prstGeom>
        <a:solidFill>
          <a:srgbClr val="1328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6</xdr:col>
      <xdr:colOff>375284</xdr:colOff>
      <xdr:row>30</xdr:row>
      <xdr:rowOff>102870</xdr:rowOff>
    </xdr:from>
    <xdr:to>
      <xdr:col>14</xdr:col>
      <xdr:colOff>228219</xdr:colOff>
      <xdr:row>37</xdr:row>
      <xdr:rowOff>135830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3567A29-14E1-CB4B-EB1A-96035FDA80A1}"/>
            </a:ext>
          </a:extLst>
        </xdr:cNvPr>
        <xdr:cNvSpPr/>
      </xdr:nvSpPr>
      <xdr:spPr>
        <a:xfrm>
          <a:off x="3994784" y="5341620"/>
          <a:ext cx="4678935" cy="1255335"/>
        </a:xfrm>
        <a:prstGeom prst="roundRect">
          <a:avLst>
            <a:gd name="adj" fmla="val 8974"/>
          </a:avLst>
        </a:prstGeom>
        <a:solidFill>
          <a:srgbClr val="1328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6</xdr:col>
      <xdr:colOff>378142</xdr:colOff>
      <xdr:row>40</xdr:row>
      <xdr:rowOff>6985</xdr:rowOff>
    </xdr:from>
    <xdr:to>
      <xdr:col>14</xdr:col>
      <xdr:colOff>227267</xdr:colOff>
      <xdr:row>47</xdr:row>
      <xdr:rowOff>38040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EE19F96-6821-A930-DB6A-1B74B205C22B}"/>
            </a:ext>
          </a:extLst>
        </xdr:cNvPr>
        <xdr:cNvSpPr/>
      </xdr:nvSpPr>
      <xdr:spPr>
        <a:xfrm>
          <a:off x="3997642" y="6991985"/>
          <a:ext cx="4675125" cy="1253430"/>
        </a:xfrm>
        <a:prstGeom prst="roundRect">
          <a:avLst>
            <a:gd name="adj" fmla="val 8974"/>
          </a:avLst>
        </a:prstGeom>
        <a:solidFill>
          <a:srgbClr val="1328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6</xdr:col>
      <xdr:colOff>325119</xdr:colOff>
      <xdr:row>49</xdr:row>
      <xdr:rowOff>56513</xdr:rowOff>
    </xdr:from>
    <xdr:to>
      <xdr:col>14</xdr:col>
      <xdr:colOff>207499</xdr:colOff>
      <xdr:row>68</xdr:row>
      <xdr:rowOff>122638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260C6B7-3A3E-12C4-8F79-AE948CE7EEA0}"/>
            </a:ext>
          </a:extLst>
        </xdr:cNvPr>
        <xdr:cNvSpPr/>
      </xdr:nvSpPr>
      <xdr:spPr>
        <a:xfrm>
          <a:off x="3944619" y="8613138"/>
          <a:ext cx="4708380" cy="3384000"/>
        </a:xfrm>
        <a:prstGeom prst="roundRect">
          <a:avLst>
            <a:gd name="adj" fmla="val 7759"/>
          </a:avLst>
        </a:prstGeom>
        <a:solidFill>
          <a:srgbClr val="1328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33</xdr:col>
      <xdr:colOff>469898</xdr:colOff>
      <xdr:row>11</xdr:row>
      <xdr:rowOff>59690</xdr:rowOff>
    </xdr:from>
    <xdr:to>
      <xdr:col>41</xdr:col>
      <xdr:colOff>181803</xdr:colOff>
      <xdr:row>23</xdr:row>
      <xdr:rowOff>23810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37CDC7A-216F-4CB0-88F9-F72ECA2A87D6}"/>
            </a:ext>
          </a:extLst>
        </xdr:cNvPr>
        <xdr:cNvSpPr/>
      </xdr:nvSpPr>
      <xdr:spPr>
        <a:xfrm>
          <a:off x="20377148" y="1980565"/>
          <a:ext cx="4537905" cy="2059620"/>
        </a:xfrm>
        <a:prstGeom prst="roundRect">
          <a:avLst>
            <a:gd name="adj" fmla="val 8974"/>
          </a:avLst>
        </a:prstGeom>
        <a:gradFill>
          <a:gsLst>
            <a:gs pos="0">
              <a:srgbClr val="1A0A00"/>
            </a:gs>
            <a:gs pos="100000">
              <a:srgbClr val="1A0A00"/>
            </a:gs>
          </a:gsLst>
          <a:lin ang="81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14</xdr:col>
      <xdr:colOff>559432</xdr:colOff>
      <xdr:row>11</xdr:row>
      <xdr:rowOff>61595</xdr:rowOff>
    </xdr:from>
    <xdr:to>
      <xdr:col>33</xdr:col>
      <xdr:colOff>11397</xdr:colOff>
      <xdr:row>39</xdr:row>
      <xdr:rowOff>70000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B3B5489-A1A5-4A5C-BABB-9E3CD1EA76B3}"/>
            </a:ext>
          </a:extLst>
        </xdr:cNvPr>
        <xdr:cNvSpPr/>
      </xdr:nvSpPr>
      <xdr:spPr>
        <a:xfrm>
          <a:off x="9004932" y="1982470"/>
          <a:ext cx="10913715" cy="4897905"/>
        </a:xfrm>
        <a:prstGeom prst="roundRect">
          <a:avLst>
            <a:gd name="adj" fmla="val 8974"/>
          </a:avLst>
        </a:prstGeom>
        <a:solidFill>
          <a:srgbClr val="1328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14</xdr:col>
      <xdr:colOff>483867</xdr:colOff>
      <xdr:row>40</xdr:row>
      <xdr:rowOff>162560</xdr:rowOff>
    </xdr:from>
    <xdr:to>
      <xdr:col>32</xdr:col>
      <xdr:colOff>550512</xdr:colOff>
      <xdr:row>69</xdr:row>
      <xdr:rowOff>150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6AFB7EC-F2D8-CA4C-0320-DC5B1FFD811F}"/>
            </a:ext>
          </a:extLst>
        </xdr:cNvPr>
        <xdr:cNvSpPr/>
      </xdr:nvSpPr>
      <xdr:spPr>
        <a:xfrm>
          <a:off x="8929367" y="7147560"/>
          <a:ext cx="10925145" cy="4901715"/>
        </a:xfrm>
        <a:prstGeom prst="roundRect">
          <a:avLst>
            <a:gd name="adj" fmla="val 8974"/>
          </a:avLst>
        </a:prstGeom>
        <a:solidFill>
          <a:srgbClr val="1328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33</xdr:col>
      <xdr:colOff>435607</xdr:colOff>
      <xdr:row>25</xdr:row>
      <xdr:rowOff>19685</xdr:rowOff>
    </xdr:from>
    <xdr:to>
      <xdr:col>41</xdr:col>
      <xdr:colOff>142007</xdr:colOff>
      <xdr:row>67</xdr:row>
      <xdr:rowOff>57815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09F9C73-F93A-46FC-966B-9F0702FE6B50}"/>
            </a:ext>
          </a:extLst>
        </xdr:cNvPr>
        <xdr:cNvSpPr/>
      </xdr:nvSpPr>
      <xdr:spPr>
        <a:xfrm>
          <a:off x="20342857" y="4385310"/>
          <a:ext cx="4532400" cy="7372380"/>
        </a:xfrm>
        <a:prstGeom prst="roundRect">
          <a:avLst>
            <a:gd name="adj" fmla="val 8974"/>
          </a:avLst>
        </a:prstGeom>
        <a:solidFill>
          <a:srgbClr val="1328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34</xdr:col>
      <xdr:colOff>19685</xdr:colOff>
      <xdr:row>6</xdr:row>
      <xdr:rowOff>0</xdr:rowOff>
    </xdr:from>
    <xdr:to>
      <xdr:col>41</xdr:col>
      <xdr:colOff>55880</xdr:colOff>
      <xdr:row>9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0FFC3A4-4294-F6D2-138D-C570F38D2F1C}"/>
            </a:ext>
          </a:extLst>
        </xdr:cNvPr>
        <xdr:cNvSpPr txBox="1"/>
      </xdr:nvSpPr>
      <xdr:spPr>
        <a:xfrm>
          <a:off x="20530185" y="1047750"/>
          <a:ext cx="4258945" cy="619125"/>
        </a:xfrm>
        <a:prstGeom prst="rect">
          <a:avLst/>
        </a:prstGeom>
        <a:solidFill>
          <a:srgbClr val="13284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solidFill>
                <a:schemeClr val="bg1">
                  <a:lumMod val="50000"/>
                </a:schemeClr>
              </a:solidFill>
            </a:rPr>
            <a:t> Updated: </a:t>
          </a:r>
          <a:r>
            <a:rPr lang="en-US" sz="2800">
              <a:solidFill>
                <a:schemeClr val="bg1"/>
              </a:solidFill>
            </a:rPr>
            <a:t>16 May 2026 </a:t>
          </a:r>
          <a:endParaRPr lang="en-GH" sz="28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55879</xdr:colOff>
      <xdr:row>10</xdr:row>
      <xdr:rowOff>151129</xdr:rowOff>
    </xdr:from>
    <xdr:to>
      <xdr:col>14</xdr:col>
      <xdr:colOff>35560</xdr:colOff>
      <xdr:row>11</xdr:row>
      <xdr:rowOff>111125</xdr:rowOff>
    </xdr:to>
    <xdr:sp macro="" textlink="">
      <xdr:nvSpPr>
        <xdr:cNvPr id="14" name="Rectangle: Top Corners Snipped 13">
          <a:extLst>
            <a:ext uri="{FF2B5EF4-FFF2-40B4-BE49-F238E27FC236}">
              <a16:creationId xmlns:a16="http://schemas.microsoft.com/office/drawing/2014/main" id="{69C960A9-EFE3-4C87-FDAD-C49D3EC3BE11}"/>
            </a:ext>
          </a:extLst>
        </xdr:cNvPr>
        <xdr:cNvSpPr/>
      </xdr:nvSpPr>
      <xdr:spPr>
        <a:xfrm>
          <a:off x="4278629" y="1897379"/>
          <a:ext cx="4202431" cy="134621"/>
        </a:xfrm>
        <a:prstGeom prst="snip2SameRect">
          <a:avLst>
            <a:gd name="adj1" fmla="val 50000"/>
            <a:gd name="adj2" fmla="val 7895"/>
          </a:avLst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7</xdr:col>
      <xdr:colOff>93344</xdr:colOff>
      <xdr:row>20</xdr:row>
      <xdr:rowOff>78739</xdr:rowOff>
    </xdr:from>
    <xdr:to>
      <xdr:col>14</xdr:col>
      <xdr:colOff>55880</xdr:colOff>
      <xdr:row>21</xdr:row>
      <xdr:rowOff>34925</xdr:rowOff>
    </xdr:to>
    <xdr:sp macro="" textlink="">
      <xdr:nvSpPr>
        <xdr:cNvPr id="16" name="Rectangle: Top Corners Snipped 15">
          <a:extLst>
            <a:ext uri="{FF2B5EF4-FFF2-40B4-BE49-F238E27FC236}">
              <a16:creationId xmlns:a16="http://schemas.microsoft.com/office/drawing/2014/main" id="{E23AE940-01DE-9F7D-84A6-0BC7C5174208}"/>
            </a:ext>
          </a:extLst>
        </xdr:cNvPr>
        <xdr:cNvSpPr/>
      </xdr:nvSpPr>
      <xdr:spPr>
        <a:xfrm>
          <a:off x="4316094" y="3571239"/>
          <a:ext cx="4185286" cy="130811"/>
        </a:xfrm>
        <a:prstGeom prst="snip2SameRect">
          <a:avLst>
            <a:gd name="adj1" fmla="val 50000"/>
            <a:gd name="adj2" fmla="val 7895"/>
          </a:avLst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7</xdr:col>
      <xdr:colOff>134619</xdr:colOff>
      <xdr:row>30</xdr:row>
      <xdr:rowOff>6349</xdr:rowOff>
    </xdr:from>
    <xdr:to>
      <xdr:col>14</xdr:col>
      <xdr:colOff>97155</xdr:colOff>
      <xdr:row>30</xdr:row>
      <xdr:rowOff>137160</xdr:rowOff>
    </xdr:to>
    <xdr:sp macro="" textlink="">
      <xdr:nvSpPr>
        <xdr:cNvPr id="17" name="Rectangle: Top Corners Snipped 16">
          <a:extLst>
            <a:ext uri="{FF2B5EF4-FFF2-40B4-BE49-F238E27FC236}">
              <a16:creationId xmlns:a16="http://schemas.microsoft.com/office/drawing/2014/main" id="{32542671-3EA9-E30D-DFAC-7A5580C229CF}"/>
            </a:ext>
          </a:extLst>
        </xdr:cNvPr>
        <xdr:cNvSpPr/>
      </xdr:nvSpPr>
      <xdr:spPr>
        <a:xfrm>
          <a:off x="4357369" y="5245099"/>
          <a:ext cx="4185286" cy="130811"/>
        </a:xfrm>
        <a:prstGeom prst="snip2SameRect">
          <a:avLst>
            <a:gd name="adj1" fmla="val 50000"/>
            <a:gd name="adj2" fmla="val 7895"/>
          </a:avLst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7</xdr:col>
      <xdr:colOff>164464</xdr:colOff>
      <xdr:row>39</xdr:row>
      <xdr:rowOff>112394</xdr:rowOff>
    </xdr:from>
    <xdr:to>
      <xdr:col>14</xdr:col>
      <xdr:colOff>127000</xdr:colOff>
      <xdr:row>40</xdr:row>
      <xdr:rowOff>62865</xdr:rowOff>
    </xdr:to>
    <xdr:sp macro="" textlink="">
      <xdr:nvSpPr>
        <xdr:cNvPr id="18" name="Rectangle: Top Corners Snipped 17">
          <a:extLst>
            <a:ext uri="{FF2B5EF4-FFF2-40B4-BE49-F238E27FC236}">
              <a16:creationId xmlns:a16="http://schemas.microsoft.com/office/drawing/2014/main" id="{B5FA9928-3DBF-BE92-E32F-B909F20A74E6}"/>
            </a:ext>
          </a:extLst>
        </xdr:cNvPr>
        <xdr:cNvSpPr/>
      </xdr:nvSpPr>
      <xdr:spPr>
        <a:xfrm>
          <a:off x="4387214" y="6922769"/>
          <a:ext cx="4185286" cy="125096"/>
        </a:xfrm>
        <a:prstGeom prst="snip2SameRect">
          <a:avLst>
            <a:gd name="adj1" fmla="val 50000"/>
            <a:gd name="adj2" fmla="val 7895"/>
          </a:avLst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6</xdr:col>
      <xdr:colOff>460375</xdr:colOff>
      <xdr:row>12</xdr:row>
      <xdr:rowOff>0</xdr:rowOff>
    </xdr:from>
    <xdr:to>
      <xdr:col>10</xdr:col>
      <xdr:colOff>353060</xdr:colOff>
      <xdr:row>14</xdr:row>
      <xdr:rowOff>19685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9F62651-94A6-EE55-DCCD-B97E09381621}"/>
            </a:ext>
          </a:extLst>
        </xdr:cNvPr>
        <xdr:cNvSpPr txBox="1"/>
      </xdr:nvSpPr>
      <xdr:spPr>
        <a:xfrm>
          <a:off x="4079875" y="2095500"/>
          <a:ext cx="2305685" cy="368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/>
              </a:solidFill>
            </a:rPr>
            <a:t>TOTAL NET REVENUE</a:t>
          </a:r>
          <a:endParaRPr lang="en-GH" sz="16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471805</xdr:colOff>
      <xdr:row>21</xdr:row>
      <xdr:rowOff>104775</xdr:rowOff>
    </xdr:from>
    <xdr:to>
      <xdr:col>10</xdr:col>
      <xdr:colOff>368300</xdr:colOff>
      <xdr:row>23</xdr:row>
      <xdr:rowOff>124460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BE2751C-3B6E-4814-8377-F6D4869CD391}"/>
            </a:ext>
          </a:extLst>
        </xdr:cNvPr>
        <xdr:cNvSpPr txBox="1"/>
      </xdr:nvSpPr>
      <xdr:spPr>
        <a:xfrm>
          <a:off x="4091305" y="3771900"/>
          <a:ext cx="2309495" cy="368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/>
              </a:solidFill>
            </a:rPr>
            <a:t>TOTAL ORDERS</a:t>
          </a:r>
          <a:endParaRPr lang="en-GH" sz="16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449580</xdr:colOff>
      <xdr:row>31</xdr:row>
      <xdr:rowOff>66675</xdr:rowOff>
    </xdr:from>
    <xdr:to>
      <xdr:col>10</xdr:col>
      <xdr:colOff>338455</xdr:colOff>
      <xdr:row>33</xdr:row>
      <xdr:rowOff>86360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6FCF3BF-AFBD-4E3C-2CEC-06834A0DA8EB}"/>
            </a:ext>
          </a:extLst>
        </xdr:cNvPr>
        <xdr:cNvSpPr txBox="1"/>
      </xdr:nvSpPr>
      <xdr:spPr>
        <a:xfrm>
          <a:off x="4069080" y="5480050"/>
          <a:ext cx="2301875" cy="368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/>
              </a:solidFill>
            </a:rPr>
            <a:t>AVG ORDER VALUE</a:t>
          </a:r>
          <a:endParaRPr lang="en-GH" sz="16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455295</xdr:colOff>
      <xdr:row>41</xdr:row>
      <xdr:rowOff>12700</xdr:rowOff>
    </xdr:from>
    <xdr:to>
      <xdr:col>10</xdr:col>
      <xdr:colOff>344170</xdr:colOff>
      <xdr:row>43</xdr:row>
      <xdr:rowOff>32385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BACB51E-62FA-C262-1A6A-FDD8693FED49}"/>
            </a:ext>
          </a:extLst>
        </xdr:cNvPr>
        <xdr:cNvSpPr txBox="1"/>
      </xdr:nvSpPr>
      <xdr:spPr>
        <a:xfrm>
          <a:off x="4074795" y="7172325"/>
          <a:ext cx="2301875" cy="368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/>
              </a:solidFill>
            </a:rPr>
            <a:t>TOP REGION</a:t>
          </a:r>
          <a:endParaRPr lang="en-GH" sz="16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514350</xdr:colOff>
      <xdr:row>14</xdr:row>
      <xdr:rowOff>158114</xdr:rowOff>
    </xdr:from>
    <xdr:to>
      <xdr:col>10</xdr:col>
      <xdr:colOff>283845</xdr:colOff>
      <xdr:row>17</xdr:row>
      <xdr:rowOff>111124</xdr:rowOff>
    </xdr:to>
    <xdr:sp macro="" textlink="KPIs!B2">
      <xdr:nvSpPr>
        <xdr:cNvPr id="23" name="TextBox 22">
          <a:extLst>
            <a:ext uri="{FF2B5EF4-FFF2-40B4-BE49-F238E27FC236}">
              <a16:creationId xmlns:a16="http://schemas.microsoft.com/office/drawing/2014/main" id="{7024BC6E-86FA-7490-703F-56EF83F9B1CC}"/>
            </a:ext>
          </a:extLst>
        </xdr:cNvPr>
        <xdr:cNvSpPr txBox="1"/>
      </xdr:nvSpPr>
      <xdr:spPr>
        <a:xfrm>
          <a:off x="4133850" y="2602864"/>
          <a:ext cx="2182495" cy="476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485864B-B392-40D4-9653-B1F0AF54B120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t>₦120.1M</a:t>
          </a:fld>
          <a:endParaRPr lang="en-GH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510540</xdr:colOff>
      <xdr:row>24</xdr:row>
      <xdr:rowOff>43179</xdr:rowOff>
    </xdr:from>
    <xdr:to>
      <xdr:col>10</xdr:col>
      <xdr:colOff>287655</xdr:colOff>
      <xdr:row>26</xdr:row>
      <xdr:rowOff>167004</xdr:rowOff>
    </xdr:to>
    <xdr:sp macro="" textlink="KPIs!B3">
      <xdr:nvSpPr>
        <xdr:cNvPr id="24" name="TextBox 23">
          <a:extLst>
            <a:ext uri="{FF2B5EF4-FFF2-40B4-BE49-F238E27FC236}">
              <a16:creationId xmlns:a16="http://schemas.microsoft.com/office/drawing/2014/main" id="{3E7E4E6D-B218-4FC9-836D-BB908A63C21B}"/>
            </a:ext>
          </a:extLst>
        </xdr:cNvPr>
        <xdr:cNvSpPr txBox="1"/>
      </xdr:nvSpPr>
      <xdr:spPr>
        <a:xfrm>
          <a:off x="4130040" y="4234179"/>
          <a:ext cx="2190115" cy="473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F571669-B81C-4C61-A90D-CCBF7C5A50E1}" type="TxLink">
            <a:rPr lang="en-US" sz="2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910</a:t>
          </a:fld>
          <a:endParaRPr lang="en-GH" sz="24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514350</xdr:colOff>
      <xdr:row>33</xdr:row>
      <xdr:rowOff>140334</xdr:rowOff>
    </xdr:from>
    <xdr:to>
      <xdr:col>10</xdr:col>
      <xdr:colOff>283845</xdr:colOff>
      <xdr:row>36</xdr:row>
      <xdr:rowOff>93344</xdr:rowOff>
    </xdr:to>
    <xdr:sp macro="" textlink="KPIs!B4">
      <xdr:nvSpPr>
        <xdr:cNvPr id="25" name="TextBox 24">
          <a:extLst>
            <a:ext uri="{FF2B5EF4-FFF2-40B4-BE49-F238E27FC236}">
              <a16:creationId xmlns:a16="http://schemas.microsoft.com/office/drawing/2014/main" id="{4C017916-1EDB-44F4-BD9F-A86D8F15836A}"/>
            </a:ext>
          </a:extLst>
        </xdr:cNvPr>
        <xdr:cNvSpPr txBox="1"/>
      </xdr:nvSpPr>
      <xdr:spPr>
        <a:xfrm>
          <a:off x="4133850" y="5902959"/>
          <a:ext cx="2182495" cy="476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EDAAC9C-FB19-41A0-A253-24CCF4340577}" type="TxLink">
            <a:rPr lang="en-US" sz="2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₦132.0K</a:t>
          </a:fld>
          <a:endParaRPr lang="en-GH" sz="24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524510</xdr:colOff>
      <xdr:row>43</xdr:row>
      <xdr:rowOff>60959</xdr:rowOff>
    </xdr:from>
    <xdr:to>
      <xdr:col>10</xdr:col>
      <xdr:colOff>301625</xdr:colOff>
      <xdr:row>46</xdr:row>
      <xdr:rowOff>21589</xdr:rowOff>
    </xdr:to>
    <xdr:sp macro="" textlink="KPIs!B5">
      <xdr:nvSpPr>
        <xdr:cNvPr id="26" name="TextBox 25">
          <a:extLst>
            <a:ext uri="{FF2B5EF4-FFF2-40B4-BE49-F238E27FC236}">
              <a16:creationId xmlns:a16="http://schemas.microsoft.com/office/drawing/2014/main" id="{260BEF31-0938-430A-8743-842BC3CE83D0}"/>
            </a:ext>
          </a:extLst>
        </xdr:cNvPr>
        <xdr:cNvSpPr txBox="1"/>
      </xdr:nvSpPr>
      <xdr:spPr>
        <a:xfrm>
          <a:off x="4144010" y="7569834"/>
          <a:ext cx="2190115" cy="484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F58449A-65BA-4D68-9F8A-E6A161F95A5C}" type="TxLink">
            <a:rPr lang="en-US" sz="2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East</a:t>
          </a:fld>
          <a:endParaRPr lang="en-GH" sz="24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34</xdr:col>
      <xdr:colOff>192405</xdr:colOff>
      <xdr:row>12</xdr:row>
      <xdr:rowOff>133985</xdr:rowOff>
    </xdr:from>
    <xdr:to>
      <xdr:col>38</xdr:col>
      <xdr:colOff>98425</xdr:colOff>
      <xdr:row>14</xdr:row>
      <xdr:rowOff>136525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740A1FB-51E6-4B7C-9A8E-5BC0346A1DF5}"/>
            </a:ext>
          </a:extLst>
        </xdr:cNvPr>
        <xdr:cNvSpPr txBox="1"/>
      </xdr:nvSpPr>
      <xdr:spPr>
        <a:xfrm>
          <a:off x="20702905" y="2229485"/>
          <a:ext cx="2319020" cy="351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solidFill>
                <a:schemeClr val="bg1"/>
              </a:solidFill>
            </a:rPr>
            <a:t>🏆 </a:t>
          </a:r>
          <a:r>
            <a:rPr lang="en-US" sz="1800">
              <a:solidFill>
                <a:schemeClr val="accent6">
                  <a:lumMod val="75000"/>
                </a:schemeClr>
              </a:solidFill>
            </a:rPr>
            <a:t>TOP PRODUCT</a:t>
          </a:r>
          <a:endParaRPr lang="en-GH" sz="18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34</xdr:col>
      <xdr:colOff>250824</xdr:colOff>
      <xdr:row>15</xdr:row>
      <xdr:rowOff>5713</xdr:rowOff>
    </xdr:from>
    <xdr:to>
      <xdr:col>38</xdr:col>
      <xdr:colOff>365124</xdr:colOff>
      <xdr:row>19</xdr:row>
      <xdr:rowOff>161289</xdr:rowOff>
    </xdr:to>
    <xdr:sp macro="" textlink="KPIs!B6">
      <xdr:nvSpPr>
        <xdr:cNvPr id="28" name="TextBox 27">
          <a:extLst>
            <a:ext uri="{FF2B5EF4-FFF2-40B4-BE49-F238E27FC236}">
              <a16:creationId xmlns:a16="http://schemas.microsoft.com/office/drawing/2014/main" id="{07E93C07-2049-4226-BBC9-CE49934DB7CB}"/>
            </a:ext>
          </a:extLst>
        </xdr:cNvPr>
        <xdr:cNvSpPr txBox="1"/>
      </xdr:nvSpPr>
      <xdr:spPr>
        <a:xfrm>
          <a:off x="20761324" y="2625088"/>
          <a:ext cx="2527300" cy="854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F303083-B2A4-4691-96A0-6705CB9BC9EF}" type="TxLink">
            <a:rPr lang="en-US" sz="2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NutriMix Cereal Box 500g</a:t>
          </a:fld>
          <a:endParaRPr lang="en-GH" sz="24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34</xdr:col>
      <xdr:colOff>249555</xdr:colOff>
      <xdr:row>19</xdr:row>
      <xdr:rowOff>168275</xdr:rowOff>
    </xdr:from>
    <xdr:to>
      <xdr:col>38</xdr:col>
      <xdr:colOff>146050</xdr:colOff>
      <xdr:row>22</xdr:row>
      <xdr:rowOff>13335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6DCF7EA-E905-453F-AC0D-D27C88127816}"/>
            </a:ext>
          </a:extLst>
        </xdr:cNvPr>
        <xdr:cNvSpPr txBox="1"/>
      </xdr:nvSpPr>
      <xdr:spPr>
        <a:xfrm>
          <a:off x="20760055" y="3486150"/>
          <a:ext cx="2309495" cy="368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>
                  <a:lumMod val="50000"/>
                </a:schemeClr>
              </a:solidFill>
            </a:rPr>
            <a:t>Breakfast Category</a:t>
          </a:r>
          <a:endParaRPr lang="en-GH" sz="16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39</xdr:col>
      <xdr:colOff>278764</xdr:colOff>
      <xdr:row>12</xdr:row>
      <xdr:rowOff>85088</xdr:rowOff>
    </xdr:from>
    <xdr:to>
      <xdr:col>40</xdr:col>
      <xdr:colOff>539750</xdr:colOff>
      <xdr:row>17</xdr:row>
      <xdr:rowOff>67944</xdr:rowOff>
    </xdr:to>
    <xdr:sp macro="" textlink="KPIs!B6">
      <xdr:nvSpPr>
        <xdr:cNvPr id="30" name="TextBox 29">
          <a:extLst>
            <a:ext uri="{FF2B5EF4-FFF2-40B4-BE49-F238E27FC236}">
              <a16:creationId xmlns:a16="http://schemas.microsoft.com/office/drawing/2014/main" id="{8A53B248-3FD8-406E-A7DC-8AD547FE9466}"/>
            </a:ext>
          </a:extLst>
        </xdr:cNvPr>
        <xdr:cNvSpPr txBox="1"/>
      </xdr:nvSpPr>
      <xdr:spPr>
        <a:xfrm>
          <a:off x="23805514" y="2180588"/>
          <a:ext cx="864236" cy="855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4400" b="0" i="0" u="none" strike="noStrike">
              <a:solidFill>
                <a:schemeClr val="accent6">
                  <a:lumMod val="50000"/>
                </a:schemeClr>
              </a:solidFill>
              <a:latin typeface="Calibri"/>
              <a:ea typeface="+mn-ea"/>
              <a:cs typeface="Calibri"/>
            </a:rPr>
            <a:t>#1</a:t>
          </a:r>
          <a:endParaRPr lang="en-GH" sz="4400" b="0" i="0" u="none" strike="noStrike">
            <a:solidFill>
              <a:schemeClr val="accent6">
                <a:lumMod val="50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39</xdr:col>
      <xdr:colOff>0</xdr:colOff>
      <xdr:row>19</xdr:row>
      <xdr:rowOff>122553</xdr:rowOff>
    </xdr:from>
    <xdr:to>
      <xdr:col>42</xdr:col>
      <xdr:colOff>247650</xdr:colOff>
      <xdr:row>22</xdr:row>
      <xdr:rowOff>113031</xdr:rowOff>
    </xdr:to>
    <xdr:sp macro="" textlink="'Pivot Tables'!K30">
      <xdr:nvSpPr>
        <xdr:cNvPr id="31" name="TextBox 30">
          <a:extLst>
            <a:ext uri="{FF2B5EF4-FFF2-40B4-BE49-F238E27FC236}">
              <a16:creationId xmlns:a16="http://schemas.microsoft.com/office/drawing/2014/main" id="{F78EBE9C-C1E7-4334-869A-BDEB319E780C}"/>
            </a:ext>
          </a:extLst>
        </xdr:cNvPr>
        <xdr:cNvSpPr txBox="1"/>
      </xdr:nvSpPr>
      <xdr:spPr>
        <a:xfrm>
          <a:off x="23526750" y="3440428"/>
          <a:ext cx="2057400" cy="514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169F8ED-F98C-4EF9-8D3F-F6F7EC99839E}" type="TxLink">
            <a:rPr lang="en-US" sz="2400" b="1" i="0" u="none" strike="noStrike">
              <a:solidFill>
                <a:schemeClr val="accent6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/>
            <a:t>₦31.7M</a:t>
          </a:fld>
          <a:endParaRPr lang="en-GH" sz="2400" b="1" i="0" u="none" strike="noStrike">
            <a:solidFill>
              <a:schemeClr val="accent6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135255</xdr:colOff>
      <xdr:row>17</xdr:row>
      <xdr:rowOff>63500</xdr:rowOff>
    </xdr:from>
    <xdr:to>
      <xdr:col>31</xdr:col>
      <xdr:colOff>460375</xdr:colOff>
      <xdr:row>38</xdr:row>
      <xdr:rowOff>79375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BC309D3A-0BC2-317A-7FEF-E9781C848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110808</xdr:colOff>
      <xdr:row>12</xdr:row>
      <xdr:rowOff>21906</xdr:rowOff>
    </xdr:from>
    <xdr:to>
      <xdr:col>24</xdr:col>
      <xdr:colOff>186214</xdr:colOff>
      <xdr:row>17</xdr:row>
      <xdr:rowOff>21906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862C7BC-B1DC-4AA6-B3D6-E3DFCD3E8D84}"/>
            </a:ext>
          </a:extLst>
        </xdr:cNvPr>
        <xdr:cNvSpPr txBox="1"/>
      </xdr:nvSpPr>
      <xdr:spPr>
        <a:xfrm>
          <a:off x="9219089" y="2165031"/>
          <a:ext cx="5540375" cy="8929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600" b="1">
              <a:solidFill>
                <a:schemeClr val="bg1"/>
              </a:solidFill>
            </a:rPr>
            <a:t>Monthly Revenue Trend</a:t>
          </a:r>
        </a:p>
        <a:p>
          <a:r>
            <a:rPr lang="en-US" sz="1400" b="0">
              <a:solidFill>
                <a:schemeClr val="bg1">
                  <a:lumMod val="65000"/>
                </a:schemeClr>
              </a:solidFill>
            </a:rPr>
            <a:t>Paid Orders . Jan 2024 - May 2026</a:t>
          </a:r>
        </a:p>
        <a:p>
          <a:endParaRPr lang="en-GH" sz="2600" b="1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591344</xdr:colOff>
      <xdr:row>12</xdr:row>
      <xdr:rowOff>107157</xdr:rowOff>
    </xdr:from>
    <xdr:to>
      <xdr:col>31</xdr:col>
      <xdr:colOff>478314</xdr:colOff>
      <xdr:row>14</xdr:row>
      <xdr:rowOff>119222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3BD609D-C4C2-4771-AC83-58B359EFFC0E}"/>
            </a:ext>
          </a:extLst>
        </xdr:cNvPr>
        <xdr:cNvSpPr txBox="1"/>
      </xdr:nvSpPr>
      <xdr:spPr>
        <a:xfrm>
          <a:off x="16986250" y="2250282"/>
          <a:ext cx="2315845" cy="3692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accent6">
                  <a:lumMod val="75000"/>
                </a:schemeClr>
              </a:solidFill>
            </a:rPr>
            <a:t>2024</a:t>
          </a:r>
          <a:r>
            <a:rPr lang="en-US" sz="1800" b="1">
              <a:solidFill>
                <a:schemeClr val="bg1"/>
              </a:solidFill>
            </a:rPr>
            <a:t>    </a:t>
          </a:r>
          <a:r>
            <a:rPr lang="en-US" sz="1800" b="1">
              <a:solidFill>
                <a:srgbClr val="00D4AA"/>
              </a:solidFill>
            </a:rPr>
            <a:t>2025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800" b="1">
              <a:solidFill>
                <a:schemeClr val="tx2">
                  <a:lumMod val="20000"/>
                  <a:lumOff val="80000"/>
                </a:schemeClr>
              </a:solidFill>
              <a:effectLst/>
              <a:latin typeface="+mn-lt"/>
              <a:ea typeface="+mn-ea"/>
              <a:cs typeface="+mn-cs"/>
            </a:rPr>
            <a:t>2026</a:t>
          </a:r>
          <a:endParaRPr lang="en-GH" sz="1800" b="1">
            <a:solidFill>
              <a:schemeClr val="tx2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15</xdr:col>
      <xdr:colOff>95250</xdr:colOff>
      <xdr:row>45</xdr:row>
      <xdr:rowOff>0</xdr:rowOff>
    </xdr:from>
    <xdr:to>
      <xdr:col>32</xdr:col>
      <xdr:colOff>320040</xdr:colOff>
      <xdr:row>67</xdr:row>
      <xdr:rowOff>114300</xdr:rowOff>
    </xdr:to>
    <xdr:graphicFrame macro="">
      <xdr:nvGraphicFramePr>
        <xdr:cNvPr id="36" name="Chart 3">
          <a:extLst>
            <a:ext uri="{FF2B5EF4-FFF2-40B4-BE49-F238E27FC236}">
              <a16:creationId xmlns:a16="http://schemas.microsoft.com/office/drawing/2014/main" id="{0E464387-09A0-F5F4-7750-8B4BF0259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398939</xdr:colOff>
      <xdr:row>42</xdr:row>
      <xdr:rowOff>29526</xdr:rowOff>
    </xdr:from>
    <xdr:to>
      <xdr:col>24</xdr:col>
      <xdr:colOff>472440</xdr:colOff>
      <xdr:row>47</xdr:row>
      <xdr:rowOff>29526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680BF81-A38C-4ABE-9691-98F5CFF019A3}"/>
            </a:ext>
          </a:extLst>
        </xdr:cNvPr>
        <xdr:cNvSpPr txBox="1"/>
      </xdr:nvSpPr>
      <xdr:spPr>
        <a:xfrm>
          <a:off x="9542939" y="8030526"/>
          <a:ext cx="5559901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600" b="1">
              <a:solidFill>
                <a:schemeClr val="bg1"/>
              </a:solidFill>
            </a:rPr>
            <a:t>TOP</a:t>
          </a:r>
          <a:r>
            <a:rPr lang="en-US" sz="2600" b="1" baseline="0">
              <a:solidFill>
                <a:schemeClr val="bg1"/>
              </a:solidFill>
            </a:rPr>
            <a:t> 5 PRODUCTS</a:t>
          </a:r>
          <a:endParaRPr lang="en-GH" sz="26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0.89033</cdr:x>
      <cdr:y>0.09292</cdr:y>
    </cdr:from>
    <cdr:to>
      <cdr:x>0.91909</cdr:x>
      <cdr:y>0.16372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379DA7F7-639E-AD96-03E7-1F78840B88DA}"/>
            </a:ext>
          </a:extLst>
        </cdr:cNvPr>
        <cdr:cNvSpPr/>
      </cdr:nvSpPr>
      <cdr:spPr>
        <a:xfrm xmlns:a="http://schemas.openxmlformats.org/drawingml/2006/main">
          <a:off x="9433560" y="400050"/>
          <a:ext cx="304800" cy="304800"/>
        </a:xfrm>
        <a:prstGeom xmlns:a="http://schemas.openxmlformats.org/drawingml/2006/main" prst="ellipse">
          <a:avLst/>
        </a:prstGeom>
        <a:solidFill xmlns:a="http://schemas.openxmlformats.org/drawingml/2006/main">
          <a:srgbClr val="F59E0B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H" kern="1200"/>
        </a:p>
      </cdr:txBody>
    </cdr:sp>
  </cdr:relSizeAnchor>
  <cdr:relSizeAnchor xmlns:cdr="http://schemas.openxmlformats.org/drawingml/2006/chartDrawing">
    <cdr:from>
      <cdr:x>0.58013</cdr:x>
      <cdr:y>0.27729</cdr:y>
    </cdr:from>
    <cdr:to>
      <cdr:x>0.60889</cdr:x>
      <cdr:y>0.34808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F4CB8FC7-BB84-6C06-C744-BD11A79D781C}"/>
            </a:ext>
          </a:extLst>
        </cdr:cNvPr>
        <cdr:cNvSpPr/>
      </cdr:nvSpPr>
      <cdr:spPr>
        <a:xfrm xmlns:a="http://schemas.openxmlformats.org/drawingml/2006/main">
          <a:off x="6146800" y="1193800"/>
          <a:ext cx="304800" cy="3048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>
            <a:lumMod val="75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H" kern="1200"/>
        </a:p>
      </cdr:txBody>
    </cdr:sp>
  </cdr:relSizeAnchor>
  <cdr:relSizeAnchor xmlns:cdr="http://schemas.openxmlformats.org/drawingml/2006/chartDrawing">
    <cdr:from>
      <cdr:x>0.52979</cdr:x>
      <cdr:y>0.46755</cdr:y>
    </cdr:from>
    <cdr:to>
      <cdr:x>0.55855</cdr:x>
      <cdr:y>0.53835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6C3B33A6-6163-95A2-3604-8ED1D3BA5A71}"/>
            </a:ext>
          </a:extLst>
        </cdr:cNvPr>
        <cdr:cNvSpPr/>
      </cdr:nvSpPr>
      <cdr:spPr>
        <a:xfrm xmlns:a="http://schemas.openxmlformats.org/drawingml/2006/main">
          <a:off x="5613400" y="2012950"/>
          <a:ext cx="304800" cy="3048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2">
            <a:lumMod val="20000"/>
            <a:lumOff val="8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H" kern="1200"/>
        </a:p>
      </cdr:txBody>
    </cdr:sp>
  </cdr:relSizeAnchor>
  <cdr:relSizeAnchor xmlns:cdr="http://schemas.openxmlformats.org/drawingml/2006/chartDrawing">
    <cdr:from>
      <cdr:x>0.48124</cdr:x>
      <cdr:y>0.64897</cdr:y>
    </cdr:from>
    <cdr:to>
      <cdr:x>0.51001</cdr:x>
      <cdr:y>0.71976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2CA7F0A4-A6AB-F0FC-1B59-93D0EDF32B0E}"/>
            </a:ext>
          </a:extLst>
        </cdr:cNvPr>
        <cdr:cNvSpPr/>
      </cdr:nvSpPr>
      <cdr:spPr>
        <a:xfrm xmlns:a="http://schemas.openxmlformats.org/drawingml/2006/main">
          <a:off x="5099050" y="2794000"/>
          <a:ext cx="304800" cy="304800"/>
        </a:xfrm>
        <a:prstGeom xmlns:a="http://schemas.openxmlformats.org/drawingml/2006/main" prst="ellipse">
          <a:avLst/>
        </a:prstGeom>
        <a:solidFill xmlns:a="http://schemas.openxmlformats.org/drawingml/2006/main">
          <a:srgbClr val="00B05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H" kern="1200"/>
        </a:p>
      </cdr:txBody>
    </cdr:sp>
  </cdr:relSizeAnchor>
  <cdr:relSizeAnchor xmlns:cdr="http://schemas.openxmlformats.org/drawingml/2006/chartDrawing">
    <cdr:from>
      <cdr:x>0.40753</cdr:x>
      <cdr:y>0.83923</cdr:y>
    </cdr:from>
    <cdr:to>
      <cdr:x>0.43629</cdr:x>
      <cdr:y>0.91003</cdr:y>
    </cdr:to>
    <cdr:sp macro="" textlink="">
      <cdr:nvSpPr>
        <cdr:cNvPr id="6" name="Oval 5">
          <a:extLst xmlns:a="http://schemas.openxmlformats.org/drawingml/2006/main">
            <a:ext uri="{FF2B5EF4-FFF2-40B4-BE49-F238E27FC236}">
              <a16:creationId xmlns:a16="http://schemas.microsoft.com/office/drawing/2014/main" id="{FD29E497-114B-3A6C-41F3-64849D614391}"/>
            </a:ext>
          </a:extLst>
        </cdr:cNvPr>
        <cdr:cNvSpPr/>
      </cdr:nvSpPr>
      <cdr:spPr>
        <a:xfrm xmlns:a="http://schemas.openxmlformats.org/drawingml/2006/main">
          <a:off x="4318000" y="3613150"/>
          <a:ext cx="304800" cy="304800"/>
        </a:xfrm>
        <a:prstGeom xmlns:a="http://schemas.openxmlformats.org/drawingml/2006/main" prst="ellipse">
          <a:avLst/>
        </a:prstGeom>
        <a:solidFill xmlns:a="http://schemas.openxmlformats.org/drawingml/2006/main">
          <a:srgbClr val="7030A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H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L" refreshedDate="46158.875518287037" createdVersion="8" refreshedVersion="8" minRefreshableVersion="3" recordCount="1416" xr:uid="{40FDB841-7AC9-498B-B72D-9449DC09B856}">
  <cacheSource type="worksheet">
    <worksheetSource name="data"/>
  </cacheSource>
  <cacheFields count="18">
    <cacheField name="Order ID" numFmtId="0">
      <sharedItems count="1416"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  <s v="ORD-1100"/>
        <s v="ORD-1101"/>
        <s v="ORD-1102"/>
        <s v="ORD-1103"/>
        <s v="ORD-1104"/>
        <s v="ORD-1105"/>
        <s v="ORD-1106"/>
        <s v="ORD-1107"/>
        <s v="ORD-1108"/>
        <s v="ORD-1109"/>
        <s v="ORD-1110"/>
        <s v="ORD-1111"/>
        <s v="ORD-1112"/>
        <s v="ORD-1113"/>
        <s v="ORD-1114"/>
        <s v="ORD-1115"/>
        <s v="ORD-1116"/>
        <s v="ORD-1117"/>
        <s v="ORD-1118"/>
        <s v="ORD-1119"/>
        <s v="ORD-1120"/>
        <s v="ORD-1500"/>
        <s v="ORD-1501"/>
        <s v="ORD-1502"/>
        <s v="ORD-1503"/>
        <s v="ORD-1504"/>
        <s v="ORD-1505"/>
        <s v="ORD-1506"/>
        <s v="ORD-1507"/>
        <s v="ORD-1508"/>
        <s v="ORD-1509"/>
        <s v="ORD-1510"/>
        <s v="ORD-1511"/>
        <s v="ORD-1512"/>
        <s v="ORD-1513"/>
        <s v="ORD-1514"/>
        <s v="ORD-1515"/>
        <s v="ORD-1516"/>
        <s v="ORD-1517"/>
        <s v="ORD-1518"/>
        <s v="ORD-1519"/>
        <s v="ORD-1520"/>
        <s v="ORD-1521"/>
        <s v="ORD-1522"/>
        <s v="ORD-1523"/>
        <s v="ORD-1524"/>
        <s v="ORD-1525"/>
        <s v="ORD-1526"/>
        <s v="ORD-1527"/>
        <s v="ORD-1528"/>
        <s v="ORD-1529"/>
        <s v="ORD-1530"/>
        <s v="ORD-1531"/>
        <s v="ORD-1532"/>
        <s v="ORD-1533"/>
        <s v="ORD-1534"/>
        <s v="ORD-1535"/>
        <s v="ORD-1536"/>
        <s v="ORD-1537"/>
        <s v="ORD-1538"/>
        <s v="ORD-1539"/>
        <s v="ORD-1540"/>
        <s v="ORD-1541"/>
        <s v="ORD-1542"/>
        <s v="ORD-1543"/>
        <s v="ORD-1544"/>
        <s v="ORD-1545"/>
        <s v="ORD-1546"/>
        <s v="ORD-1547"/>
        <s v="ORD-1548"/>
        <s v="ORD-1549"/>
        <s v="ORD-1550"/>
        <s v="ORD-1551"/>
        <s v="ORD-1552"/>
        <s v="ORD-1553"/>
        <s v="ORD-1554"/>
        <s v="ORD-1555"/>
        <s v="ORD-1556"/>
        <s v="ORD-1557"/>
        <s v="ORD-1558"/>
        <s v="ORD-1559"/>
        <s v="ORD-1560"/>
        <s v="ORD-1561"/>
        <s v="ORD-1562"/>
        <s v="ORD-1563"/>
        <s v="ORD-1564"/>
        <s v="ORD-1565"/>
        <s v="ORD-1566"/>
        <s v="ORD-1567"/>
        <s v="ORD-1568"/>
        <s v="ORD-1569"/>
        <s v="ORD-1570"/>
        <s v="ORD-1571"/>
        <s v="ORD-1572"/>
        <s v="ORD-1573"/>
        <s v="ORD-1574"/>
        <s v="ORD-1575"/>
        <s v="ORD-1576"/>
        <s v="ORD-1577"/>
        <s v="ORD-1578"/>
        <s v="ORD-1579"/>
        <s v="ORD-1580"/>
        <s v="ORD-1581"/>
        <s v="ORD-1582"/>
        <s v="ORD-1583"/>
        <s v="ORD-1584"/>
        <s v="ORD-1585"/>
        <s v="ORD-1586"/>
        <s v="ORD-1587"/>
        <s v="ORD-1588"/>
        <s v="ORD-1589"/>
        <s v="ORD-1590"/>
        <s v="ORD-1591"/>
        <s v="ORD-1592"/>
        <s v="ORD-1593"/>
        <s v="ORD-1594"/>
        <s v="ORD-1595"/>
        <s v="ORD-1596"/>
        <s v="ORD-1597"/>
        <s v="ORD-1598"/>
        <s v="ORD-1599"/>
        <s v="ORD-1600"/>
        <s v="ORD-1601"/>
        <s v="ORD-1602"/>
        <s v="ORD-1603"/>
        <s v="ORD-1604"/>
        <s v="ORD-1605"/>
        <s v="ORD-1606"/>
        <s v="ORD-1607"/>
        <s v="ORD-1608"/>
        <s v="ORD-1609"/>
        <s v="ORD-1610"/>
        <s v="ORD-1611"/>
        <s v="ORD-1612"/>
        <s v="ORD-1613"/>
        <s v="ORD-1614"/>
        <s v="ORD-1615"/>
        <s v="ORD-1616"/>
        <s v="ORD-1617"/>
        <s v="ORD-1618"/>
        <s v="ORD-1619"/>
        <s v="ORD-1620"/>
        <s v="ORD-1621"/>
        <s v="ORD-1622"/>
        <s v="ORD-1623"/>
        <s v="ORD-1624"/>
        <s v="ORD-1625"/>
        <s v="ORD-1626"/>
        <s v="ORD-1627"/>
        <s v="ORD-1628"/>
        <s v="ORD-1629"/>
        <s v="ORD-1630"/>
        <s v="ORD-1631"/>
        <s v="ORD-1632"/>
        <s v="ORD-1633"/>
        <s v="ORD-1634"/>
        <s v="ORD-1635"/>
        <s v="ORD-1636"/>
        <s v="ORD-1637"/>
        <s v="ORD-1638"/>
        <s v="ORD-1639"/>
        <s v="ORD-1640"/>
        <s v="ORD-1641"/>
        <s v="ORD-1642"/>
        <s v="ORD-1643"/>
        <s v="ORD-1644"/>
        <s v="ORD-1645"/>
        <s v="ORD-1646"/>
        <s v="ORD-1647"/>
        <s v="ORD-1648"/>
        <s v="ORD-1649"/>
        <s v="ORD-1650"/>
        <s v="ORD-1651"/>
        <s v="ORD-1652"/>
        <s v="ORD-1653"/>
        <s v="ORD-1654"/>
        <s v="ORD-1655"/>
        <s v="ORD-1656"/>
        <s v="ORD-1657"/>
        <s v="ORD-1658"/>
        <s v="ORD-1659"/>
        <s v="ORD-1660"/>
        <s v="ORD-1661"/>
        <s v="ORD-1662"/>
        <s v="ORD-1663"/>
        <s v="ORD-1664"/>
        <s v="ORD-1665"/>
        <s v="ORD-1666"/>
        <s v="ORD-1667"/>
        <s v="ORD-1668"/>
        <s v="ORD-1669"/>
        <s v="ORD-1670"/>
        <s v="ORD-1671"/>
        <s v="ORD-1672"/>
        <s v="ORD-1673"/>
        <s v="ORD-1674"/>
        <s v="ORD-1675"/>
        <s v="ORD-1676"/>
        <s v="ORD-1677"/>
        <s v="ORD-1678"/>
        <s v="ORD-1679"/>
        <s v="ORD-1680"/>
        <s v="ORD-1681"/>
        <s v="ORD-1682"/>
        <s v="ORD-1683"/>
        <s v="ORD-1684"/>
        <s v="ORD-1685"/>
        <s v="ORD-1686"/>
        <s v="ORD-1687"/>
        <s v="ORD-1688"/>
        <s v="ORD-1689"/>
        <s v="ORD-1690"/>
        <s v="ORD-1691"/>
        <s v="ORD-1692"/>
        <s v="ORD-1693"/>
        <s v="ORD-1694"/>
        <s v="ORD-1695"/>
        <s v="ORD-1696"/>
        <s v="ORD-1697"/>
        <s v="ORD-1698"/>
        <s v="ORD-1699"/>
        <s v="ORD-1700"/>
        <s v="ORD-1701"/>
        <s v="ORD-1702"/>
        <s v="ORD-1703"/>
        <s v="ORD-1704"/>
        <s v="ORD-1705"/>
        <s v="ORD-1706"/>
        <s v="ORD-1707"/>
        <s v="ORD-1708"/>
        <s v="ORD-1709"/>
        <s v="ORD-1710"/>
        <s v="ORD-1711"/>
        <s v="ORD-1712"/>
        <s v="ORD-1713"/>
        <s v="ORD-1714"/>
        <s v="ORD-1715"/>
        <s v="ORD-1716"/>
        <s v="ORD-1717"/>
        <s v="ORD-1718"/>
        <s v="ORD-1719"/>
        <s v="ORD-1720"/>
        <s v="ORD-1721"/>
        <s v="ORD-1722"/>
        <s v="ORD-1723"/>
        <s v="ORD-1724"/>
        <s v="ORD-1725"/>
        <s v="ORD-1726"/>
        <s v="ORD-1727"/>
        <s v="ORD-1728"/>
        <s v="ORD-1729"/>
        <s v="ORD-1730"/>
        <s v="ORD-1731"/>
        <s v="ORD-1732"/>
        <s v="ORD-1733"/>
        <s v="ORD-1734"/>
        <s v="ORD-1735"/>
        <s v="ORD-1736"/>
        <s v="ORD-1737"/>
        <s v="ORD-1738"/>
        <s v="ORD-1739"/>
        <s v="ORD-1740"/>
        <s v="ORD-1741"/>
        <s v="ORD-1742"/>
        <s v="ORD-1743"/>
        <s v="ORD-1744"/>
        <s v="ORD-1745"/>
        <s v="ORD-1746"/>
        <s v="ORD-1747"/>
        <s v="ORD-1748"/>
        <s v="ORD-1749"/>
        <s v="ORD-1750"/>
        <s v="ORD-1751"/>
        <s v="ORD-1752"/>
        <s v="ORD-1753"/>
        <s v="ORD-1754"/>
        <s v="ORD-1755"/>
        <s v="ORD-1756"/>
        <s v="ORD-1757"/>
        <s v="ORD-1758"/>
        <s v="ORD-1759"/>
        <s v="ORD-1760"/>
        <s v="ORD-1761"/>
        <s v="ORD-1762"/>
        <s v="ORD-1763"/>
        <s v="ORD-1764"/>
        <s v="ORD-1765"/>
        <s v="ORD-1766"/>
        <s v="ORD-1767"/>
        <s v="ORD-1768"/>
        <s v="ORD-1769"/>
        <s v="ORD-1770"/>
        <s v="ORD-1771"/>
        <s v="ORD-1772"/>
        <s v="ORD-1773"/>
        <s v="ORD-1774"/>
        <s v="ORD-1775"/>
        <s v="ORD-1776"/>
        <s v="ORD-1777"/>
        <s v="ORD-1778"/>
        <s v="ORD-1779"/>
        <s v="ORD-1780"/>
        <s v="ORD-1781"/>
        <s v="ORD-1782"/>
        <s v="ORD-1783"/>
        <s v="ORD-1784"/>
        <s v="ORD-1785"/>
        <s v="ORD-1786"/>
        <s v="ORD-1787"/>
        <s v="ORD-1788"/>
        <s v="ORD-1789"/>
        <s v="ORD-1790"/>
        <s v="ORD-1791"/>
        <s v="ORD-1792"/>
        <s v="ORD-1793"/>
        <s v="ORD-1794"/>
        <s v="ORD-1795"/>
        <s v="ORD-1796"/>
        <s v="ORD-1797"/>
        <s v="ORD-1798"/>
        <s v="ORD-1799"/>
        <s v="ORD-1800"/>
        <s v="ORD-1801"/>
        <s v="ORD-1802"/>
        <s v="ORD-1803"/>
        <s v="ORD-1804"/>
        <s v="ORD-1805"/>
        <s v="ORD-1806"/>
        <s v="ORD-1807"/>
        <s v="ORD-1808"/>
        <s v="ORD-1809"/>
        <s v="ORD-1810"/>
        <s v="ORD-1811"/>
        <s v="ORD-1812"/>
        <s v="ORD-1813"/>
        <s v="ORD-1814"/>
        <s v="ORD-1815"/>
        <s v="ORD-1816"/>
        <s v="ORD-1817"/>
        <s v="ORD-1818"/>
        <s v="ORD-1819"/>
        <s v="ORD-1820"/>
        <s v="ORD-1821"/>
        <s v="ORD-1822"/>
        <s v="ORD-1823"/>
        <s v="ORD-1824"/>
        <s v="ORD-1825"/>
        <s v="ORD-1826"/>
        <s v="ORD-1827"/>
        <s v="ORD-1828"/>
        <s v="ORD-1829"/>
        <s v="ORD-1830"/>
        <s v="ORD-1831"/>
        <s v="ORD-1832"/>
        <s v="ORD-1833"/>
        <s v="ORD-1834"/>
        <s v="ORD-1835"/>
        <s v="ORD-1836"/>
        <s v="ORD-1837"/>
        <s v="ORD-1838"/>
        <s v="ORD-1839"/>
        <s v="ORD-1840"/>
        <s v="ORD-1841"/>
        <s v="ORD-1842"/>
        <s v="ORD-1843"/>
        <s v="ORD-1844"/>
        <s v="ORD-1845"/>
        <s v="ORD-1846"/>
        <s v="ORD-1847"/>
        <s v="ORD-1848"/>
        <s v="ORD-1849"/>
        <s v="ORD-1850"/>
        <s v="ORD-1851"/>
        <s v="ORD-1852"/>
        <s v="ORD-1853"/>
        <s v="ORD-1854"/>
        <s v="ORD-1855"/>
        <s v="ORD-1856"/>
        <s v="ORD-1857"/>
        <s v="ORD-1858"/>
        <s v="ORD-1859"/>
        <s v="ORD-1860"/>
        <s v="ORD-1861"/>
        <s v="ORD-1862"/>
        <s v="ORD-1863"/>
        <s v="ORD-1864"/>
        <s v="ORD-1865"/>
        <s v="ORD-1866"/>
        <s v="ORD-1867"/>
        <s v="ORD-1868"/>
        <s v="ORD-1869"/>
        <s v="ORD-1870"/>
        <s v="ORD-1871"/>
        <s v="ORD-1872"/>
        <s v="ORD-1873"/>
        <s v="ORD-1874"/>
        <s v="ORD-1875"/>
        <s v="ORD-1876"/>
        <s v="ORD-1877"/>
        <s v="ORD-1878"/>
        <s v="ORD-1879"/>
        <s v="ORD-1880"/>
        <s v="ORD-1881"/>
        <s v="ORD-1882"/>
        <s v="ORD-1883"/>
        <s v="ORD-1884"/>
        <s v="ORD-1885"/>
        <s v="ORD-1886"/>
        <s v="ORD-1887"/>
        <s v="ORD-1888"/>
        <s v="ORD-1889"/>
        <s v="ORD-1890"/>
        <s v="ORD-1891"/>
        <s v="ORD-1892"/>
        <s v="ORD-1893"/>
        <s v="ORD-1894"/>
        <s v="ORD-1895"/>
        <s v="ORD-1896"/>
        <s v="ORD-1897"/>
        <s v="ORD-1898"/>
        <s v="ORD-1899"/>
        <s v="ORD-1900"/>
        <s v="ORD-1901"/>
        <s v="ORD-1902"/>
        <s v="ORD-1903"/>
        <s v="ORD-1904"/>
        <s v="ORD-1905"/>
        <s v="ORD-1906"/>
        <s v="ORD-1907"/>
        <s v="ORD-1908"/>
        <s v="ORD-1909"/>
        <s v="ORD-1910"/>
        <s v="ORD-1911"/>
        <s v="ORD-1912"/>
        <s v="ORD-1913"/>
        <s v="ORD-1914"/>
        <s v="ORD-1915"/>
        <s v="ORD-1916"/>
        <s v="ORD-1917"/>
        <s v="ORD-1918"/>
        <s v="ORD-1919"/>
        <s v="ORD-1920"/>
        <s v="ORD-1921"/>
        <s v="ORD-1922"/>
        <s v="ORD-1923"/>
        <s v="ORD-1924"/>
        <s v="ORD-1925"/>
        <s v="ORD-1926"/>
        <s v="ORD-1927"/>
        <s v="ORD-1928"/>
        <s v="ORD-1929"/>
        <s v="ORD-1930"/>
        <s v="ORD-1931"/>
        <s v="ORD-1932"/>
        <s v="ORD-1933"/>
        <s v="ORD-1934"/>
        <s v="ORD-1935"/>
        <s v="ORD-1936"/>
        <s v="ORD-1937"/>
        <s v="ORD-1938"/>
        <s v="ORD-1939"/>
        <s v="ORD-1940"/>
        <s v="ORD-1941"/>
        <s v="ORD-1942"/>
        <s v="ORD-1943"/>
        <s v="ORD-1944"/>
        <s v="ORD-1945"/>
        <s v="ORD-1946"/>
        <s v="ORD-1947"/>
        <s v="ORD-1948"/>
        <s v="ORD-1949"/>
        <s v="ORD-1950"/>
        <s v="ORD-1951"/>
        <s v="ORD-1952"/>
        <s v="ORD-1953"/>
        <s v="ORD-1954"/>
        <s v="ORD-1955"/>
        <s v="ORD-1956"/>
        <s v="ORD-1957"/>
        <s v="ORD-1958"/>
        <s v="ORD-1959"/>
        <s v="ORD-1960"/>
        <s v="ORD-1961"/>
        <s v="ORD-1962"/>
        <s v="ORD-1963"/>
        <s v="ORD-1964"/>
        <s v="ORD-1965"/>
        <s v="ORD-1966"/>
        <s v="ORD-1967"/>
        <s v="ORD-1968"/>
        <s v="ORD-1969"/>
        <s v="ORD-1970"/>
        <s v="ORD-1971"/>
        <s v="ORD-1972"/>
        <s v="ORD-1973"/>
        <s v="ORD-1974"/>
        <s v="ORD-1975"/>
        <s v="ORD-1976"/>
        <s v="ORD-1977"/>
        <s v="ORD-1978"/>
        <s v="ORD-1979"/>
        <s v="ORD-1980"/>
        <s v="ORD-1981"/>
        <s v="ORD-1982"/>
        <s v="ORD-1983"/>
        <s v="ORD-1984"/>
        <s v="ORD-1985"/>
        <s v="ORD-1986"/>
        <s v="ORD-1987"/>
        <s v="ORD-1988"/>
        <s v="ORD-1989"/>
        <s v="ORD-1990"/>
        <s v="ORD-1991"/>
        <s v="ORD-1992"/>
        <s v="ORD-1993"/>
        <s v="ORD-1994"/>
        <s v="ORD-1995"/>
        <s v="ORD-1996"/>
        <s v="ORD-1997"/>
        <s v="ORD-1998"/>
        <s v="ORD-1999"/>
        <s v="ORD-2000"/>
        <s v="ORD-2001"/>
        <s v="ORD-2002"/>
        <s v="ORD-2003"/>
        <s v="ORD-2004"/>
        <s v="ORD-2005"/>
        <s v="ORD-2006"/>
        <s v="ORD-2007"/>
        <s v="ORD-2008"/>
        <s v="ORD-2009"/>
        <s v="ORD-2010"/>
        <s v="ORD-2011"/>
        <s v="ORD-2012"/>
        <s v="ORD-2013"/>
        <s v="ORD-2014"/>
        <s v="ORD-2015"/>
        <s v="ORD-2016"/>
        <s v="ORD-2017"/>
        <s v="ORD-2018"/>
        <s v="ORD-2019"/>
        <s v="ORD-2020"/>
        <s v="ORD-2021"/>
        <s v="ORD-2022"/>
        <s v="ORD-2023"/>
        <s v="ORD-2024"/>
        <s v="ORD-2025"/>
        <s v="ORD-2026"/>
        <s v="ORD-2027"/>
        <s v="ORD-2028"/>
        <s v="ORD-2029"/>
        <s v="ORD-2030"/>
        <s v="ORD-2031"/>
        <s v="ORD-2032"/>
        <s v="ORD-2033"/>
        <s v="ORD-2034"/>
        <s v="ORD-2035"/>
        <s v="ORD-2036"/>
        <s v="ORD-2037"/>
        <s v="ORD-2038"/>
        <s v="ORD-2039"/>
        <s v="ORD-2040"/>
        <s v="ORD-2041"/>
        <s v="ORD-2042"/>
        <s v="ORD-2043"/>
        <s v="ORD-2044"/>
        <s v="ORD-2045"/>
        <s v="ORD-2046"/>
        <s v="ORD-2047"/>
        <s v="ORD-2048"/>
        <s v="ORD-2049"/>
        <s v="ORD-2050"/>
        <s v="ORD-2051"/>
        <s v="ORD-2052"/>
        <s v="ORD-2053"/>
        <s v="ORD-2054"/>
        <s v="ORD-2055"/>
        <s v="ORD-2056"/>
        <s v="ORD-2057"/>
        <s v="ORD-2058"/>
        <s v="ORD-2059"/>
        <s v="ORD-2060"/>
        <s v="ORD-2061"/>
        <s v="ORD-2062"/>
        <s v="ORD-2063"/>
        <s v="ORD-2064"/>
        <s v="ORD-2065"/>
        <s v="ORD-2066"/>
        <s v="ORD-2067"/>
        <s v="ORD-2068"/>
        <s v="ORD-2069"/>
        <s v="ORD-2070"/>
        <s v="ORD-2071"/>
        <s v="ORD-2072"/>
        <s v="ORD-2073"/>
        <s v="ORD-2074"/>
        <s v="ORD-2075"/>
        <s v="ORD-2076"/>
        <s v="ORD-2077"/>
        <s v="ORD-2078"/>
        <s v="ORD-2079"/>
        <s v="ORD-2080"/>
        <s v="ORD-2081"/>
        <s v="ORD-2082"/>
        <s v="ORD-2083"/>
        <s v="ORD-2084"/>
        <s v="ORD-2085"/>
        <s v="ORD-2086"/>
        <s v="ORD-2087"/>
        <s v="ORD-2088"/>
        <s v="ORD-2089"/>
        <s v="ORD-2090"/>
        <s v="ORD-2091"/>
        <s v="ORD-2092"/>
        <s v="ORD-2093"/>
        <s v="ORD-2094"/>
        <s v="ORD-2095"/>
        <s v="ORD-2096"/>
        <s v="ORD-2097"/>
        <s v="ORD-2098"/>
        <s v="ORD-2099"/>
        <s v="ORD-2100"/>
        <s v="ORD-2101"/>
        <s v="ORD-2102"/>
        <s v="ORD-2103"/>
        <s v="ORD-2104"/>
        <s v="ORD-2105"/>
        <s v="ORD-2106"/>
        <s v="ORD-2107"/>
        <s v="ORD-2108"/>
        <s v="ORD-2109"/>
        <s v="ORD-2110"/>
        <s v="ORD-2111"/>
        <s v="ORD-2112"/>
        <s v="ORD-2113"/>
        <s v="ORD-2114"/>
        <s v="ORD-2115"/>
        <s v="ORD-2116"/>
        <s v="ORD-2117"/>
        <s v="ORD-2118"/>
        <s v="ORD-2119"/>
        <s v="ORD-2120"/>
        <s v="ORD-2121"/>
        <s v="ORD-2122"/>
        <s v="ORD-2123"/>
        <s v="ORD-2124"/>
        <s v="ORD-2125"/>
        <s v="ORD-2126"/>
        <s v="ORD-2127"/>
        <s v="ORD-2128"/>
        <s v="ORD-2129"/>
        <s v="ORD-2130"/>
        <s v="ORD-2131"/>
        <s v="ORD-2132"/>
        <s v="ORD-2133"/>
        <s v="ORD-2134"/>
        <s v="ORD-2135"/>
        <s v="ORD-2136"/>
        <s v="ORD-2137"/>
        <s v="ORD-2138"/>
        <s v="ORD-2139"/>
        <s v="ORD-2140"/>
        <s v="ORD-2141"/>
        <s v="ORD-2142"/>
        <s v="ORD-2143"/>
        <s v="ORD-2144"/>
        <s v="ORD-2145"/>
        <s v="ORD-2146"/>
        <s v="ORD-2147"/>
        <s v="ORD-2148"/>
        <s v="ORD-2149"/>
        <s v="ORD-2150"/>
        <s v="ORD-2151"/>
        <s v="ORD-2152"/>
        <s v="ORD-2153"/>
        <s v="ORD-2154"/>
        <s v="ORD-2155"/>
        <s v="ORD-2156"/>
        <s v="ORD-2157"/>
        <s v="ORD-2158"/>
        <s v="ORD-2159"/>
        <s v="ORD-2160"/>
        <s v="ORD-2161"/>
        <s v="ORD-2162"/>
        <s v="ORD-2163"/>
        <s v="ORD-2164"/>
        <s v="ORD-2165"/>
        <s v="ORD-2166"/>
        <s v="ORD-2167"/>
        <s v="ORD-2168"/>
        <s v="ORD-2169"/>
        <s v="ORD-2170"/>
        <s v="ORD-2171"/>
        <s v="ORD-2172"/>
        <s v="ORD-2173"/>
        <s v="ORD-2174"/>
        <s v="ORD-2175"/>
        <s v="ORD-2176"/>
        <s v="ORD-2177"/>
        <s v="ORD-2178"/>
        <s v="ORD-2179"/>
        <s v="ORD-2180"/>
        <s v="ORD-2181"/>
        <s v="ORD-2182"/>
        <s v="ORD-2183"/>
        <s v="ORD-2184"/>
        <s v="ORD-2185"/>
        <s v="ORD-2186"/>
        <s v="ORD-2187"/>
        <s v="ORD-2188"/>
        <s v="ORD-2189"/>
        <s v="ORD-2190"/>
        <s v="ORD-2191"/>
        <s v="ORD-2192"/>
        <s v="ORD-2193"/>
        <s v="ORD-2194"/>
        <s v="ORD-2195"/>
        <s v="ORD-2196"/>
        <s v="ORD-2197"/>
        <s v="ORD-2198"/>
        <s v="ORD-2199"/>
        <s v="ORD-2200"/>
        <s v="ORD-2201"/>
        <s v="ORD-2202"/>
        <s v="ORD-2203"/>
        <s v="ORD-2204"/>
        <s v="ORD-2205"/>
        <s v="ORD-2206"/>
        <s v="ORD-2207"/>
        <s v="ORD-2208"/>
        <s v="ORD-2209"/>
        <s v="ORD-2210"/>
        <s v="ORD-2211"/>
        <s v="ORD-2212"/>
        <s v="ORD-2213"/>
        <s v="ORD-2214"/>
        <s v="ORD-2215"/>
        <s v="ORD-2216"/>
        <s v="ORD-2217"/>
        <s v="ORD-2218"/>
        <s v="ORD-2219"/>
        <s v="ORD-2220"/>
        <s v="ORD-2221"/>
        <s v="ORD-2222"/>
        <s v="ORD-2223"/>
        <s v="ORD-2224"/>
        <s v="ORD-2225"/>
        <s v="ORD-2226"/>
        <s v="ORD-2227"/>
        <s v="ORD-2228"/>
        <s v="ORD-2229"/>
        <s v="ORD-2230"/>
        <s v="ORD-2231"/>
        <s v="ORD-2232"/>
        <s v="ORD-2233"/>
        <s v="ORD-2234"/>
        <s v="ORD-2235"/>
        <s v="ORD-2236"/>
        <s v="ORD-2237"/>
        <s v="ORD-2238"/>
        <s v="ORD-2239"/>
        <s v="ORD-2240"/>
        <s v="ORD-2241"/>
        <s v="ORD-2242"/>
        <s v="ORD-2243"/>
        <s v="ORD-2244"/>
        <s v="ORD-2245"/>
        <s v="ORD-2246"/>
        <s v="ORD-2247"/>
        <s v="ORD-2248"/>
        <s v="ORD-2249"/>
        <s v="ORD-2250"/>
        <s v="ORD-2251"/>
        <s v="ORD-2252"/>
        <s v="ORD-2253"/>
        <s v="ORD-2254"/>
        <s v="ORD-2255"/>
        <s v="ORD-2256"/>
        <s v="ORD-2257"/>
        <s v="ORD-2258"/>
        <s v="ORD-2259"/>
        <s v="ORD-2260"/>
        <s v="ORD-2261"/>
        <s v="ORD-2262"/>
        <s v="ORD-2263"/>
        <s v="ORD-2264"/>
        <s v="ORD-2265"/>
        <s v="ORD-2266"/>
        <s v="ORD-2267"/>
        <s v="ORD-2268"/>
        <s v="ORD-2269"/>
        <s v="ORD-2270"/>
        <s v="ORD-2271"/>
        <s v="ORD-2272"/>
        <s v="ORD-2273"/>
        <s v="ORD-2274"/>
        <s v="ORD-2275"/>
        <s v="ORD-2276"/>
        <s v="ORD-2277"/>
        <s v="ORD-2278"/>
        <s v="ORD-2279"/>
        <s v="ORD-2280"/>
        <s v="ORD-2281"/>
        <s v="ORD-2282"/>
        <s v="ORD-2283"/>
        <s v="ORD-2284"/>
        <s v="ORD-2285"/>
        <s v="ORD-2286"/>
        <s v="ORD-2287"/>
        <s v="ORD-2288"/>
        <s v="ORD-2289"/>
        <s v="ORD-2290"/>
        <s v="ORD-2291"/>
        <s v="ORD-2292"/>
        <s v="ORD-2293"/>
        <s v="ORD-2294"/>
        <s v="ORD-2295"/>
        <s v="ORD-2296"/>
        <s v="ORD-2297"/>
        <s v="ORD-2298"/>
        <s v="ORD-2299"/>
        <s v="ORD-2300"/>
        <s v="ORD-2301"/>
        <s v="ORD-2302"/>
        <s v="ORD-2303"/>
        <s v="ORD-2304"/>
        <s v="ORD-2305"/>
        <s v="ORD-2306"/>
        <s v="ORD-2307"/>
        <s v="ORD-2308"/>
        <s v="ORD-2309"/>
        <s v="ORD-2310"/>
        <s v="ORD-2311"/>
        <s v="ORD-2312"/>
        <s v="ORD-2313"/>
        <s v="ORD-2314"/>
        <s v="ORD-2315"/>
        <s v="ORD-2316"/>
        <s v="ORD-2317"/>
        <s v="ORD-2318"/>
        <s v="ORD-2319"/>
        <s v="ORD-2320"/>
        <s v="ORD-2321"/>
        <s v="ORD-2322"/>
        <s v="ORD-2323"/>
        <s v="ORD-2324"/>
        <s v="ORD-2325"/>
        <s v="ORD-2326"/>
        <s v="ORD-2327"/>
        <s v="ORD-2328"/>
        <s v="ORD-2329"/>
        <s v="ORD-2330"/>
        <s v="ORD-2331"/>
        <s v="ORD-2332"/>
        <s v="ORD-2333"/>
        <s v="ORD-2334"/>
        <s v="ORD-2335"/>
        <s v="ORD-2336"/>
        <s v="ORD-2337"/>
        <s v="ORD-2338"/>
        <s v="ORD-2339"/>
        <s v="ORD-2340"/>
        <s v="ORD-2341"/>
        <s v="ORD-2342"/>
        <s v="ORD-2343"/>
        <s v="ORD-2344"/>
        <s v="ORD-2345"/>
        <s v="ORD-2346"/>
        <s v="ORD-2347"/>
        <s v="ORD-2348"/>
        <s v="ORD-2349"/>
        <s v="ORD-2350"/>
        <s v="ORD-2351"/>
        <s v="ORD-2352"/>
        <s v="ORD-2353"/>
        <s v="ORD-2354"/>
        <s v="ORD-2355"/>
        <s v="ORD-2356"/>
        <s v="ORD-2357"/>
        <s v="ORD-2358"/>
        <s v="ORD-2359"/>
        <s v="ORD-2360"/>
        <s v="ORD-2361"/>
        <s v="ORD-2362"/>
        <s v="ORD-2363"/>
        <s v="ORD-2364"/>
        <s v="ORD-2365"/>
        <s v="ORD-2366"/>
        <s v="ORD-2367"/>
        <s v="ORD-2368"/>
        <s v="ORD-2369"/>
        <s v="ORD-2370"/>
        <s v="ORD-2371"/>
        <s v="ORD-2372"/>
        <s v="ORD-2373"/>
        <s v="ORD-2374"/>
        <s v="ORD-2375"/>
        <s v="ORD-2376"/>
        <s v="ORD-2377"/>
        <s v="ORD-2378"/>
        <s v="ORD-2379"/>
        <s v="ORD-2380"/>
        <s v="ORD-2381"/>
        <s v="ORD-2382"/>
        <s v="ORD-2383"/>
        <s v="ORD-2384"/>
        <s v="ORD-2385"/>
        <s v="ORD-2386"/>
        <s v="ORD-2387"/>
        <s v="ORD-2388"/>
        <s v="ORD-2389"/>
        <s v="ORD-2390"/>
        <s v="ORD-2391"/>
        <s v="ORD-2392"/>
        <s v="ORD-2393"/>
        <s v="ORD-2394"/>
        <s v="ORD-2395"/>
        <s v="ORD-2396"/>
        <s v="ORD-2397"/>
        <s v="ORD-2398"/>
        <s v="ORD-2399"/>
        <s v="ORD-2400"/>
        <s v="ORD-2401"/>
        <s v="ORD-2402"/>
        <s v="ORD-2403"/>
        <s v="ORD-2404"/>
        <s v="ORD-2405"/>
        <s v="ORD-2406"/>
        <s v="ORD-2407"/>
        <s v="ORD-2408"/>
        <s v="ORD-2409"/>
        <s v="ORD-2410"/>
        <s v="ORD-2411"/>
        <s v="ORD-2412"/>
        <s v="ORD-2413"/>
        <s v="ORD-2414"/>
        <s v="ORD-2415"/>
        <s v="ORD-2416"/>
        <s v="ORD-2417"/>
        <s v="ORD-2418"/>
        <s v="ORD-2419"/>
        <s v="ORD-2420"/>
        <s v="ORD-2421"/>
        <s v="ORD-2422"/>
        <s v="ORD-2423"/>
        <s v="ORD-2424"/>
        <s v="ORD-2425"/>
        <s v="ORD-2426"/>
        <s v="ORD-2427"/>
        <s v="ORD-2428"/>
        <s v="ORD-2429"/>
        <s v="ORD-2430"/>
        <s v="ORD-2431"/>
        <s v="ORD-2432"/>
        <s v="ORD-2433"/>
        <s v="ORD-2434"/>
        <s v="ORD-2435"/>
        <s v="ORD-2436"/>
        <s v="ORD-2437"/>
        <s v="ORD-2438"/>
        <s v="ORD-2439"/>
        <s v="ORD-2440"/>
        <s v="ORD-2441"/>
        <s v="ORD-2442"/>
        <s v="ORD-2443"/>
        <s v="ORD-2444"/>
        <s v="ORD-2445"/>
        <s v="ORD-2446"/>
        <s v="ORD-2447"/>
        <s v="ORD-2448"/>
        <s v="ORD-2449"/>
        <s v="ORD-2450"/>
        <s v="ORD-2451"/>
        <s v="ORD-2452"/>
        <s v="ORD-2453"/>
        <s v="ORD-2454"/>
        <s v="ORD-2455"/>
        <s v="ORD-2456"/>
        <s v="ORD-2457"/>
        <s v="ORD-2458"/>
        <s v="ORD-2459"/>
        <s v="ORD-2460"/>
        <s v="ORD-2461"/>
        <s v="ORD-2462"/>
        <s v="ORD-2463"/>
        <s v="ORD-2464"/>
        <s v="ORD-2465"/>
        <s v="ORD-2466"/>
        <s v="ORD-2467"/>
        <s v="ORD-2468"/>
        <s v="ORD-2469"/>
        <s v="ORD-2470"/>
        <s v="ORD-2471"/>
        <s v="ORD-2472"/>
        <s v="ORD-2473"/>
        <s v="ORD-2474"/>
        <s v="ORD-2475"/>
        <s v="ORD-2476"/>
        <s v="ORD-2477"/>
        <s v="ORD-2478"/>
        <s v="ORD-2479"/>
        <s v="ORD-2480"/>
        <s v="ORD-2481"/>
        <s v="ORD-2482"/>
        <s v="ORD-2483"/>
        <s v="ORD-2484"/>
        <s v="ORD-2485"/>
        <s v="ORD-2486"/>
        <s v="ORD-2487"/>
        <s v="ORD-2488"/>
        <s v="ORD-2489"/>
        <s v="ORD-2490"/>
        <s v="ORD-2491"/>
        <s v="ORD-2492"/>
        <s v="ORD-2493"/>
        <s v="ORD-2494"/>
        <s v="ORD-2495"/>
        <s v="ORD-2496"/>
        <s v="ORD-2497"/>
        <s v="ORD-2498"/>
        <s v="ORD-2499"/>
        <s v="ORD-2500"/>
        <s v="ORD-2501"/>
        <s v="ORD-2502"/>
        <s v="ORD-2503"/>
        <s v="ORD-2504"/>
        <s v="ORD-2505"/>
        <s v="ORD-2506"/>
        <s v="ORD-2507"/>
        <s v="ORD-2508"/>
        <s v="ORD-2509"/>
        <s v="ORD-2510"/>
        <s v="ORD-2511"/>
        <s v="ORD-2512"/>
        <s v="ORD-2513"/>
        <s v="ORD-2514"/>
        <s v="ORD-2515"/>
        <s v="ORD-2516"/>
        <s v="ORD-2517"/>
        <s v="ORD-2518"/>
        <s v="ORD-2519"/>
        <s v="ORD-2520"/>
        <s v="ORD-2521"/>
        <s v="ORD-2522"/>
        <s v="ORD-2523"/>
        <s v="ORD-2524"/>
        <s v="ORD-2525"/>
        <s v="ORD-2526"/>
        <s v="ORD-2527"/>
        <s v="ORD-2528"/>
        <s v="ORD-2529"/>
        <s v="ORD-2530"/>
        <s v="ORD-2531"/>
        <s v="ORD-2532"/>
        <s v="ORD-2533"/>
        <s v="ORD-2534"/>
        <s v="ORD-2535"/>
        <s v="ORD-2536"/>
        <s v="ORD-2537"/>
        <s v="ORD-2538"/>
        <s v="ORD-2539"/>
        <s v="ORD-2540"/>
        <s v="ORD-2541"/>
        <s v="ORD-2542"/>
        <s v="ORD-2543"/>
        <s v="ORD-2544"/>
        <s v="ORD-2545"/>
        <s v="ORD-2546"/>
        <s v="ORD-2547"/>
        <s v="ORD-2548"/>
        <s v="ORD-2549"/>
        <s v="ORD-2550"/>
        <s v="ORD-2551"/>
        <s v="ORD-2552"/>
        <s v="ORD-2553"/>
        <s v="ORD-2554"/>
        <s v="ORD-2555"/>
        <s v="ORD-2556"/>
        <s v="ORD-2557"/>
        <s v="ORD-2558"/>
        <s v="ORD-2559"/>
        <s v="ORD-2560"/>
        <s v="ORD-2561"/>
        <s v="ORD-2562"/>
        <s v="ORD-2563"/>
        <s v="ORD-2564"/>
        <s v="ORD-2565"/>
        <s v="ORD-2566"/>
        <s v="ORD-2567"/>
        <s v="ORD-2568"/>
        <s v="ORD-2569"/>
        <s v="ORD-2570"/>
        <s v="ORD-2571"/>
        <s v="ORD-2572"/>
        <s v="ORD-2573"/>
        <s v="ORD-2574"/>
        <s v="ORD-2575"/>
        <s v="ORD-2576"/>
        <s v="ORD-2577"/>
        <s v="ORD-2578"/>
        <s v="ORD-2579"/>
        <s v="ORD-2580"/>
        <s v="ORD-2581"/>
        <s v="ORD-2582"/>
        <s v="ORD-2583"/>
        <s v="ORD-2584"/>
        <s v="ORD-2585"/>
        <s v="ORD-2586"/>
        <s v="ORD-2587"/>
        <s v="ORD-2588"/>
        <s v="ORD-2589"/>
        <s v="ORD-2590"/>
        <s v="ORD-2591"/>
        <s v="ORD-2592"/>
        <s v="ORD-2593"/>
        <s v="ORD-2594"/>
        <s v="ORD-2595"/>
        <s v="ORD-2596"/>
        <s v="ORD-2597"/>
        <s v="ORD-2598"/>
        <s v="ORD-2599"/>
        <s v="ORD-2600"/>
        <s v="ORD-2601"/>
        <s v="ORD-2602"/>
        <s v="ORD-2603"/>
        <s v="ORD-2604"/>
        <s v="ORD-2605"/>
        <s v="ORD-2606"/>
        <s v="ORD-2607"/>
        <s v="ORD-2608"/>
        <s v="ORD-2609"/>
        <s v="ORD-2610"/>
        <s v="ORD-2611"/>
        <s v="ORD-2612"/>
        <s v="ORD-2613"/>
        <s v="ORD-2614"/>
        <s v="ORD-2615"/>
        <s v="ORD-2616"/>
        <s v="ORD-2617"/>
        <s v="ORD-2618"/>
        <s v="ORD-2619"/>
        <s v="ORD-2620"/>
        <s v="ORD-2621"/>
        <s v="ORD-2622"/>
        <s v="ORD-2623"/>
        <s v="ORD-2624"/>
        <s v="ORD-2625"/>
        <s v="ORD-2626"/>
        <s v="ORD-2627"/>
        <s v="ORD-2628"/>
        <s v="ORD-2629"/>
        <s v="ORD-2630"/>
        <s v="ORD-2631"/>
        <s v="ORD-2632"/>
        <s v="ORD-2633"/>
        <s v="ORD-2634"/>
        <s v="ORD-2635"/>
        <s v="ORD-2636"/>
        <s v="ORD-2637"/>
        <s v="ORD-2638"/>
        <s v="ORD-2639"/>
        <s v="ORD-2640"/>
        <s v="ORD-2641"/>
        <s v="ORD-2642"/>
        <s v="ORD-2643"/>
        <s v="ORD-2644"/>
        <s v="ORD-2645"/>
        <s v="ORD-2646"/>
        <s v="ORD-2647"/>
        <s v="ORD-2648"/>
        <s v="ORD-2649"/>
        <s v="ORD-2650"/>
        <s v="ORD-2651"/>
        <s v="ORD-2652"/>
        <s v="ORD-2653"/>
        <s v="ORD-2654"/>
        <s v="ORD-2655"/>
        <s v="ORD-2656"/>
        <s v="ORD-2657"/>
        <s v="ORD-2658"/>
        <s v="ORD-2659"/>
        <s v="ORD-2660"/>
        <s v="ORD-2661"/>
        <s v="ORD-2662"/>
        <s v="ORD-2663"/>
        <s v="ORD-2664"/>
        <s v="ORD-2665"/>
        <s v="ORD-2666"/>
        <s v="ORD-2667"/>
        <s v="ORD-2668"/>
        <s v="ORD-2669"/>
        <s v="ORD-2670"/>
        <s v="ORD-2671"/>
        <s v="ORD-2672"/>
        <s v="ORD-2673"/>
        <s v="ORD-2674"/>
        <s v="ORD-2675"/>
        <s v="ORD-2676"/>
        <s v="ORD-2677"/>
        <s v="ORD-2678"/>
        <s v="ORD-2679"/>
        <s v="ORD-2680"/>
        <s v="ORD-2681"/>
        <s v="ORD-2682"/>
        <s v="ORD-2683"/>
        <s v="ORD-2684"/>
        <s v="ORD-2685"/>
        <s v="ORD-2686"/>
        <s v="ORD-2687"/>
        <s v="ORD-2688"/>
        <s v="ORD-2689"/>
        <s v="ORD-2690"/>
        <s v="ORD-2691"/>
        <s v="ORD-2692"/>
        <s v="ORD-2693"/>
        <s v="ORD-2694"/>
        <s v="ORD-2695"/>
        <s v="ORD-2696"/>
        <s v="ORD-2697"/>
        <s v="ORD-2698"/>
        <s v="ORD-2699"/>
        <s v="ORD-2700"/>
        <s v="ORD-2701"/>
        <s v="ORD-2702"/>
        <s v="ORD-2703"/>
        <s v="ORD-2704"/>
        <s v="ORD-2705"/>
        <s v="ORD-2706"/>
        <s v="ORD-2707"/>
        <s v="ORD-2708"/>
        <s v="ORD-2709"/>
        <s v="ORD-2710"/>
        <s v="ORD-2711"/>
        <s v="ORD-2712"/>
        <s v="ORD-2713"/>
        <s v="ORD-2714"/>
        <s v="ORD-2715"/>
        <s v="ORD-2716"/>
        <s v="ORD-2717"/>
        <s v="ORD-2718"/>
        <s v="ORD-2719"/>
        <s v="ORD-2720"/>
        <s v="ORD-2721"/>
        <s v="ORD-2722"/>
        <s v="ORD-2723"/>
        <s v="ORD-2724"/>
        <s v="ORD-2725"/>
        <s v="ORD-2726"/>
        <s v="ORD-2727"/>
        <s v="ORD-2728"/>
        <s v="ORD-2729"/>
        <s v="ORD-2730"/>
        <s v="ORD-2731"/>
        <s v="ORD-2732"/>
        <s v="ORD-2733"/>
        <s v="ORD-2734"/>
        <s v="ORD-2735"/>
        <s v="ORD-2736"/>
        <s v="ORD-2737"/>
        <s v="ORD-2738"/>
        <s v="ORD-2739"/>
        <s v="ORD-2740"/>
        <s v="ORD-2741"/>
        <s v="ORD-2742"/>
        <s v="ORD-2743"/>
        <s v="ORD-2744"/>
        <s v="ORD-2745"/>
        <s v="ORD-2746"/>
        <s v="ORD-2747"/>
        <s v="ORD-2748"/>
        <s v="ORD-2749"/>
        <s v="ORD-2750"/>
        <s v="ORD-2751"/>
        <s v="ORD-2752"/>
        <s v="ORD-2753"/>
        <s v="ORD-2754"/>
        <s v="ORD-2755"/>
        <s v="ORD-2756"/>
        <s v="ORD-2757"/>
        <s v="ORD-2758"/>
        <s v="ORD-2759"/>
        <s v="ORD-2760"/>
        <s v="ORD-2761"/>
        <s v="ORD-2762"/>
        <s v="ORD-2763"/>
        <s v="ORD-2764"/>
        <s v="ORD-2765"/>
        <s v="ORD-2766"/>
        <s v="ORD-2767"/>
        <s v="ORD-2768"/>
        <s v="ORD-2769"/>
        <s v="ORD-2770"/>
        <s v="ORD-2771"/>
        <s v="ORD-2772"/>
        <s v="ORD-2773"/>
        <s v="ORD-2774"/>
        <s v="ORD-2775"/>
        <s v="ORD-2776"/>
        <s v="ORD-2777"/>
        <s v="ORD-2778"/>
        <s v="ORD-2779"/>
        <s v="ORD-2780"/>
        <s v="ORD-2781"/>
        <s v="ORD-2782"/>
        <s v="ORD-2783"/>
        <s v="ORD-2784"/>
        <s v="ORD-2785"/>
        <s v="ORD-2786"/>
        <s v="ORD-2787"/>
        <s v="ORD-2788"/>
        <s v="ORD-2789"/>
        <s v="ORD-2790"/>
        <s v="ORD-2791"/>
        <s v="ORD-2792"/>
        <s v="ORD-2793"/>
        <s v="ORD-2794"/>
        <s v="ORD-2795"/>
      </sharedItems>
    </cacheField>
    <cacheField name="Product ID" numFmtId="0">
      <sharedItems/>
    </cacheField>
    <cacheField name="Product Name" numFmtId="49">
      <sharedItems count="13">
        <s v="FreshSip Orange Juice 1L"/>
        <s v="NutriMix Granola Bar"/>
        <s v="CrispBite Potato Chips 150g"/>
        <s v="DailyBrew Green Tea 25 bags"/>
        <s v="HealthPure Bottled Water 500ml"/>
        <s v="GoldenBite Biscuits 200g"/>
        <s v="FreshSip Mango Juice 500ml"/>
        <s v="NutriMix Cereal Box 500g"/>
        <s v="CrispBite Corn Chips 100g"/>
        <s v="GoldenBite Chocolate Cookies 150g"/>
        <s v="GoldenBite Oat Cookies 180g"/>
        <s v="ZestSip Citrus Drink 350ml"/>
        <s v="NouraMart Protein Bar 60g"/>
      </sharedItems>
    </cacheField>
    <cacheField name="Category" numFmtId="49">
      <sharedItems count="4">
        <s v="Beverages"/>
        <s v="Snacks"/>
        <s v="Baked Goods"/>
        <s v="Breakfast"/>
      </sharedItems>
    </cacheField>
    <cacheField name="Region" numFmtId="49">
      <sharedItems count="5">
        <s v="North"/>
        <s v="South"/>
        <s v="East"/>
        <s v="West"/>
        <s v="Central"/>
      </sharedItems>
    </cacheField>
    <cacheField name="Sales Channel" numFmtId="49">
      <sharedItems count="5">
        <s v="Supermarket"/>
        <s v="Wholesaler"/>
        <s v="Online"/>
        <s v="Convenience Store"/>
        <s v="Pharmacy"/>
      </sharedItems>
    </cacheField>
    <cacheField name="Sales Rep" numFmtId="49">
      <sharedItems count="6">
        <s v="Amara Osei"/>
        <s v="Tunde Bello"/>
        <s v="Ngozi Eze"/>
        <s v="Emeka Okafor"/>
        <s v="Fatima Musa"/>
        <s v="Chidi Nwosu"/>
      </sharedItems>
    </cacheField>
    <cacheField name="Order Date" numFmtId="14">
      <sharedItems containsSemiMixedTypes="0" containsNonDate="0" containsDate="1" containsString="0" minDate="2024-01-01T00:00:00" maxDate="2026-05-16T00:00:00" count="674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6-07T00:00:00"/>
        <d v="2024-06-30T00:00:00"/>
        <d v="2024-06-14T00:00:00"/>
        <d v="2024-06-19T00:00:00"/>
        <d v="2024-06-24T00:00:00"/>
        <d v="2024-06-27T00:00:00"/>
        <d v="2024-06-08T00:00:00"/>
        <d v="2024-06-13T00:00:00"/>
        <d v="2024-06-05T00:00:00"/>
        <d v="2024-06-09T00:00:00"/>
        <d v="2024-06-16T00:00:00"/>
        <d v="2024-06-12T00:00:00"/>
        <d v="2024-06-23T00:00:00"/>
        <d v="2024-06-21T00:00:00"/>
        <d v="2024-06-02T00:00:00"/>
        <d v="2024-06-01T00:00:00"/>
        <d v="2024-06-28T00:00:00"/>
        <d v="2024-06-25T00:00:00"/>
        <d v="2024-06-17T00:00:00"/>
        <d v="2024-06-06T00:00:00"/>
        <d v="2024-06-11T00:00:00"/>
        <d v="2024-06-10T00:00:00"/>
        <d v="2024-06-26T00:00:00"/>
        <d v="2024-06-15T00:00:00"/>
        <d v="2024-06-04T00:00:00"/>
        <d v="2024-06-29T00:00:00"/>
        <d v="2024-06-20T00:00:00"/>
        <d v="2024-06-22T00:00:00"/>
        <d v="2024-06-18T00:00:00"/>
        <d v="2024-06-03T00:00:00"/>
        <d v="2024-07-14T00:00:00"/>
        <d v="2024-07-08T00:00:00"/>
        <d v="2024-07-21T00:00:00"/>
        <d v="2024-07-06T00:00:00"/>
        <d v="2024-07-17T00:00:00"/>
        <d v="2024-07-27T00:00:00"/>
        <d v="2024-07-22T00:00:00"/>
        <d v="2024-07-05T00:00:00"/>
        <d v="2024-07-23T00:00:00"/>
        <d v="2024-07-31T00:00:00"/>
        <d v="2024-07-11T00:00:00"/>
        <d v="2024-07-01T00:00:00"/>
        <d v="2024-07-02T00:00:00"/>
        <d v="2024-07-16T00:00:00"/>
        <d v="2024-07-15T00:00:00"/>
        <d v="2024-07-24T00:00:00"/>
        <d v="2024-07-07T00:00:00"/>
        <d v="2024-07-19T00:00:00"/>
        <d v="2024-07-12T00:00:00"/>
        <d v="2024-07-25T00:00:00"/>
        <d v="2024-07-13T00:00:00"/>
        <d v="2024-07-30T00:00:00"/>
        <d v="2024-07-10T00:00:00"/>
        <d v="2024-07-20T00:00:00"/>
        <d v="2024-07-28T00:00:00"/>
        <d v="2024-07-04T00:00:00"/>
        <d v="2024-07-03T00:00:00"/>
        <d v="2024-07-09T00:00:00"/>
        <d v="2024-07-26T00:00:00"/>
        <d v="2024-08-26T00:00:00"/>
        <d v="2024-08-12T00:00:00"/>
        <d v="2024-08-20T00:00:00"/>
        <d v="2024-08-11T00:00:00"/>
        <d v="2024-08-23T00:00:00"/>
        <d v="2024-08-21T00:00:00"/>
        <d v="2024-08-29T00:00:00"/>
        <d v="2024-08-31T00:00:00"/>
        <d v="2024-08-14T00:00:00"/>
        <d v="2024-08-25T00:00:00"/>
        <d v="2024-08-16T00:00:00"/>
        <d v="2024-08-13T00:00:00"/>
        <d v="2024-08-17T00:00:00"/>
        <d v="2024-08-19T00:00:00"/>
        <d v="2024-08-07T00:00:00"/>
        <d v="2024-08-15T00:00:00"/>
        <d v="2024-08-09T00:00:00"/>
        <d v="2024-08-01T00:00:00"/>
        <d v="2024-08-18T00:00:00"/>
        <d v="2024-08-06T00:00:00"/>
        <d v="2024-08-10T00:00:00"/>
        <d v="2024-08-05T00:00:00"/>
        <d v="2024-08-03T00:00:00"/>
        <d v="2024-08-30T00:00:00"/>
        <d v="2024-08-24T00:00:00"/>
        <d v="2024-08-04T00:00:00"/>
        <d v="2024-08-08T00:00:00"/>
        <d v="2024-09-16T00:00:00"/>
        <d v="2024-09-30T00:00:00"/>
        <d v="2024-09-21T00:00:00"/>
        <d v="2024-09-12T00:00:00"/>
        <d v="2024-09-15T00:00:00"/>
        <d v="2024-09-17T00:00:00"/>
        <d v="2024-09-01T00:00:00"/>
        <d v="2024-09-18T00:00:00"/>
        <d v="2024-09-02T00:00:00"/>
        <d v="2024-09-09T00:00:00"/>
        <d v="2024-09-05T00:00:00"/>
        <d v="2024-09-22T00:00:00"/>
        <d v="2024-09-24T00:00:00"/>
        <d v="2024-09-27T00:00:00"/>
        <d v="2024-09-04T00:00:00"/>
        <d v="2024-09-20T00:00:00"/>
        <d v="2024-09-26T00:00:00"/>
        <d v="2024-09-23T00:00:00"/>
        <d v="2024-09-11T00:00:00"/>
        <d v="2024-09-14T00:00:00"/>
        <d v="2024-09-03T00:00:00"/>
        <d v="2024-09-13T00:00:00"/>
        <d v="2024-09-19T00:00:00"/>
        <d v="2024-09-10T00:00:00"/>
        <d v="2024-09-29T00:00:00"/>
        <d v="2024-09-06T00:00:00"/>
        <d v="2024-09-08T00:00:00"/>
        <d v="2024-10-25T00:00:00"/>
        <d v="2024-10-12T00:00:00"/>
        <d v="2024-10-31T00:00:00"/>
        <d v="2024-10-08T00:00:00"/>
        <d v="2024-10-02T00:00:00"/>
        <d v="2024-10-30T00:00:00"/>
        <d v="2024-10-16T00:00:00"/>
        <d v="2024-10-29T00:00:00"/>
        <d v="2024-10-26T00:00:00"/>
        <d v="2024-10-03T00:00:00"/>
        <d v="2024-10-18T00:00:00"/>
        <d v="2024-10-23T00:00:00"/>
        <d v="2024-10-20T00:00:00"/>
        <d v="2024-10-27T00:00:00"/>
        <d v="2024-10-13T00:00:00"/>
        <d v="2024-10-05T00:00:00"/>
        <d v="2024-10-19T00:00:00"/>
        <d v="2024-10-24T00:00:00"/>
        <d v="2024-10-09T00:00:00"/>
        <d v="2024-10-07T00:00:00"/>
        <d v="2024-10-14T00:00:00"/>
        <d v="2024-10-06T00:00:00"/>
        <d v="2024-10-01T00:00:00"/>
        <d v="2024-10-15T00:00:00"/>
        <d v="2024-10-28T00:00:00"/>
        <d v="2024-10-10T00:00:00"/>
        <d v="2024-10-21T00:00:00"/>
        <d v="2024-10-17T00:00:00"/>
        <d v="2024-10-11T00:00:00"/>
        <d v="2024-11-13T00:00:00"/>
        <d v="2024-11-27T00:00:00"/>
        <d v="2024-11-06T00:00:00"/>
        <d v="2024-11-09T00:00:00"/>
        <d v="2024-11-01T00:00:00"/>
        <d v="2024-11-03T00:00:00"/>
        <d v="2024-11-04T00:00:00"/>
        <d v="2024-11-05T00:00:00"/>
        <d v="2024-11-02T00:00:00"/>
        <d v="2024-11-07T00:00:00"/>
        <d v="2024-11-10T00:00:00"/>
        <d v="2024-11-15T00:00:00"/>
        <d v="2024-11-21T00:00:00"/>
        <d v="2024-11-14T00:00:00"/>
        <d v="2024-11-11T00:00:00"/>
        <d v="2024-11-28T00:00:00"/>
        <d v="2024-11-23T00:00:00"/>
        <d v="2024-11-12T00:00:00"/>
        <d v="2024-11-17T00:00:00"/>
        <d v="2024-11-26T00:00:00"/>
        <d v="2024-11-29T00:00:00"/>
        <d v="2024-11-19T00:00:00"/>
        <d v="2024-11-08T00:00:00"/>
        <d v="2024-11-30T00:00:00"/>
        <d v="2024-11-18T00:00:00"/>
        <d v="2024-12-11T00:00:00"/>
        <d v="2024-12-26T00:00:00"/>
        <d v="2024-12-14T00:00:00"/>
        <d v="2024-12-15T00:00:00"/>
        <d v="2024-12-13T00:00:00"/>
        <d v="2024-12-12T00:00:00"/>
        <d v="2024-12-21T00:00:00"/>
        <d v="2024-12-07T00:00:00"/>
        <d v="2024-12-31T00:00:00"/>
        <d v="2024-12-01T00:00:00"/>
        <d v="2024-12-20T00:00:00"/>
        <d v="2024-12-19T00:00:00"/>
        <d v="2024-12-17T00:00:00"/>
        <d v="2024-12-16T00:00:00"/>
        <d v="2024-12-10T00:00:00"/>
        <d v="2024-12-08T00:00:00"/>
        <d v="2024-12-29T00:00:00"/>
        <d v="2024-12-24T00:00:00"/>
        <d v="2024-12-28T00:00:00"/>
        <d v="2024-12-09T00:00:00"/>
        <d v="2024-12-18T00:00:00"/>
        <d v="2024-12-02T00:00:00"/>
        <d v="2024-12-25T00:00:00"/>
        <d v="2025-01-01T00:00:00"/>
        <d v="2025-01-02T00:00:00"/>
        <d v="2024-12-22T00:00:00"/>
        <d v="2025-01-04T00:00:00"/>
        <d v="2024-12-04T00:00:00"/>
        <d v="2025-01-05T00:00:00"/>
        <d v="2025-01-07T00:00:00"/>
        <d v="2025-01-08T00:00:00"/>
        <d v="2024-12-23T00:00:00"/>
        <d v="2024-12-03T00:00:00"/>
        <d v="2025-01-09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1T00:00:00"/>
        <d v="2025-01-22T00:00:00"/>
        <d v="2025-01-23T00:00:00"/>
        <d v="2025-01-24T00:00:00"/>
        <d v="2025-01-27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6T00:00:00"/>
        <d v="2025-02-07T00:00:00"/>
        <d v="2025-02-08T00:00:00"/>
        <d v="2025-02-09T00:00:00"/>
        <d v="2025-02-10T00:00:00"/>
        <d v="2025-02-11T00:00:00"/>
        <d v="2025-02-13T00:00:00"/>
        <d v="2025-02-14T00:00:00"/>
        <d v="2025-02-16T00:00:00"/>
        <d v="2025-02-17T00:00:00"/>
        <d v="2025-02-18T00:00:00"/>
        <d v="2025-02-20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5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5T00:00:00"/>
        <d v="2025-03-26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6T00:00:00"/>
        <d v="2025-04-27T00:00:00"/>
        <d v="2025-04-29T00:00:00"/>
        <d v="2025-05-01T00:00:00"/>
        <d v="2025-05-02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8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9T00:00:00"/>
        <d v="2025-05-31T00:00:00"/>
        <d v="2025-06-01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4T00:00:00"/>
        <d v="2025-06-15T00:00:00"/>
        <d v="2025-06-16T00:00:00"/>
        <d v="2025-06-17T00:00:00"/>
        <d v="2025-06-18T00:00:00"/>
        <d v="2025-06-20T00:00:00"/>
        <d v="2025-06-21T00:00:00"/>
        <d v="2025-06-22T00:00:00"/>
        <d v="2025-06-24T00:00:00"/>
        <d v="2025-06-26T00:00:00"/>
        <d v="2025-06-27T00:00:00"/>
        <d v="2025-06-28T00:00:00"/>
        <d v="2025-06-29T00:00:00"/>
        <d v="2025-06-30T00:00:00"/>
        <d v="2025-07-02T00:00:00"/>
        <d v="2025-07-03T00:00:00"/>
        <d v="2025-07-05T00:00:00"/>
        <d v="2025-07-07T00:00:00"/>
        <d v="2025-07-08T00:00:00"/>
        <d v="2025-07-09T00:00:00"/>
        <d v="2025-07-10T00:00:00"/>
        <d v="2025-07-12T00:00:00"/>
        <d v="2025-07-13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3T00:00:00"/>
        <d v="2025-07-24T00:00:00"/>
        <d v="2025-07-29T00:00:00"/>
        <d v="2025-07-31T00:00:00"/>
        <d v="2025-08-02T00:00:00"/>
        <d v="2025-08-03T00:00:00"/>
        <d v="2025-08-04T00:00:00"/>
        <d v="2025-08-05T00:00:00"/>
        <d v="2025-08-07T00:00:00"/>
        <d v="2025-08-09T00:00:00"/>
        <d v="2025-08-10T00:00:00"/>
        <d v="2025-08-11T00:00:00"/>
        <d v="2025-08-12T00:00:00"/>
        <d v="2025-08-13T00:00:00"/>
        <d v="2025-08-16T00:00:00"/>
        <d v="2025-08-18T00:00:00"/>
        <d v="2025-08-19T00:00:00"/>
        <d v="2025-08-20T00:00:00"/>
        <d v="2025-08-21T00:00:00"/>
        <d v="2025-08-23T00:00:00"/>
        <d v="2025-08-24T00:00:00"/>
        <d v="2025-08-25T00:00:00"/>
        <d v="2025-08-27T00:00:00"/>
        <d v="2025-08-28T00:00:00"/>
        <d v="2025-08-29T00:00:00"/>
        <d v="2025-08-30T00:00:00"/>
        <d v="2025-08-31T00:00:00"/>
        <d v="2025-09-01T00:00:00"/>
        <d v="2025-09-03T00:00:00"/>
        <d v="2025-09-04T00:00:00"/>
        <d v="2025-09-06T00:00:00"/>
        <d v="2025-09-08T00:00:00"/>
        <d v="2025-09-11T00:00:00"/>
        <d v="2025-09-13T00:00:00"/>
        <d v="2025-09-14T00:00:00"/>
        <d v="2025-09-15T00:00:00"/>
        <d v="2025-09-17T00:00:00"/>
        <d v="2025-09-21T00:00:00"/>
        <d v="2025-09-23T00:00:00"/>
        <d v="2025-09-24T00:00:00"/>
        <d v="2025-09-25T00:00:00"/>
        <d v="2025-09-26T00:00:00"/>
        <d v="2025-09-27T00:00:00"/>
        <d v="2025-09-28T00:00:00"/>
        <d v="2025-09-30T00:00:00"/>
        <d v="2025-10-02T00:00:00"/>
        <d v="2025-10-04T00:00:00"/>
        <d v="2025-10-05T00:00:00"/>
        <d v="2025-10-06T00:00:00"/>
        <d v="2025-10-07T00:00:00"/>
        <d v="2025-10-08T00:00:00"/>
        <d v="2025-10-11T00:00:00"/>
        <d v="2025-10-12T00:00:00"/>
        <d v="2025-10-16T00:00:00"/>
        <d v="2025-10-17T00:00:00"/>
        <d v="2025-10-18T00:00:00"/>
        <d v="2025-10-19T00:00:00"/>
        <d v="2025-10-20T00:00:00"/>
        <d v="2025-10-23T00:00:00"/>
        <d v="2025-10-24T00:00:00"/>
        <d v="2025-10-26T00:00:00"/>
        <d v="2025-10-27T00:00:00"/>
        <d v="2025-10-28T00:00:00"/>
        <d v="2025-10-30T00:00:00"/>
        <d v="2025-10-31T00:00:00"/>
        <d v="2025-11-01T00:00:00"/>
        <d v="2025-11-02T00:00:00"/>
        <d v="2025-11-03T00:00:00"/>
        <d v="2025-11-04T00:00:00"/>
        <d v="2025-11-07T00:00:00"/>
        <d v="2025-11-08T00:00:00"/>
        <d v="2025-11-09T00:00:00"/>
        <d v="2025-11-10T00:00:00"/>
        <d v="2025-11-11T00:00:00"/>
        <d v="2025-11-12T00:00:00"/>
        <d v="2025-11-14T00:00:00"/>
        <d v="2025-11-16T00:00:00"/>
        <d v="2025-11-17T00:00:00"/>
        <d v="2025-11-18T00:00:00"/>
        <d v="2025-11-20T00:00:00"/>
        <d v="2025-11-23T00:00:00"/>
        <d v="2025-11-24T00:00:00"/>
        <d v="2025-11-25T00:00:00"/>
        <d v="2025-11-26T00:00:00"/>
        <d v="2025-11-27T00:00:00"/>
        <d v="2025-11-28T00:00:00"/>
        <d v="2025-11-30T00:00:00"/>
        <d v="2025-12-03T00:00:00"/>
        <d v="2025-12-05T00:00:00"/>
        <d v="2025-12-06T00:00:00"/>
        <d v="2025-12-08T00:00:00"/>
        <d v="2025-12-14T00:00:00"/>
        <d v="2025-12-17T00:00:00"/>
        <d v="2025-12-19T00:00:00"/>
        <d v="2025-12-22T00:00:00"/>
        <d v="2025-12-25T00:00:00"/>
        <d v="2025-12-28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3T00:00:00"/>
        <d v="2026-01-16T00:00:00"/>
        <d v="2026-01-17T00:00:00"/>
        <d v="2026-01-18T00:00:00"/>
        <d v="2026-01-19T00:00:00"/>
        <d v="2026-01-20T00:00:00"/>
        <d v="2026-01-21T00:00:00"/>
        <d v="2026-01-24T00:00:00"/>
        <d v="2026-01-25T00:00:00"/>
        <d v="2026-01-26T00:00:00"/>
        <d v="2026-01-27T00:00:00"/>
        <d v="2026-01-28T00:00:00"/>
        <d v="2026-01-30T00:00:00"/>
        <d v="2026-01-31T00:00:00"/>
        <d v="2026-02-01T00:00:00"/>
        <d v="2026-02-02T00:00:00"/>
        <d v="2026-02-03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4T00:00:00"/>
        <d v="2026-02-25T00:00:00"/>
        <d v="2026-02-26T00:00:00"/>
        <d v="2026-02-28T00:00:00"/>
        <d v="2026-03-02T00:00:00"/>
        <d v="2026-03-04T00:00:00"/>
        <d v="2026-03-05T00:00:00"/>
        <d v="2026-03-06T00:00:00"/>
        <d v="2026-03-07T00:00:00"/>
        <d v="2026-03-08T00:00:00"/>
        <d v="2026-03-10T00:00:00"/>
        <d v="2026-03-11T00:00:00"/>
        <d v="2026-03-13T00:00:00"/>
        <d v="2026-03-14T00:00:00"/>
        <d v="2026-03-16T00:00:00"/>
        <d v="2026-03-17T00:00:00"/>
        <d v="2026-03-18T00:00:00"/>
        <d v="2026-03-20T00:00:00"/>
        <d v="2026-03-21T00:00:00"/>
        <d v="2026-03-22T00:00:00"/>
        <d v="2026-03-23T00:00:00"/>
        <d v="2026-03-24T00:00:00"/>
        <d v="2026-03-25T00:00:00"/>
        <d v="2026-03-27T00:00:00"/>
        <d v="2026-03-29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1T00:00:00"/>
        <d v="2026-04-22T00:00:00"/>
        <d v="2026-04-24T00:00:00"/>
        <d v="2026-04-25T00:00:00"/>
        <d v="2026-04-26T00:00:00"/>
        <d v="2026-04-28T00:00:00"/>
        <d v="2026-04-30T00:00:00"/>
        <d v="2026-05-01T00:00:00"/>
        <d v="2026-05-02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</sharedItems>
      <fieldGroup par="17"/>
    </cacheField>
    <cacheField name="Units Sold" numFmtId="1">
      <sharedItems containsSemiMixedTypes="0" containsString="0" containsNumber="1" containsInteger="1" minValue="6" maxValue="500"/>
    </cacheField>
    <cacheField name="Unit Price (₦)" numFmtId="165">
      <sharedItems containsSemiMixedTypes="0" containsString="0" containsNumber="1" containsInteger="1" minValue="200" maxValue="2800"/>
    </cacheField>
    <cacheField name="Discount (%)" numFmtId="9">
      <sharedItems containsSemiMixedTypes="0" containsString="0" containsNumber="1" minValue="0" maxValue="0.15"/>
    </cacheField>
    <cacheField name="Payment Status" numFmtId="49">
      <sharedItems count="2">
        <s v="Paid"/>
        <s v="Pending"/>
      </sharedItems>
    </cacheField>
    <cacheField name="Total Sales (₦)" numFmtId="168">
      <sharedItems containsSemiMixedTypes="0" containsString="0" containsNumber="1" containsInteger="1" minValue="3080" maxValue="1226400"/>
    </cacheField>
    <cacheField name="Net Revenue (₦)" numFmtId="168">
      <sharedItems containsSemiMixedTypes="0" containsString="0" containsNumber="1" minValue="3080" maxValue="1226400"/>
    </cacheField>
    <cacheField name="Revenue Tier" numFmtId="49">
      <sharedItems/>
    </cacheField>
    <cacheField name="Months (Order Date)" numFmtId="0" databaseField="0">
      <fieldGroup base="7">
        <rangePr groupBy="months" startDate="2024-01-01T00:00:00" endDate="2026-05-16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/05/2026"/>
        </groupItems>
      </fieldGroup>
    </cacheField>
    <cacheField name="Quarters (Order Date)" numFmtId="0" databaseField="0">
      <fieldGroup base="7">
        <rangePr groupBy="quarters" startDate="2024-01-01T00:00:00" endDate="2026-05-16T00:00:00"/>
        <groupItems count="6">
          <s v="&lt;01/01/2024"/>
          <s v="Qtr1"/>
          <s v="Qtr2"/>
          <s v="Qtr3"/>
          <s v="Qtr4"/>
          <s v="&gt;16/05/2026"/>
        </groupItems>
      </fieldGroup>
    </cacheField>
    <cacheField name="Years (Order Date)" numFmtId="0" databaseField="0">
      <fieldGroup base="7">
        <rangePr groupBy="years" startDate="2024-01-01T00:00:00" endDate="2026-05-16T00:00:00"/>
        <groupItems count="5">
          <s v="&lt;01/01/2024"/>
          <s v="2024"/>
          <s v="2025"/>
          <s v="2026"/>
          <s v="&gt;16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6">
  <r>
    <x v="0"/>
    <s v="PKG-001"/>
    <x v="0"/>
    <x v="0"/>
    <x v="0"/>
    <x v="0"/>
    <x v="0"/>
    <x v="0"/>
    <n v="337"/>
    <n v="990"/>
    <n v="0.12"/>
    <x v="0"/>
    <n v="333630"/>
    <n v="293594.40000000002"/>
    <s v="Medium"/>
  </r>
  <r>
    <x v="1"/>
    <s v="PKG-002"/>
    <x v="1"/>
    <x v="1"/>
    <x v="1"/>
    <x v="1"/>
    <x v="1"/>
    <x v="1"/>
    <n v="135"/>
    <n v="350"/>
    <n v="0"/>
    <x v="1"/>
    <n v="47250"/>
    <n v="47250"/>
    <s v="Low"/>
  </r>
  <r>
    <x v="2"/>
    <s v="PKG-003"/>
    <x v="2"/>
    <x v="1"/>
    <x v="2"/>
    <x v="2"/>
    <x v="2"/>
    <x v="2"/>
    <n v="387"/>
    <n v="420"/>
    <n v="0"/>
    <x v="0"/>
    <n v="162540"/>
    <n v="162540"/>
    <s v="Medium"/>
  </r>
  <r>
    <x v="3"/>
    <s v="PKG-004"/>
    <x v="3"/>
    <x v="0"/>
    <x v="3"/>
    <x v="3"/>
    <x v="3"/>
    <x v="3"/>
    <n v="389"/>
    <n v="1200"/>
    <n v="0.03"/>
    <x v="0"/>
    <n v="466800"/>
    <n v="452796"/>
    <s v="High"/>
  </r>
  <r>
    <x v="4"/>
    <s v="PKG-005"/>
    <x v="4"/>
    <x v="0"/>
    <x v="4"/>
    <x v="4"/>
    <x v="4"/>
    <x v="4"/>
    <n v="226"/>
    <n v="200"/>
    <n v="0"/>
    <x v="1"/>
    <n v="45200"/>
    <n v="45200"/>
    <s v="Low"/>
  </r>
  <r>
    <x v="5"/>
    <s v="PKG-006"/>
    <x v="5"/>
    <x v="2"/>
    <x v="0"/>
    <x v="0"/>
    <x v="5"/>
    <x v="5"/>
    <n v="100"/>
    <n v="895"/>
    <n v="0"/>
    <x v="0"/>
    <n v="89500"/>
    <n v="89500"/>
    <s v="Low"/>
  </r>
  <r>
    <x v="6"/>
    <s v="PKG-007"/>
    <x v="6"/>
    <x v="0"/>
    <x v="1"/>
    <x v="1"/>
    <x v="0"/>
    <x v="6"/>
    <n v="268"/>
    <n v="650"/>
    <n v="0.09"/>
    <x v="1"/>
    <n v="174200"/>
    <n v="158522"/>
    <s v="Medium"/>
  </r>
  <r>
    <x v="7"/>
    <s v="PKG-008"/>
    <x v="7"/>
    <x v="3"/>
    <x v="2"/>
    <x v="2"/>
    <x v="1"/>
    <x v="7"/>
    <n v="376"/>
    <n v="2800"/>
    <n v="0"/>
    <x v="0"/>
    <n v="1052800"/>
    <n v="1052800"/>
    <s v="High"/>
  </r>
  <r>
    <x v="8"/>
    <s v="PKG-009"/>
    <x v="8"/>
    <x v="1"/>
    <x v="3"/>
    <x v="3"/>
    <x v="2"/>
    <x v="8"/>
    <n v="289"/>
    <n v="280"/>
    <n v="0"/>
    <x v="0"/>
    <n v="80920"/>
    <n v="80920"/>
    <s v="Low"/>
  </r>
  <r>
    <x v="9"/>
    <s v="PKG-010"/>
    <x v="9"/>
    <x v="2"/>
    <x v="4"/>
    <x v="4"/>
    <x v="3"/>
    <x v="9"/>
    <n v="239"/>
    <n v="750"/>
    <n v="0.13"/>
    <x v="1"/>
    <n v="179250"/>
    <n v="155947.5"/>
    <s v="Medium"/>
  </r>
  <r>
    <x v="10"/>
    <s v="PKG-001"/>
    <x v="0"/>
    <x v="0"/>
    <x v="0"/>
    <x v="0"/>
    <x v="4"/>
    <x v="10"/>
    <n v="13"/>
    <n v="990"/>
    <n v="0"/>
    <x v="0"/>
    <n v="12870"/>
    <n v="12870"/>
    <s v="Low"/>
  </r>
  <r>
    <x v="11"/>
    <s v="PKG-002"/>
    <x v="1"/>
    <x v="1"/>
    <x v="1"/>
    <x v="1"/>
    <x v="5"/>
    <x v="11"/>
    <n v="91"/>
    <n v="350"/>
    <n v="0"/>
    <x v="1"/>
    <n v="31850"/>
    <n v="31850"/>
    <s v="Low"/>
  </r>
  <r>
    <x v="12"/>
    <s v="PKG-003"/>
    <x v="2"/>
    <x v="1"/>
    <x v="2"/>
    <x v="2"/>
    <x v="0"/>
    <x v="12"/>
    <n v="184"/>
    <n v="420"/>
    <n v="0.05"/>
    <x v="0"/>
    <n v="77280"/>
    <n v="73416"/>
    <s v="Low"/>
  </r>
  <r>
    <x v="13"/>
    <s v="PKG-004"/>
    <x v="3"/>
    <x v="0"/>
    <x v="3"/>
    <x v="3"/>
    <x v="1"/>
    <x v="13"/>
    <n v="400"/>
    <n v="1200"/>
    <n v="0"/>
    <x v="0"/>
    <n v="480000"/>
    <n v="480000"/>
    <s v="High"/>
  </r>
  <r>
    <x v="14"/>
    <s v="PKG-005"/>
    <x v="4"/>
    <x v="0"/>
    <x v="4"/>
    <x v="4"/>
    <x v="2"/>
    <x v="14"/>
    <n v="57"/>
    <n v="200"/>
    <n v="0"/>
    <x v="1"/>
    <n v="11400"/>
    <n v="11400"/>
    <s v="Low"/>
  </r>
  <r>
    <x v="15"/>
    <s v="PKG-006"/>
    <x v="5"/>
    <x v="2"/>
    <x v="0"/>
    <x v="0"/>
    <x v="3"/>
    <x v="15"/>
    <n v="193"/>
    <n v="895"/>
    <n v="0.1"/>
    <x v="0"/>
    <n v="172735"/>
    <n v="155461.5"/>
    <s v="Medium"/>
  </r>
  <r>
    <x v="16"/>
    <s v="PKG-007"/>
    <x v="6"/>
    <x v="0"/>
    <x v="1"/>
    <x v="1"/>
    <x v="4"/>
    <x v="16"/>
    <n v="423"/>
    <n v="650"/>
    <n v="0"/>
    <x v="1"/>
    <n v="274950"/>
    <n v="274950"/>
    <s v="Medium"/>
  </r>
  <r>
    <x v="17"/>
    <s v="PKG-008"/>
    <x v="7"/>
    <x v="3"/>
    <x v="2"/>
    <x v="2"/>
    <x v="5"/>
    <x v="17"/>
    <n v="245"/>
    <n v="2800"/>
    <n v="0"/>
    <x v="0"/>
    <n v="686000"/>
    <n v="686000"/>
    <s v="High"/>
  </r>
  <r>
    <x v="18"/>
    <s v="PKG-009"/>
    <x v="8"/>
    <x v="1"/>
    <x v="3"/>
    <x v="3"/>
    <x v="0"/>
    <x v="18"/>
    <n v="482"/>
    <n v="280"/>
    <n v="0.09"/>
    <x v="0"/>
    <n v="134960"/>
    <n v="122813.6"/>
    <s v="Medium"/>
  </r>
  <r>
    <x v="19"/>
    <s v="PKG-010"/>
    <x v="9"/>
    <x v="2"/>
    <x v="4"/>
    <x v="4"/>
    <x v="1"/>
    <x v="19"/>
    <n v="434"/>
    <n v="750"/>
    <n v="0"/>
    <x v="1"/>
    <n v="325500"/>
    <n v="325500"/>
    <s v="Medium"/>
  </r>
  <r>
    <x v="20"/>
    <s v="PKG-001"/>
    <x v="0"/>
    <x v="0"/>
    <x v="0"/>
    <x v="0"/>
    <x v="2"/>
    <x v="20"/>
    <n v="463"/>
    <n v="990"/>
    <n v="0"/>
    <x v="0"/>
    <n v="458370"/>
    <n v="458370"/>
    <s v="High"/>
  </r>
  <r>
    <x v="21"/>
    <s v="PKG-002"/>
    <x v="1"/>
    <x v="1"/>
    <x v="1"/>
    <x v="1"/>
    <x v="3"/>
    <x v="21"/>
    <n v="305"/>
    <n v="350"/>
    <n v="0.03"/>
    <x v="1"/>
    <n v="106750"/>
    <n v="103547.5"/>
    <s v="Medium"/>
  </r>
  <r>
    <x v="22"/>
    <s v="PKG-003"/>
    <x v="2"/>
    <x v="1"/>
    <x v="2"/>
    <x v="2"/>
    <x v="4"/>
    <x v="22"/>
    <n v="150"/>
    <n v="420"/>
    <n v="0"/>
    <x v="0"/>
    <n v="63000"/>
    <n v="63000"/>
    <s v="Low"/>
  </r>
  <r>
    <x v="23"/>
    <s v="PKG-004"/>
    <x v="3"/>
    <x v="0"/>
    <x v="3"/>
    <x v="3"/>
    <x v="5"/>
    <x v="23"/>
    <n v="158"/>
    <n v="1200"/>
    <n v="0"/>
    <x v="0"/>
    <n v="189600"/>
    <n v="189600"/>
    <s v="Medium"/>
  </r>
  <r>
    <x v="24"/>
    <s v="PKG-005"/>
    <x v="4"/>
    <x v="0"/>
    <x v="4"/>
    <x v="4"/>
    <x v="0"/>
    <x v="24"/>
    <n v="447"/>
    <n v="200"/>
    <n v="0.03"/>
    <x v="1"/>
    <n v="89400"/>
    <n v="86718"/>
    <s v="Low"/>
  </r>
  <r>
    <x v="25"/>
    <s v="PKG-006"/>
    <x v="5"/>
    <x v="2"/>
    <x v="0"/>
    <x v="0"/>
    <x v="1"/>
    <x v="25"/>
    <n v="152"/>
    <n v="895"/>
    <n v="0"/>
    <x v="0"/>
    <n v="136040"/>
    <n v="136040"/>
    <s v="Medium"/>
  </r>
  <r>
    <x v="26"/>
    <s v="PKG-007"/>
    <x v="6"/>
    <x v="0"/>
    <x v="1"/>
    <x v="1"/>
    <x v="2"/>
    <x v="26"/>
    <n v="437"/>
    <n v="650"/>
    <n v="0"/>
    <x v="1"/>
    <n v="284050"/>
    <n v="284050"/>
    <s v="Medium"/>
  </r>
  <r>
    <x v="27"/>
    <s v="PKG-008"/>
    <x v="7"/>
    <x v="3"/>
    <x v="2"/>
    <x v="2"/>
    <x v="3"/>
    <x v="27"/>
    <n v="199"/>
    <n v="2800"/>
    <n v="0.11"/>
    <x v="0"/>
    <n v="557200"/>
    <n v="495908"/>
    <s v="High"/>
  </r>
  <r>
    <x v="28"/>
    <s v="PKG-009"/>
    <x v="8"/>
    <x v="1"/>
    <x v="3"/>
    <x v="3"/>
    <x v="4"/>
    <x v="28"/>
    <n v="369"/>
    <n v="280"/>
    <n v="0"/>
    <x v="0"/>
    <n v="103320"/>
    <n v="103320"/>
    <s v="Medium"/>
  </r>
  <r>
    <x v="29"/>
    <s v="PKG-010"/>
    <x v="9"/>
    <x v="2"/>
    <x v="4"/>
    <x v="4"/>
    <x v="5"/>
    <x v="29"/>
    <n v="341"/>
    <n v="750"/>
    <n v="0"/>
    <x v="1"/>
    <n v="255750"/>
    <n v="255750"/>
    <s v="Medium"/>
  </r>
  <r>
    <x v="30"/>
    <s v="PKG-001"/>
    <x v="0"/>
    <x v="0"/>
    <x v="0"/>
    <x v="0"/>
    <x v="0"/>
    <x v="30"/>
    <n v="335"/>
    <n v="990"/>
    <n v="0.11"/>
    <x v="0"/>
    <n v="331650"/>
    <n v="295168.5"/>
    <s v="Medium"/>
  </r>
  <r>
    <x v="31"/>
    <s v="PKG-002"/>
    <x v="1"/>
    <x v="1"/>
    <x v="1"/>
    <x v="1"/>
    <x v="1"/>
    <x v="31"/>
    <n v="93"/>
    <n v="350"/>
    <n v="0"/>
    <x v="1"/>
    <n v="32550"/>
    <n v="32550"/>
    <s v="Low"/>
  </r>
  <r>
    <x v="32"/>
    <s v="PKG-003"/>
    <x v="2"/>
    <x v="1"/>
    <x v="2"/>
    <x v="2"/>
    <x v="2"/>
    <x v="32"/>
    <n v="148"/>
    <n v="420"/>
    <n v="0"/>
    <x v="0"/>
    <n v="62160"/>
    <n v="62160"/>
    <s v="Low"/>
  </r>
  <r>
    <x v="33"/>
    <s v="PKG-004"/>
    <x v="3"/>
    <x v="0"/>
    <x v="3"/>
    <x v="3"/>
    <x v="3"/>
    <x v="33"/>
    <n v="337"/>
    <n v="1200"/>
    <n v="0.05"/>
    <x v="0"/>
    <n v="404400"/>
    <n v="384180"/>
    <s v="High"/>
  </r>
  <r>
    <x v="34"/>
    <s v="PKG-005"/>
    <x v="4"/>
    <x v="0"/>
    <x v="4"/>
    <x v="4"/>
    <x v="4"/>
    <x v="34"/>
    <n v="176"/>
    <n v="200"/>
    <n v="0"/>
    <x v="1"/>
    <n v="35200"/>
    <n v="35200"/>
    <s v="Low"/>
  </r>
  <r>
    <x v="35"/>
    <s v="PKG-006"/>
    <x v="5"/>
    <x v="2"/>
    <x v="0"/>
    <x v="0"/>
    <x v="5"/>
    <x v="35"/>
    <n v="407"/>
    <n v="895"/>
    <n v="0"/>
    <x v="0"/>
    <n v="364265"/>
    <n v="364265"/>
    <s v="High"/>
  </r>
  <r>
    <x v="36"/>
    <s v="PKG-007"/>
    <x v="6"/>
    <x v="0"/>
    <x v="1"/>
    <x v="1"/>
    <x v="0"/>
    <x v="36"/>
    <n v="430"/>
    <n v="650"/>
    <n v="0.06"/>
    <x v="1"/>
    <n v="279500"/>
    <n v="262730"/>
    <s v="Medium"/>
  </r>
  <r>
    <x v="37"/>
    <s v="PKG-008"/>
    <x v="7"/>
    <x v="3"/>
    <x v="2"/>
    <x v="2"/>
    <x v="1"/>
    <x v="37"/>
    <n v="147"/>
    <n v="2800"/>
    <n v="0"/>
    <x v="0"/>
    <n v="411600"/>
    <n v="411600"/>
    <s v="High"/>
  </r>
  <r>
    <x v="38"/>
    <s v="PKG-009"/>
    <x v="8"/>
    <x v="1"/>
    <x v="3"/>
    <x v="3"/>
    <x v="2"/>
    <x v="38"/>
    <n v="63"/>
    <n v="280"/>
    <n v="0"/>
    <x v="0"/>
    <n v="17640"/>
    <n v="17640"/>
    <s v="Low"/>
  </r>
  <r>
    <x v="39"/>
    <s v="PKG-010"/>
    <x v="9"/>
    <x v="2"/>
    <x v="4"/>
    <x v="4"/>
    <x v="3"/>
    <x v="39"/>
    <n v="458"/>
    <n v="750"/>
    <n v="0.05"/>
    <x v="1"/>
    <n v="343500"/>
    <n v="326325"/>
    <s v="Medium"/>
  </r>
  <r>
    <x v="40"/>
    <s v="PKG-001"/>
    <x v="0"/>
    <x v="0"/>
    <x v="0"/>
    <x v="0"/>
    <x v="4"/>
    <x v="40"/>
    <n v="265"/>
    <n v="990"/>
    <n v="0"/>
    <x v="0"/>
    <n v="262350"/>
    <n v="262350"/>
    <s v="Medium"/>
  </r>
  <r>
    <x v="41"/>
    <s v="PKG-002"/>
    <x v="1"/>
    <x v="1"/>
    <x v="1"/>
    <x v="1"/>
    <x v="5"/>
    <x v="41"/>
    <n v="478"/>
    <n v="350"/>
    <n v="0"/>
    <x v="1"/>
    <n v="167300"/>
    <n v="167300"/>
    <s v="Medium"/>
  </r>
  <r>
    <x v="42"/>
    <s v="PKG-003"/>
    <x v="2"/>
    <x v="1"/>
    <x v="2"/>
    <x v="2"/>
    <x v="0"/>
    <x v="42"/>
    <n v="83"/>
    <n v="420"/>
    <n v="0.05"/>
    <x v="0"/>
    <n v="34860"/>
    <n v="33117"/>
    <s v="Low"/>
  </r>
  <r>
    <x v="43"/>
    <s v="PKG-004"/>
    <x v="3"/>
    <x v="0"/>
    <x v="3"/>
    <x v="3"/>
    <x v="1"/>
    <x v="43"/>
    <n v="297"/>
    <n v="1200"/>
    <n v="0"/>
    <x v="0"/>
    <n v="356400"/>
    <n v="356400"/>
    <s v="High"/>
  </r>
  <r>
    <x v="44"/>
    <s v="PKG-005"/>
    <x v="4"/>
    <x v="0"/>
    <x v="4"/>
    <x v="4"/>
    <x v="2"/>
    <x v="44"/>
    <n v="392"/>
    <n v="200"/>
    <n v="0"/>
    <x v="1"/>
    <n v="78400"/>
    <n v="78400"/>
    <s v="Low"/>
  </r>
  <r>
    <x v="45"/>
    <s v="PKG-006"/>
    <x v="5"/>
    <x v="2"/>
    <x v="0"/>
    <x v="0"/>
    <x v="3"/>
    <x v="45"/>
    <n v="469"/>
    <n v="895"/>
    <n v="7.0000000000000007E-2"/>
    <x v="0"/>
    <n v="419755"/>
    <n v="390372.14999999997"/>
    <s v="High"/>
  </r>
  <r>
    <x v="46"/>
    <s v="PKG-007"/>
    <x v="6"/>
    <x v="0"/>
    <x v="1"/>
    <x v="1"/>
    <x v="4"/>
    <x v="46"/>
    <n v="80"/>
    <n v="650"/>
    <n v="0"/>
    <x v="1"/>
    <n v="52000"/>
    <n v="52000"/>
    <s v="Low"/>
  </r>
  <r>
    <x v="47"/>
    <s v="PKG-008"/>
    <x v="7"/>
    <x v="3"/>
    <x v="2"/>
    <x v="2"/>
    <x v="5"/>
    <x v="47"/>
    <n v="56"/>
    <n v="2800"/>
    <n v="0"/>
    <x v="0"/>
    <n v="156800"/>
    <n v="156800"/>
    <s v="Medium"/>
  </r>
  <r>
    <x v="48"/>
    <s v="PKG-009"/>
    <x v="8"/>
    <x v="1"/>
    <x v="3"/>
    <x v="3"/>
    <x v="0"/>
    <x v="48"/>
    <n v="450"/>
    <n v="280"/>
    <n v="0.1"/>
    <x v="0"/>
    <n v="126000"/>
    <n v="113400"/>
    <s v="Medium"/>
  </r>
  <r>
    <x v="49"/>
    <s v="PKG-010"/>
    <x v="9"/>
    <x v="2"/>
    <x v="4"/>
    <x v="4"/>
    <x v="1"/>
    <x v="49"/>
    <n v="415"/>
    <n v="750"/>
    <n v="0"/>
    <x v="1"/>
    <n v="311250"/>
    <n v="311250"/>
    <s v="Medium"/>
  </r>
  <r>
    <x v="50"/>
    <s v="PKG-001"/>
    <x v="0"/>
    <x v="0"/>
    <x v="0"/>
    <x v="0"/>
    <x v="2"/>
    <x v="50"/>
    <n v="315"/>
    <n v="990"/>
    <n v="0"/>
    <x v="0"/>
    <n v="311850"/>
    <n v="311850"/>
    <s v="Medium"/>
  </r>
  <r>
    <x v="51"/>
    <s v="PKG-002"/>
    <x v="1"/>
    <x v="1"/>
    <x v="1"/>
    <x v="1"/>
    <x v="3"/>
    <x v="51"/>
    <n v="205"/>
    <n v="350"/>
    <n v="0.08"/>
    <x v="1"/>
    <n v="71750"/>
    <n v="66010"/>
    <s v="Low"/>
  </r>
  <r>
    <x v="52"/>
    <s v="PKG-003"/>
    <x v="2"/>
    <x v="1"/>
    <x v="2"/>
    <x v="2"/>
    <x v="4"/>
    <x v="52"/>
    <n v="138"/>
    <n v="420"/>
    <n v="0"/>
    <x v="0"/>
    <n v="57960"/>
    <n v="57960"/>
    <s v="Low"/>
  </r>
  <r>
    <x v="53"/>
    <s v="PKG-004"/>
    <x v="3"/>
    <x v="0"/>
    <x v="3"/>
    <x v="3"/>
    <x v="5"/>
    <x v="53"/>
    <n v="450"/>
    <n v="1200"/>
    <n v="0"/>
    <x v="0"/>
    <n v="540000"/>
    <n v="540000"/>
    <s v="High"/>
  </r>
  <r>
    <x v="54"/>
    <s v="PKG-005"/>
    <x v="4"/>
    <x v="0"/>
    <x v="4"/>
    <x v="4"/>
    <x v="0"/>
    <x v="54"/>
    <n v="358"/>
    <n v="200"/>
    <n v="0.11"/>
    <x v="1"/>
    <n v="71600"/>
    <n v="63724"/>
    <s v="Low"/>
  </r>
  <r>
    <x v="55"/>
    <s v="PKG-006"/>
    <x v="5"/>
    <x v="2"/>
    <x v="0"/>
    <x v="0"/>
    <x v="1"/>
    <x v="55"/>
    <n v="160"/>
    <n v="895"/>
    <n v="0"/>
    <x v="0"/>
    <n v="143200"/>
    <n v="143200"/>
    <s v="Medium"/>
  </r>
  <r>
    <x v="56"/>
    <s v="PKG-007"/>
    <x v="6"/>
    <x v="0"/>
    <x v="1"/>
    <x v="1"/>
    <x v="2"/>
    <x v="56"/>
    <n v="403"/>
    <n v="650"/>
    <n v="0"/>
    <x v="1"/>
    <n v="261950"/>
    <n v="261950"/>
    <s v="Medium"/>
  </r>
  <r>
    <x v="57"/>
    <s v="PKG-008"/>
    <x v="7"/>
    <x v="3"/>
    <x v="2"/>
    <x v="2"/>
    <x v="3"/>
    <x v="57"/>
    <n v="67"/>
    <n v="2800"/>
    <n v="0.04"/>
    <x v="0"/>
    <n v="187600"/>
    <n v="180096"/>
    <s v="Medium"/>
  </r>
  <r>
    <x v="58"/>
    <s v="PKG-009"/>
    <x v="8"/>
    <x v="1"/>
    <x v="3"/>
    <x v="3"/>
    <x v="4"/>
    <x v="58"/>
    <n v="11"/>
    <n v="280"/>
    <n v="0"/>
    <x v="0"/>
    <n v="3080"/>
    <n v="3080"/>
    <s v="Low"/>
  </r>
  <r>
    <x v="59"/>
    <s v="PKG-010"/>
    <x v="9"/>
    <x v="2"/>
    <x v="4"/>
    <x v="4"/>
    <x v="5"/>
    <x v="59"/>
    <n v="458"/>
    <n v="750"/>
    <n v="0"/>
    <x v="1"/>
    <n v="343500"/>
    <n v="343500"/>
    <s v="Medium"/>
  </r>
  <r>
    <x v="60"/>
    <s v="PKG-001"/>
    <x v="0"/>
    <x v="0"/>
    <x v="0"/>
    <x v="0"/>
    <x v="0"/>
    <x v="60"/>
    <n v="266"/>
    <n v="990"/>
    <n v="0.09"/>
    <x v="0"/>
    <n v="263340"/>
    <n v="239639.4"/>
    <s v="Medium"/>
  </r>
  <r>
    <x v="61"/>
    <s v="PKG-002"/>
    <x v="1"/>
    <x v="1"/>
    <x v="1"/>
    <x v="1"/>
    <x v="1"/>
    <x v="61"/>
    <n v="64"/>
    <n v="350"/>
    <n v="0"/>
    <x v="1"/>
    <n v="22400"/>
    <n v="22400"/>
    <s v="Low"/>
  </r>
  <r>
    <x v="62"/>
    <s v="PKG-003"/>
    <x v="2"/>
    <x v="1"/>
    <x v="2"/>
    <x v="2"/>
    <x v="2"/>
    <x v="62"/>
    <n v="162"/>
    <n v="420"/>
    <n v="0"/>
    <x v="0"/>
    <n v="68040"/>
    <n v="68040"/>
    <s v="Low"/>
  </r>
  <r>
    <x v="63"/>
    <s v="PKG-004"/>
    <x v="3"/>
    <x v="0"/>
    <x v="3"/>
    <x v="3"/>
    <x v="3"/>
    <x v="63"/>
    <n v="269"/>
    <n v="1200"/>
    <n v="0.04"/>
    <x v="0"/>
    <n v="322800"/>
    <n v="309888"/>
    <s v="Medium"/>
  </r>
  <r>
    <x v="64"/>
    <s v="PKG-005"/>
    <x v="4"/>
    <x v="0"/>
    <x v="4"/>
    <x v="4"/>
    <x v="4"/>
    <x v="64"/>
    <n v="400"/>
    <n v="200"/>
    <n v="0"/>
    <x v="1"/>
    <n v="80000"/>
    <n v="80000"/>
    <s v="Low"/>
  </r>
  <r>
    <x v="65"/>
    <s v="PKG-006"/>
    <x v="5"/>
    <x v="2"/>
    <x v="0"/>
    <x v="0"/>
    <x v="5"/>
    <x v="65"/>
    <n v="498"/>
    <n v="895"/>
    <n v="0"/>
    <x v="0"/>
    <n v="445710"/>
    <n v="445710"/>
    <s v="High"/>
  </r>
  <r>
    <x v="66"/>
    <s v="PKG-007"/>
    <x v="6"/>
    <x v="0"/>
    <x v="1"/>
    <x v="1"/>
    <x v="0"/>
    <x v="66"/>
    <n v="281"/>
    <n v="650"/>
    <n v="0.1"/>
    <x v="1"/>
    <n v="182650"/>
    <n v="164385"/>
    <s v="Medium"/>
  </r>
  <r>
    <x v="67"/>
    <s v="PKG-008"/>
    <x v="7"/>
    <x v="3"/>
    <x v="2"/>
    <x v="2"/>
    <x v="1"/>
    <x v="67"/>
    <n v="260"/>
    <n v="2800"/>
    <n v="0"/>
    <x v="0"/>
    <n v="728000"/>
    <n v="728000"/>
    <s v="High"/>
  </r>
  <r>
    <x v="68"/>
    <s v="PKG-009"/>
    <x v="8"/>
    <x v="1"/>
    <x v="3"/>
    <x v="3"/>
    <x v="2"/>
    <x v="68"/>
    <n v="485"/>
    <n v="280"/>
    <n v="0"/>
    <x v="0"/>
    <n v="135800"/>
    <n v="135800"/>
    <s v="Medium"/>
  </r>
  <r>
    <x v="69"/>
    <s v="PKG-010"/>
    <x v="9"/>
    <x v="2"/>
    <x v="4"/>
    <x v="4"/>
    <x v="3"/>
    <x v="69"/>
    <n v="435"/>
    <n v="750"/>
    <n v="0.05"/>
    <x v="1"/>
    <n v="326250"/>
    <n v="309937.5"/>
    <s v="Medium"/>
  </r>
  <r>
    <x v="70"/>
    <s v="PKG-001"/>
    <x v="0"/>
    <x v="0"/>
    <x v="0"/>
    <x v="0"/>
    <x v="4"/>
    <x v="70"/>
    <n v="133"/>
    <n v="990"/>
    <n v="0"/>
    <x v="0"/>
    <n v="131670"/>
    <n v="131670"/>
    <s v="Medium"/>
  </r>
  <r>
    <x v="71"/>
    <s v="PKG-002"/>
    <x v="1"/>
    <x v="1"/>
    <x v="1"/>
    <x v="1"/>
    <x v="5"/>
    <x v="71"/>
    <n v="89"/>
    <n v="350"/>
    <n v="0"/>
    <x v="1"/>
    <n v="31150"/>
    <n v="31150"/>
    <s v="Low"/>
  </r>
  <r>
    <x v="72"/>
    <s v="PKG-003"/>
    <x v="2"/>
    <x v="1"/>
    <x v="2"/>
    <x v="2"/>
    <x v="0"/>
    <x v="72"/>
    <n v="384"/>
    <n v="420"/>
    <n v="0.03"/>
    <x v="0"/>
    <n v="161280"/>
    <n v="156441.60000000001"/>
    <s v="Medium"/>
  </r>
  <r>
    <x v="73"/>
    <s v="PKG-004"/>
    <x v="3"/>
    <x v="0"/>
    <x v="3"/>
    <x v="3"/>
    <x v="1"/>
    <x v="73"/>
    <n v="399"/>
    <n v="1200"/>
    <n v="0"/>
    <x v="0"/>
    <n v="478800"/>
    <n v="478800"/>
    <s v="High"/>
  </r>
  <r>
    <x v="74"/>
    <s v="PKG-005"/>
    <x v="4"/>
    <x v="0"/>
    <x v="4"/>
    <x v="4"/>
    <x v="2"/>
    <x v="74"/>
    <n v="74"/>
    <n v="200"/>
    <n v="0"/>
    <x v="1"/>
    <n v="14800"/>
    <n v="14800"/>
    <s v="Low"/>
  </r>
  <r>
    <x v="75"/>
    <s v="PKG-006"/>
    <x v="5"/>
    <x v="2"/>
    <x v="0"/>
    <x v="0"/>
    <x v="3"/>
    <x v="75"/>
    <n v="253"/>
    <n v="895"/>
    <n v="0.04"/>
    <x v="0"/>
    <n v="226435"/>
    <n v="217377.6"/>
    <s v="Medium"/>
  </r>
  <r>
    <x v="76"/>
    <s v="PKG-007"/>
    <x v="6"/>
    <x v="0"/>
    <x v="1"/>
    <x v="1"/>
    <x v="4"/>
    <x v="76"/>
    <n v="280"/>
    <n v="650"/>
    <n v="0"/>
    <x v="1"/>
    <n v="182000"/>
    <n v="182000"/>
    <s v="Medium"/>
  </r>
  <r>
    <x v="77"/>
    <s v="PKG-008"/>
    <x v="7"/>
    <x v="3"/>
    <x v="2"/>
    <x v="2"/>
    <x v="5"/>
    <x v="77"/>
    <n v="226"/>
    <n v="2800"/>
    <n v="0"/>
    <x v="0"/>
    <n v="632800"/>
    <n v="632800"/>
    <s v="High"/>
  </r>
  <r>
    <x v="78"/>
    <s v="PKG-009"/>
    <x v="8"/>
    <x v="1"/>
    <x v="3"/>
    <x v="3"/>
    <x v="0"/>
    <x v="78"/>
    <n v="485"/>
    <n v="280"/>
    <n v="0.11"/>
    <x v="0"/>
    <n v="135800"/>
    <n v="120862"/>
    <s v="Medium"/>
  </r>
  <r>
    <x v="79"/>
    <s v="PKG-010"/>
    <x v="9"/>
    <x v="2"/>
    <x v="4"/>
    <x v="4"/>
    <x v="1"/>
    <x v="79"/>
    <n v="112"/>
    <n v="750"/>
    <n v="0"/>
    <x v="1"/>
    <n v="84000"/>
    <n v="84000"/>
    <s v="Low"/>
  </r>
  <r>
    <x v="80"/>
    <s v="PKG-001"/>
    <x v="0"/>
    <x v="0"/>
    <x v="0"/>
    <x v="0"/>
    <x v="2"/>
    <x v="80"/>
    <n v="214"/>
    <n v="990"/>
    <n v="0"/>
    <x v="0"/>
    <n v="211860"/>
    <n v="211860"/>
    <s v="Medium"/>
  </r>
  <r>
    <x v="81"/>
    <s v="PKG-002"/>
    <x v="1"/>
    <x v="1"/>
    <x v="1"/>
    <x v="1"/>
    <x v="3"/>
    <x v="81"/>
    <n v="342"/>
    <n v="350"/>
    <n v="0.14000000000000001"/>
    <x v="1"/>
    <n v="119700"/>
    <n v="102942"/>
    <s v="Medium"/>
  </r>
  <r>
    <x v="82"/>
    <s v="PKG-003"/>
    <x v="2"/>
    <x v="1"/>
    <x v="2"/>
    <x v="2"/>
    <x v="4"/>
    <x v="82"/>
    <n v="241"/>
    <n v="420"/>
    <n v="0"/>
    <x v="0"/>
    <n v="101220"/>
    <n v="101220"/>
    <s v="Medium"/>
  </r>
  <r>
    <x v="83"/>
    <s v="PKG-004"/>
    <x v="3"/>
    <x v="0"/>
    <x v="3"/>
    <x v="3"/>
    <x v="5"/>
    <x v="83"/>
    <n v="125"/>
    <n v="1200"/>
    <n v="0"/>
    <x v="0"/>
    <n v="150000"/>
    <n v="150000"/>
    <s v="Medium"/>
  </r>
  <r>
    <x v="84"/>
    <s v="PKG-005"/>
    <x v="4"/>
    <x v="0"/>
    <x v="4"/>
    <x v="4"/>
    <x v="0"/>
    <x v="84"/>
    <n v="20"/>
    <n v="200"/>
    <n v="0.05"/>
    <x v="1"/>
    <n v="4000"/>
    <n v="3800"/>
    <s v="Low"/>
  </r>
  <r>
    <x v="85"/>
    <s v="PKG-006"/>
    <x v="5"/>
    <x v="2"/>
    <x v="0"/>
    <x v="0"/>
    <x v="1"/>
    <x v="85"/>
    <n v="122"/>
    <n v="895"/>
    <n v="0"/>
    <x v="0"/>
    <n v="109190"/>
    <n v="109190"/>
    <s v="Medium"/>
  </r>
  <r>
    <x v="86"/>
    <s v="PKG-008"/>
    <x v="7"/>
    <x v="3"/>
    <x v="2"/>
    <x v="2"/>
    <x v="1"/>
    <x v="86"/>
    <n v="120"/>
    <n v="2800"/>
    <n v="0.02"/>
    <x v="0"/>
    <n v="336000"/>
    <n v="329280"/>
    <s v="Medium"/>
  </r>
  <r>
    <x v="87"/>
    <s v="PKG-008"/>
    <x v="7"/>
    <x v="3"/>
    <x v="2"/>
    <x v="2"/>
    <x v="3"/>
    <x v="87"/>
    <n v="127"/>
    <n v="2800"/>
    <n v="0.02"/>
    <x v="0"/>
    <n v="355600"/>
    <n v="348488"/>
    <s v="Medium"/>
  </r>
  <r>
    <x v="88"/>
    <s v="PKG-009"/>
    <x v="8"/>
    <x v="1"/>
    <x v="3"/>
    <x v="3"/>
    <x v="4"/>
    <x v="88"/>
    <n v="179"/>
    <n v="280"/>
    <n v="0"/>
    <x v="0"/>
    <n v="50120"/>
    <n v="50120"/>
    <s v="Low"/>
  </r>
  <r>
    <x v="89"/>
    <s v="PKG-010"/>
    <x v="9"/>
    <x v="2"/>
    <x v="4"/>
    <x v="4"/>
    <x v="5"/>
    <x v="89"/>
    <n v="111"/>
    <n v="750"/>
    <n v="0"/>
    <x v="1"/>
    <n v="83250"/>
    <n v="83250"/>
    <s v="Low"/>
  </r>
  <r>
    <x v="90"/>
    <s v="PKG-001"/>
    <x v="0"/>
    <x v="0"/>
    <x v="0"/>
    <x v="0"/>
    <x v="0"/>
    <x v="90"/>
    <n v="258"/>
    <n v="990"/>
    <n v="0.04"/>
    <x v="0"/>
    <n v="255420"/>
    <n v="245203.19999999998"/>
    <s v="Medium"/>
  </r>
  <r>
    <x v="91"/>
    <s v="PKG-002"/>
    <x v="1"/>
    <x v="1"/>
    <x v="1"/>
    <x v="1"/>
    <x v="1"/>
    <x v="91"/>
    <n v="488"/>
    <n v="350"/>
    <n v="0"/>
    <x v="1"/>
    <n v="170800"/>
    <n v="170800"/>
    <s v="Medium"/>
  </r>
  <r>
    <x v="92"/>
    <s v="PKG-003"/>
    <x v="2"/>
    <x v="1"/>
    <x v="2"/>
    <x v="2"/>
    <x v="2"/>
    <x v="92"/>
    <n v="305"/>
    <n v="420"/>
    <n v="0"/>
    <x v="0"/>
    <n v="128100"/>
    <n v="128100"/>
    <s v="Medium"/>
  </r>
  <r>
    <x v="93"/>
    <s v="PKG-004"/>
    <x v="3"/>
    <x v="0"/>
    <x v="3"/>
    <x v="3"/>
    <x v="3"/>
    <x v="93"/>
    <n v="411"/>
    <n v="1200"/>
    <n v="7.0000000000000007E-2"/>
    <x v="0"/>
    <n v="493200"/>
    <n v="458675.99999999994"/>
    <s v="High"/>
  </r>
  <r>
    <x v="94"/>
    <s v="PKG-005"/>
    <x v="4"/>
    <x v="0"/>
    <x v="4"/>
    <x v="4"/>
    <x v="4"/>
    <x v="94"/>
    <n v="58"/>
    <n v="200"/>
    <n v="0"/>
    <x v="1"/>
    <n v="11600"/>
    <n v="11600"/>
    <s v="Low"/>
  </r>
  <r>
    <x v="95"/>
    <s v="PKG-006"/>
    <x v="5"/>
    <x v="2"/>
    <x v="0"/>
    <x v="0"/>
    <x v="5"/>
    <x v="95"/>
    <n v="230"/>
    <n v="895"/>
    <n v="0"/>
    <x v="0"/>
    <n v="205850"/>
    <n v="205850"/>
    <s v="Medium"/>
  </r>
  <r>
    <x v="96"/>
    <s v="PKG-007"/>
    <x v="6"/>
    <x v="0"/>
    <x v="1"/>
    <x v="1"/>
    <x v="0"/>
    <x v="96"/>
    <n v="220"/>
    <n v="650"/>
    <n v="0.11"/>
    <x v="1"/>
    <n v="143000"/>
    <n v="127270"/>
    <s v="Medium"/>
  </r>
  <r>
    <x v="97"/>
    <s v="PKG-008"/>
    <x v="7"/>
    <x v="3"/>
    <x v="2"/>
    <x v="2"/>
    <x v="1"/>
    <x v="97"/>
    <n v="354"/>
    <n v="2800"/>
    <n v="0"/>
    <x v="0"/>
    <n v="991200"/>
    <n v="991200"/>
    <s v="High"/>
  </r>
  <r>
    <x v="98"/>
    <s v="PKG-009"/>
    <x v="8"/>
    <x v="1"/>
    <x v="3"/>
    <x v="3"/>
    <x v="2"/>
    <x v="98"/>
    <n v="340"/>
    <n v="280"/>
    <n v="0"/>
    <x v="0"/>
    <n v="95200"/>
    <n v="95200"/>
    <s v="Low"/>
  </r>
  <r>
    <x v="99"/>
    <s v="PKG-010"/>
    <x v="9"/>
    <x v="2"/>
    <x v="4"/>
    <x v="4"/>
    <x v="3"/>
    <x v="99"/>
    <n v="216"/>
    <n v="750"/>
    <n v="0.12"/>
    <x v="1"/>
    <n v="162000"/>
    <n v="142560"/>
    <s v="Medium"/>
  </r>
  <r>
    <x v="100"/>
    <s v="PKG-001"/>
    <x v="0"/>
    <x v="0"/>
    <x v="0"/>
    <x v="0"/>
    <x v="4"/>
    <x v="100"/>
    <n v="65"/>
    <n v="990"/>
    <n v="0"/>
    <x v="0"/>
    <n v="64350"/>
    <n v="64350"/>
    <s v="Low"/>
  </r>
  <r>
    <x v="101"/>
    <s v="PKG-002"/>
    <x v="1"/>
    <x v="1"/>
    <x v="1"/>
    <x v="1"/>
    <x v="5"/>
    <x v="101"/>
    <n v="107"/>
    <n v="350"/>
    <n v="0"/>
    <x v="1"/>
    <n v="37450"/>
    <n v="37450"/>
    <s v="Low"/>
  </r>
  <r>
    <x v="102"/>
    <s v="PKG-003"/>
    <x v="2"/>
    <x v="1"/>
    <x v="2"/>
    <x v="2"/>
    <x v="0"/>
    <x v="102"/>
    <n v="81"/>
    <n v="420"/>
    <n v="0.06"/>
    <x v="0"/>
    <n v="34020"/>
    <n v="31978.799999999999"/>
    <s v="Low"/>
  </r>
  <r>
    <x v="103"/>
    <s v="PKG-004"/>
    <x v="3"/>
    <x v="0"/>
    <x v="3"/>
    <x v="3"/>
    <x v="1"/>
    <x v="103"/>
    <n v="100"/>
    <n v="1200"/>
    <n v="0"/>
    <x v="0"/>
    <n v="120000"/>
    <n v="120000"/>
    <s v="Medium"/>
  </r>
  <r>
    <x v="104"/>
    <s v="PKG-005"/>
    <x v="4"/>
    <x v="0"/>
    <x v="4"/>
    <x v="4"/>
    <x v="2"/>
    <x v="104"/>
    <n v="48"/>
    <n v="200"/>
    <n v="0"/>
    <x v="1"/>
    <n v="9600"/>
    <n v="9600"/>
    <s v="Low"/>
  </r>
  <r>
    <x v="105"/>
    <s v="PKG-006"/>
    <x v="5"/>
    <x v="2"/>
    <x v="0"/>
    <x v="0"/>
    <x v="3"/>
    <x v="105"/>
    <n v="451"/>
    <n v="895"/>
    <n v="0.03"/>
    <x v="0"/>
    <n v="403645"/>
    <n v="391535.64999999997"/>
    <s v="High"/>
  </r>
  <r>
    <x v="106"/>
    <s v="PKG-007"/>
    <x v="6"/>
    <x v="0"/>
    <x v="1"/>
    <x v="1"/>
    <x v="4"/>
    <x v="106"/>
    <n v="343"/>
    <n v="650"/>
    <n v="0"/>
    <x v="1"/>
    <n v="222950"/>
    <n v="222950"/>
    <s v="Medium"/>
  </r>
  <r>
    <x v="107"/>
    <s v="PKG-008"/>
    <x v="7"/>
    <x v="3"/>
    <x v="2"/>
    <x v="2"/>
    <x v="5"/>
    <x v="107"/>
    <n v="438"/>
    <n v="2800"/>
    <n v="0"/>
    <x v="0"/>
    <n v="1226400"/>
    <n v="1226400"/>
    <s v="High"/>
  </r>
  <r>
    <x v="108"/>
    <s v="PKG-009"/>
    <x v="8"/>
    <x v="1"/>
    <x v="3"/>
    <x v="3"/>
    <x v="0"/>
    <x v="108"/>
    <n v="57"/>
    <n v="280"/>
    <n v="0.13"/>
    <x v="0"/>
    <n v="15960"/>
    <n v="13885.2"/>
    <s v="Low"/>
  </r>
  <r>
    <x v="109"/>
    <s v="PKG-010"/>
    <x v="9"/>
    <x v="2"/>
    <x v="4"/>
    <x v="4"/>
    <x v="1"/>
    <x v="109"/>
    <n v="95"/>
    <n v="750"/>
    <n v="0"/>
    <x v="1"/>
    <n v="71250"/>
    <n v="71250"/>
    <s v="Low"/>
  </r>
  <r>
    <x v="110"/>
    <s v="PKG-001"/>
    <x v="0"/>
    <x v="0"/>
    <x v="0"/>
    <x v="0"/>
    <x v="2"/>
    <x v="110"/>
    <n v="256"/>
    <n v="990"/>
    <n v="0"/>
    <x v="0"/>
    <n v="253440"/>
    <n v="253440"/>
    <s v="Medium"/>
  </r>
  <r>
    <x v="111"/>
    <s v="PKG-002"/>
    <x v="1"/>
    <x v="1"/>
    <x v="1"/>
    <x v="1"/>
    <x v="3"/>
    <x v="111"/>
    <n v="215"/>
    <n v="350"/>
    <n v="0.04"/>
    <x v="1"/>
    <n v="75250"/>
    <n v="72240"/>
    <s v="Low"/>
  </r>
  <r>
    <x v="112"/>
    <s v="PKG-003"/>
    <x v="2"/>
    <x v="1"/>
    <x v="2"/>
    <x v="2"/>
    <x v="4"/>
    <x v="112"/>
    <n v="160"/>
    <n v="420"/>
    <n v="0"/>
    <x v="0"/>
    <n v="67200"/>
    <n v="67200"/>
    <s v="Low"/>
  </r>
  <r>
    <x v="113"/>
    <s v="PKG-004"/>
    <x v="3"/>
    <x v="0"/>
    <x v="3"/>
    <x v="3"/>
    <x v="5"/>
    <x v="113"/>
    <n v="145"/>
    <n v="1200"/>
    <n v="0"/>
    <x v="0"/>
    <n v="174000"/>
    <n v="174000"/>
    <s v="Medium"/>
  </r>
  <r>
    <x v="114"/>
    <s v="PKG-005"/>
    <x v="4"/>
    <x v="0"/>
    <x v="4"/>
    <x v="4"/>
    <x v="0"/>
    <x v="114"/>
    <n v="411"/>
    <n v="200"/>
    <n v="7.0000000000000007E-2"/>
    <x v="1"/>
    <n v="82200"/>
    <n v="76446"/>
    <s v="Low"/>
  </r>
  <r>
    <x v="115"/>
    <s v="PKG-006"/>
    <x v="5"/>
    <x v="2"/>
    <x v="0"/>
    <x v="0"/>
    <x v="1"/>
    <x v="115"/>
    <n v="500"/>
    <n v="895"/>
    <n v="0"/>
    <x v="0"/>
    <n v="447500"/>
    <n v="447500"/>
    <s v="High"/>
  </r>
  <r>
    <x v="116"/>
    <s v="PKG-007"/>
    <x v="6"/>
    <x v="0"/>
    <x v="1"/>
    <x v="1"/>
    <x v="2"/>
    <x v="116"/>
    <n v="411"/>
    <n v="650"/>
    <n v="0"/>
    <x v="1"/>
    <n v="267150"/>
    <n v="267150"/>
    <s v="Medium"/>
  </r>
  <r>
    <x v="117"/>
    <s v="PKG-008"/>
    <x v="7"/>
    <x v="3"/>
    <x v="2"/>
    <x v="2"/>
    <x v="3"/>
    <x v="117"/>
    <n v="377"/>
    <n v="2800"/>
    <n v="0.04"/>
    <x v="0"/>
    <n v="1055600"/>
    <n v="1013376"/>
    <s v="High"/>
  </r>
  <r>
    <x v="118"/>
    <s v="PKG-009"/>
    <x v="8"/>
    <x v="1"/>
    <x v="3"/>
    <x v="3"/>
    <x v="4"/>
    <x v="118"/>
    <n v="121"/>
    <n v="280"/>
    <n v="0"/>
    <x v="0"/>
    <n v="33880"/>
    <n v="33880"/>
    <s v="Low"/>
  </r>
  <r>
    <x v="119"/>
    <s v="PKG-010"/>
    <x v="9"/>
    <x v="2"/>
    <x v="4"/>
    <x v="4"/>
    <x v="5"/>
    <x v="119"/>
    <n v="306"/>
    <n v="750"/>
    <n v="0"/>
    <x v="1"/>
    <n v="229500"/>
    <n v="229500"/>
    <s v="Medium"/>
  </r>
  <r>
    <x v="120"/>
    <s v="PKG-003"/>
    <x v="2"/>
    <x v="1"/>
    <x v="2"/>
    <x v="0"/>
    <x v="5"/>
    <x v="120"/>
    <n v="77"/>
    <n v="420"/>
    <n v="0.05"/>
    <x v="1"/>
    <n v="32340"/>
    <n v="30723"/>
    <s v="Low"/>
  </r>
  <r>
    <x v="121"/>
    <s v="PKG-008"/>
    <x v="7"/>
    <x v="3"/>
    <x v="4"/>
    <x v="3"/>
    <x v="3"/>
    <x v="121"/>
    <n v="74"/>
    <n v="2800"/>
    <n v="0.08"/>
    <x v="1"/>
    <n v="207200"/>
    <n v="190624"/>
    <s v="Medium"/>
  </r>
  <r>
    <x v="122"/>
    <s v="PKG-009"/>
    <x v="8"/>
    <x v="1"/>
    <x v="0"/>
    <x v="2"/>
    <x v="0"/>
    <x v="122"/>
    <n v="99"/>
    <n v="280"/>
    <n v="0.11"/>
    <x v="0"/>
    <n v="27720"/>
    <n v="24670.799999999999"/>
    <s v="Low"/>
  </r>
  <r>
    <x v="123"/>
    <s v="PKG-008"/>
    <x v="7"/>
    <x v="3"/>
    <x v="1"/>
    <x v="0"/>
    <x v="3"/>
    <x v="123"/>
    <n v="39"/>
    <n v="2800"/>
    <n v="0"/>
    <x v="0"/>
    <n v="109200"/>
    <n v="109200"/>
    <s v="Medium"/>
  </r>
  <r>
    <x v="124"/>
    <s v="PKG-007"/>
    <x v="6"/>
    <x v="0"/>
    <x v="1"/>
    <x v="1"/>
    <x v="1"/>
    <x v="124"/>
    <n v="135"/>
    <n v="650"/>
    <n v="0"/>
    <x v="1"/>
    <n v="87750"/>
    <n v="87750"/>
    <s v="Low"/>
  </r>
  <r>
    <x v="125"/>
    <s v="PKG-001"/>
    <x v="0"/>
    <x v="0"/>
    <x v="0"/>
    <x v="3"/>
    <x v="2"/>
    <x v="125"/>
    <n v="103"/>
    <n v="990"/>
    <n v="7.0000000000000007E-2"/>
    <x v="0"/>
    <n v="101970"/>
    <n v="94832.1"/>
    <s v="Low"/>
  </r>
  <r>
    <x v="126"/>
    <s v="PKG-008"/>
    <x v="7"/>
    <x v="3"/>
    <x v="1"/>
    <x v="1"/>
    <x v="1"/>
    <x v="126"/>
    <n v="49"/>
    <n v="2800"/>
    <n v="0.11"/>
    <x v="1"/>
    <n v="137200"/>
    <n v="122108"/>
    <s v="Medium"/>
  </r>
  <r>
    <x v="127"/>
    <s v="PKG-005"/>
    <x v="4"/>
    <x v="0"/>
    <x v="1"/>
    <x v="3"/>
    <x v="3"/>
    <x v="120"/>
    <n v="189"/>
    <n v="200"/>
    <n v="0.12"/>
    <x v="0"/>
    <n v="37800"/>
    <n v="33264"/>
    <s v="Low"/>
  </r>
  <r>
    <x v="128"/>
    <s v="PKG-002"/>
    <x v="1"/>
    <x v="1"/>
    <x v="2"/>
    <x v="0"/>
    <x v="5"/>
    <x v="127"/>
    <n v="96"/>
    <n v="350"/>
    <n v="0.05"/>
    <x v="1"/>
    <n v="33600"/>
    <n v="31920"/>
    <s v="Low"/>
  </r>
  <r>
    <x v="129"/>
    <s v="PKG-002"/>
    <x v="1"/>
    <x v="1"/>
    <x v="4"/>
    <x v="3"/>
    <x v="3"/>
    <x v="128"/>
    <n v="157"/>
    <n v="350"/>
    <n v="0.1"/>
    <x v="1"/>
    <n v="54950"/>
    <n v="49455"/>
    <s v="Low"/>
  </r>
  <r>
    <x v="130"/>
    <s v="PKG-009"/>
    <x v="8"/>
    <x v="1"/>
    <x v="2"/>
    <x v="0"/>
    <x v="2"/>
    <x v="129"/>
    <n v="97"/>
    <n v="280"/>
    <n v="0.08"/>
    <x v="0"/>
    <n v="27160"/>
    <n v="24987.200000000001"/>
    <s v="Low"/>
  </r>
  <r>
    <x v="131"/>
    <s v="PKG-010"/>
    <x v="9"/>
    <x v="2"/>
    <x v="1"/>
    <x v="2"/>
    <x v="0"/>
    <x v="130"/>
    <n v="80"/>
    <n v="750"/>
    <n v="0.15"/>
    <x v="0"/>
    <n v="60000"/>
    <n v="51000"/>
    <s v="Low"/>
  </r>
  <r>
    <x v="132"/>
    <s v="PKG-007"/>
    <x v="6"/>
    <x v="0"/>
    <x v="2"/>
    <x v="2"/>
    <x v="4"/>
    <x v="131"/>
    <n v="193"/>
    <n v="650"/>
    <n v="0"/>
    <x v="1"/>
    <n v="125450"/>
    <n v="125450"/>
    <s v="Medium"/>
  </r>
  <r>
    <x v="133"/>
    <s v="PKG-004"/>
    <x v="3"/>
    <x v="0"/>
    <x v="3"/>
    <x v="2"/>
    <x v="3"/>
    <x v="132"/>
    <n v="94"/>
    <n v="1200"/>
    <n v="0.11"/>
    <x v="0"/>
    <n v="112800"/>
    <n v="100392"/>
    <s v="Medium"/>
  </r>
  <r>
    <x v="134"/>
    <s v="PKG-008"/>
    <x v="7"/>
    <x v="3"/>
    <x v="1"/>
    <x v="1"/>
    <x v="1"/>
    <x v="133"/>
    <n v="79"/>
    <n v="2800"/>
    <n v="0.03"/>
    <x v="0"/>
    <n v="221200"/>
    <n v="214564"/>
    <s v="Medium"/>
  </r>
  <r>
    <x v="135"/>
    <s v="PKG-006"/>
    <x v="5"/>
    <x v="2"/>
    <x v="3"/>
    <x v="4"/>
    <x v="5"/>
    <x v="132"/>
    <n v="145"/>
    <n v="895"/>
    <n v="0"/>
    <x v="0"/>
    <n v="129775"/>
    <n v="129775"/>
    <s v="Medium"/>
  </r>
  <r>
    <x v="136"/>
    <s v="PKG-009"/>
    <x v="8"/>
    <x v="1"/>
    <x v="0"/>
    <x v="4"/>
    <x v="4"/>
    <x v="134"/>
    <n v="105"/>
    <n v="280"/>
    <n v="0"/>
    <x v="0"/>
    <n v="29400"/>
    <n v="29400"/>
    <s v="Low"/>
  </r>
  <r>
    <x v="137"/>
    <s v="PKG-007"/>
    <x v="6"/>
    <x v="0"/>
    <x v="0"/>
    <x v="3"/>
    <x v="1"/>
    <x v="133"/>
    <n v="102"/>
    <n v="650"/>
    <n v="0.03"/>
    <x v="0"/>
    <n v="66300"/>
    <n v="64311"/>
    <s v="Low"/>
  </r>
  <r>
    <x v="138"/>
    <s v="PKG-004"/>
    <x v="3"/>
    <x v="0"/>
    <x v="3"/>
    <x v="4"/>
    <x v="3"/>
    <x v="135"/>
    <n v="72"/>
    <n v="1200"/>
    <n v="0.15"/>
    <x v="0"/>
    <n v="86400"/>
    <n v="73440"/>
    <s v="Low"/>
  </r>
  <r>
    <x v="139"/>
    <s v="PKG-008"/>
    <x v="7"/>
    <x v="3"/>
    <x v="2"/>
    <x v="0"/>
    <x v="3"/>
    <x v="131"/>
    <n v="55"/>
    <n v="2800"/>
    <n v="0.08"/>
    <x v="0"/>
    <n v="154000"/>
    <n v="141680"/>
    <s v="Medium"/>
  </r>
  <r>
    <x v="140"/>
    <s v="PKG-006"/>
    <x v="5"/>
    <x v="2"/>
    <x v="0"/>
    <x v="0"/>
    <x v="1"/>
    <x v="136"/>
    <n v="131"/>
    <n v="895"/>
    <n v="0"/>
    <x v="1"/>
    <n v="117245"/>
    <n v="117245"/>
    <s v="Medium"/>
  </r>
  <r>
    <x v="141"/>
    <s v="PKG-009"/>
    <x v="8"/>
    <x v="1"/>
    <x v="0"/>
    <x v="2"/>
    <x v="5"/>
    <x v="137"/>
    <n v="219"/>
    <n v="280"/>
    <n v="7.0000000000000007E-2"/>
    <x v="1"/>
    <n v="61320"/>
    <n v="57027.6"/>
    <s v="Low"/>
  </r>
  <r>
    <x v="142"/>
    <s v="PKG-009"/>
    <x v="8"/>
    <x v="1"/>
    <x v="0"/>
    <x v="3"/>
    <x v="4"/>
    <x v="133"/>
    <n v="228"/>
    <n v="280"/>
    <n v="0.03"/>
    <x v="0"/>
    <n v="63840"/>
    <n v="61924.800000000003"/>
    <s v="Low"/>
  </r>
  <r>
    <x v="143"/>
    <s v="PKG-008"/>
    <x v="7"/>
    <x v="3"/>
    <x v="0"/>
    <x v="0"/>
    <x v="2"/>
    <x v="138"/>
    <n v="64"/>
    <n v="2800"/>
    <n v="0.13"/>
    <x v="0"/>
    <n v="179200"/>
    <n v="155904"/>
    <s v="Medium"/>
  </r>
  <r>
    <x v="144"/>
    <s v="PKG-007"/>
    <x v="6"/>
    <x v="0"/>
    <x v="4"/>
    <x v="1"/>
    <x v="2"/>
    <x v="125"/>
    <n v="68"/>
    <n v="650"/>
    <n v="0"/>
    <x v="0"/>
    <n v="44200"/>
    <n v="44200"/>
    <s v="Low"/>
  </r>
  <r>
    <x v="145"/>
    <s v="PKG-010"/>
    <x v="9"/>
    <x v="2"/>
    <x v="2"/>
    <x v="4"/>
    <x v="4"/>
    <x v="137"/>
    <n v="148"/>
    <n v="750"/>
    <n v="0.13"/>
    <x v="1"/>
    <n v="111000"/>
    <n v="96570"/>
    <s v="Low"/>
  </r>
  <r>
    <x v="146"/>
    <s v="PKG-002"/>
    <x v="1"/>
    <x v="1"/>
    <x v="3"/>
    <x v="3"/>
    <x v="4"/>
    <x v="132"/>
    <n v="35"/>
    <n v="350"/>
    <n v="7.0000000000000007E-2"/>
    <x v="0"/>
    <n v="12250"/>
    <n v="11392.5"/>
    <s v="Low"/>
  </r>
  <r>
    <x v="147"/>
    <s v="PKG-010"/>
    <x v="9"/>
    <x v="2"/>
    <x v="0"/>
    <x v="4"/>
    <x v="0"/>
    <x v="138"/>
    <n v="97"/>
    <n v="750"/>
    <n v="0"/>
    <x v="1"/>
    <n v="72750"/>
    <n v="72750"/>
    <s v="Low"/>
  </r>
  <r>
    <x v="148"/>
    <s v="PKG-002"/>
    <x v="1"/>
    <x v="1"/>
    <x v="3"/>
    <x v="3"/>
    <x v="2"/>
    <x v="139"/>
    <n v="37"/>
    <n v="350"/>
    <n v="0"/>
    <x v="0"/>
    <n v="12950"/>
    <n v="12950"/>
    <s v="Low"/>
  </r>
  <r>
    <x v="149"/>
    <s v="PKG-002"/>
    <x v="1"/>
    <x v="1"/>
    <x v="4"/>
    <x v="1"/>
    <x v="3"/>
    <x v="127"/>
    <n v="131"/>
    <n v="350"/>
    <n v="0"/>
    <x v="1"/>
    <n v="45850"/>
    <n v="45850"/>
    <s v="Low"/>
  </r>
  <r>
    <x v="150"/>
    <s v="PKG-002"/>
    <x v="1"/>
    <x v="1"/>
    <x v="0"/>
    <x v="0"/>
    <x v="0"/>
    <x v="122"/>
    <n v="174"/>
    <n v="350"/>
    <n v="0.12"/>
    <x v="0"/>
    <n v="60900"/>
    <n v="53592"/>
    <s v="Low"/>
  </r>
  <r>
    <x v="151"/>
    <s v="PKG-002"/>
    <x v="1"/>
    <x v="1"/>
    <x v="3"/>
    <x v="2"/>
    <x v="5"/>
    <x v="123"/>
    <n v="104"/>
    <n v="350"/>
    <n v="0.03"/>
    <x v="0"/>
    <n v="36400"/>
    <n v="35308"/>
    <s v="Low"/>
  </r>
  <r>
    <x v="152"/>
    <s v="PKG-010"/>
    <x v="9"/>
    <x v="2"/>
    <x v="3"/>
    <x v="0"/>
    <x v="1"/>
    <x v="121"/>
    <n v="56"/>
    <n v="750"/>
    <n v="7.0000000000000007E-2"/>
    <x v="0"/>
    <n v="42000"/>
    <n v="39060"/>
    <s v="Low"/>
  </r>
  <r>
    <x v="153"/>
    <s v="PKG-008"/>
    <x v="7"/>
    <x v="3"/>
    <x v="0"/>
    <x v="1"/>
    <x v="2"/>
    <x v="131"/>
    <n v="70"/>
    <n v="2800"/>
    <n v="0.12"/>
    <x v="0"/>
    <n v="196000"/>
    <n v="172480"/>
    <s v="Medium"/>
  </r>
  <r>
    <x v="154"/>
    <s v="PKG-002"/>
    <x v="1"/>
    <x v="1"/>
    <x v="0"/>
    <x v="4"/>
    <x v="4"/>
    <x v="140"/>
    <n v="113"/>
    <n v="350"/>
    <n v="0.13"/>
    <x v="0"/>
    <n v="39550"/>
    <n v="34408.5"/>
    <s v="Low"/>
  </r>
  <r>
    <x v="155"/>
    <s v="PKG-005"/>
    <x v="4"/>
    <x v="0"/>
    <x v="4"/>
    <x v="2"/>
    <x v="5"/>
    <x v="141"/>
    <n v="162"/>
    <n v="200"/>
    <n v="0"/>
    <x v="0"/>
    <n v="32400"/>
    <n v="32400"/>
    <s v="Low"/>
  </r>
  <r>
    <x v="156"/>
    <s v="PKG-004"/>
    <x v="3"/>
    <x v="0"/>
    <x v="0"/>
    <x v="4"/>
    <x v="0"/>
    <x v="136"/>
    <n v="54"/>
    <n v="1200"/>
    <n v="7.0000000000000007E-2"/>
    <x v="1"/>
    <n v="64800"/>
    <n v="60264"/>
    <s v="Low"/>
  </r>
  <r>
    <x v="157"/>
    <s v="PKG-009"/>
    <x v="8"/>
    <x v="1"/>
    <x v="4"/>
    <x v="1"/>
    <x v="5"/>
    <x v="127"/>
    <n v="144"/>
    <n v="280"/>
    <n v="0"/>
    <x v="0"/>
    <n v="40320"/>
    <n v="40320"/>
    <s v="Low"/>
  </r>
  <r>
    <x v="158"/>
    <s v="PKG-005"/>
    <x v="4"/>
    <x v="0"/>
    <x v="0"/>
    <x v="4"/>
    <x v="1"/>
    <x v="142"/>
    <n v="210"/>
    <n v="200"/>
    <n v="0"/>
    <x v="1"/>
    <n v="42000"/>
    <n v="42000"/>
    <s v="Low"/>
  </r>
  <r>
    <x v="159"/>
    <s v="PKG-001"/>
    <x v="0"/>
    <x v="0"/>
    <x v="3"/>
    <x v="4"/>
    <x v="5"/>
    <x v="131"/>
    <n v="140"/>
    <n v="990"/>
    <n v="0"/>
    <x v="1"/>
    <n v="138600"/>
    <n v="138600"/>
    <s v="Medium"/>
  </r>
  <r>
    <x v="160"/>
    <s v="PKG-004"/>
    <x v="3"/>
    <x v="0"/>
    <x v="4"/>
    <x v="1"/>
    <x v="2"/>
    <x v="126"/>
    <n v="141"/>
    <n v="1200"/>
    <n v="0.11"/>
    <x v="0"/>
    <n v="169200"/>
    <n v="150588"/>
    <s v="Medium"/>
  </r>
  <r>
    <x v="161"/>
    <s v="PKG-009"/>
    <x v="8"/>
    <x v="1"/>
    <x v="0"/>
    <x v="4"/>
    <x v="0"/>
    <x v="140"/>
    <n v="131"/>
    <n v="280"/>
    <n v="0.14000000000000001"/>
    <x v="0"/>
    <n v="36680"/>
    <n v="31544.799999999999"/>
    <s v="Low"/>
  </r>
  <r>
    <x v="162"/>
    <s v="PKG-010"/>
    <x v="9"/>
    <x v="2"/>
    <x v="1"/>
    <x v="0"/>
    <x v="5"/>
    <x v="138"/>
    <n v="99"/>
    <n v="750"/>
    <n v="0.05"/>
    <x v="0"/>
    <n v="74250"/>
    <n v="70537.5"/>
    <s v="Low"/>
  </r>
  <r>
    <x v="163"/>
    <s v="PKG-001"/>
    <x v="0"/>
    <x v="0"/>
    <x v="3"/>
    <x v="2"/>
    <x v="0"/>
    <x v="121"/>
    <n v="56"/>
    <n v="990"/>
    <n v="0.05"/>
    <x v="0"/>
    <n v="55440"/>
    <n v="52668"/>
    <s v="Low"/>
  </r>
  <r>
    <x v="164"/>
    <s v="PKG-005"/>
    <x v="4"/>
    <x v="0"/>
    <x v="2"/>
    <x v="1"/>
    <x v="0"/>
    <x v="131"/>
    <n v="114"/>
    <n v="200"/>
    <n v="0"/>
    <x v="1"/>
    <n v="22800"/>
    <n v="22800"/>
    <s v="Low"/>
  </r>
  <r>
    <x v="165"/>
    <s v="PKG-003"/>
    <x v="2"/>
    <x v="1"/>
    <x v="3"/>
    <x v="2"/>
    <x v="5"/>
    <x v="138"/>
    <n v="64"/>
    <n v="420"/>
    <n v="0.15"/>
    <x v="0"/>
    <n v="26880"/>
    <n v="22848"/>
    <s v="Low"/>
  </r>
  <r>
    <x v="166"/>
    <s v="PKG-004"/>
    <x v="3"/>
    <x v="0"/>
    <x v="3"/>
    <x v="3"/>
    <x v="4"/>
    <x v="141"/>
    <n v="87"/>
    <n v="1200"/>
    <n v="0.05"/>
    <x v="0"/>
    <n v="104400"/>
    <n v="99180"/>
    <s v="Low"/>
  </r>
  <r>
    <x v="167"/>
    <s v="PKG-007"/>
    <x v="6"/>
    <x v="0"/>
    <x v="0"/>
    <x v="2"/>
    <x v="3"/>
    <x v="133"/>
    <n v="59"/>
    <n v="650"/>
    <n v="0.11"/>
    <x v="0"/>
    <n v="38350"/>
    <n v="34131.5"/>
    <s v="Low"/>
  </r>
  <r>
    <x v="168"/>
    <s v="PKG-005"/>
    <x v="4"/>
    <x v="0"/>
    <x v="0"/>
    <x v="4"/>
    <x v="2"/>
    <x v="141"/>
    <n v="175"/>
    <n v="200"/>
    <n v="0.03"/>
    <x v="0"/>
    <n v="35000"/>
    <n v="33950"/>
    <s v="Low"/>
  </r>
  <r>
    <x v="169"/>
    <s v="PKG-003"/>
    <x v="2"/>
    <x v="1"/>
    <x v="2"/>
    <x v="2"/>
    <x v="5"/>
    <x v="136"/>
    <n v="117"/>
    <n v="420"/>
    <n v="0.03"/>
    <x v="1"/>
    <n v="49140"/>
    <n v="47665.8"/>
    <s v="Low"/>
  </r>
  <r>
    <x v="170"/>
    <s v="PKG-006"/>
    <x v="5"/>
    <x v="2"/>
    <x v="4"/>
    <x v="0"/>
    <x v="4"/>
    <x v="141"/>
    <n v="39"/>
    <n v="895"/>
    <n v="0.15"/>
    <x v="0"/>
    <n v="34905"/>
    <n v="29669.25"/>
    <s v="Low"/>
  </r>
  <r>
    <x v="171"/>
    <s v="PKG-007"/>
    <x v="6"/>
    <x v="0"/>
    <x v="1"/>
    <x v="2"/>
    <x v="3"/>
    <x v="120"/>
    <n v="179"/>
    <n v="650"/>
    <n v="0.14000000000000001"/>
    <x v="1"/>
    <n v="116350"/>
    <n v="100061"/>
    <s v="Medium"/>
  </r>
  <r>
    <x v="172"/>
    <s v="PKG-007"/>
    <x v="6"/>
    <x v="0"/>
    <x v="3"/>
    <x v="2"/>
    <x v="3"/>
    <x v="123"/>
    <n v="131"/>
    <n v="650"/>
    <n v="0.12"/>
    <x v="1"/>
    <n v="85150"/>
    <n v="74932"/>
    <s v="Low"/>
  </r>
  <r>
    <x v="173"/>
    <s v="PKG-010"/>
    <x v="9"/>
    <x v="2"/>
    <x v="2"/>
    <x v="0"/>
    <x v="5"/>
    <x v="125"/>
    <n v="75"/>
    <n v="750"/>
    <n v="0.08"/>
    <x v="0"/>
    <n v="56250"/>
    <n v="51750"/>
    <s v="Low"/>
  </r>
  <r>
    <x v="174"/>
    <s v="PKG-005"/>
    <x v="4"/>
    <x v="0"/>
    <x v="3"/>
    <x v="3"/>
    <x v="4"/>
    <x v="143"/>
    <n v="187"/>
    <n v="200"/>
    <n v="0"/>
    <x v="0"/>
    <n v="37400"/>
    <n v="37400"/>
    <s v="Low"/>
  </r>
  <r>
    <x v="175"/>
    <s v="PKG-006"/>
    <x v="5"/>
    <x v="2"/>
    <x v="1"/>
    <x v="0"/>
    <x v="4"/>
    <x v="144"/>
    <n v="39"/>
    <n v="895"/>
    <n v="0"/>
    <x v="1"/>
    <n v="34905"/>
    <n v="34905"/>
    <s v="Low"/>
  </r>
  <r>
    <x v="176"/>
    <s v="PKG-004"/>
    <x v="3"/>
    <x v="0"/>
    <x v="2"/>
    <x v="4"/>
    <x v="5"/>
    <x v="142"/>
    <n v="53"/>
    <n v="1200"/>
    <n v="0.12"/>
    <x v="0"/>
    <n v="63600"/>
    <n v="55968"/>
    <s v="Low"/>
  </r>
  <r>
    <x v="177"/>
    <s v="PKG-009"/>
    <x v="8"/>
    <x v="1"/>
    <x v="2"/>
    <x v="1"/>
    <x v="3"/>
    <x v="124"/>
    <n v="128"/>
    <n v="280"/>
    <n v="0.05"/>
    <x v="1"/>
    <n v="35840"/>
    <n v="34048"/>
    <s v="Low"/>
  </r>
  <r>
    <x v="178"/>
    <s v="PKG-003"/>
    <x v="2"/>
    <x v="1"/>
    <x v="1"/>
    <x v="2"/>
    <x v="2"/>
    <x v="123"/>
    <n v="174"/>
    <n v="420"/>
    <n v="7.0000000000000007E-2"/>
    <x v="0"/>
    <n v="73080"/>
    <n v="67964.399999999994"/>
    <s v="Low"/>
  </r>
  <r>
    <x v="179"/>
    <s v="PKG-010"/>
    <x v="9"/>
    <x v="2"/>
    <x v="2"/>
    <x v="1"/>
    <x v="1"/>
    <x v="137"/>
    <n v="128"/>
    <n v="750"/>
    <n v="0.11"/>
    <x v="1"/>
    <n v="96000"/>
    <n v="85440"/>
    <s v="Low"/>
  </r>
  <r>
    <x v="180"/>
    <s v="PKG-006"/>
    <x v="5"/>
    <x v="2"/>
    <x v="1"/>
    <x v="3"/>
    <x v="2"/>
    <x v="142"/>
    <n v="117"/>
    <n v="895"/>
    <n v="7.0000000000000007E-2"/>
    <x v="1"/>
    <n v="104715"/>
    <n v="97384.95"/>
    <s v="Low"/>
  </r>
  <r>
    <x v="181"/>
    <s v="PKG-007"/>
    <x v="6"/>
    <x v="0"/>
    <x v="2"/>
    <x v="1"/>
    <x v="5"/>
    <x v="145"/>
    <n v="159"/>
    <n v="650"/>
    <n v="0"/>
    <x v="0"/>
    <n v="103350"/>
    <n v="103350"/>
    <s v="Medium"/>
  </r>
  <r>
    <x v="182"/>
    <s v="PKG-006"/>
    <x v="5"/>
    <x v="2"/>
    <x v="3"/>
    <x v="0"/>
    <x v="1"/>
    <x v="146"/>
    <n v="94"/>
    <n v="895"/>
    <n v="0.1"/>
    <x v="0"/>
    <n v="84130"/>
    <n v="75717"/>
    <s v="Low"/>
  </r>
  <r>
    <x v="183"/>
    <s v="PKG-009"/>
    <x v="8"/>
    <x v="1"/>
    <x v="1"/>
    <x v="0"/>
    <x v="4"/>
    <x v="132"/>
    <n v="136"/>
    <n v="280"/>
    <n v="0.03"/>
    <x v="0"/>
    <n v="38080"/>
    <n v="36937.599999999999"/>
    <s v="Low"/>
  </r>
  <r>
    <x v="184"/>
    <s v="PKG-005"/>
    <x v="4"/>
    <x v="0"/>
    <x v="1"/>
    <x v="2"/>
    <x v="0"/>
    <x v="140"/>
    <n v="84"/>
    <n v="200"/>
    <n v="0.12"/>
    <x v="0"/>
    <n v="16800"/>
    <n v="14784"/>
    <s v="Low"/>
  </r>
  <r>
    <x v="185"/>
    <s v="PKG-004"/>
    <x v="3"/>
    <x v="0"/>
    <x v="2"/>
    <x v="1"/>
    <x v="0"/>
    <x v="128"/>
    <n v="120"/>
    <n v="1200"/>
    <n v="0.11"/>
    <x v="1"/>
    <n v="144000"/>
    <n v="128160"/>
    <s v="Medium"/>
  </r>
  <r>
    <x v="186"/>
    <s v="PKG-001"/>
    <x v="0"/>
    <x v="0"/>
    <x v="3"/>
    <x v="4"/>
    <x v="1"/>
    <x v="132"/>
    <n v="30"/>
    <n v="990"/>
    <n v="0"/>
    <x v="1"/>
    <n v="29700"/>
    <n v="29700"/>
    <s v="Low"/>
  </r>
  <r>
    <x v="187"/>
    <s v="PKG-010"/>
    <x v="9"/>
    <x v="2"/>
    <x v="2"/>
    <x v="3"/>
    <x v="3"/>
    <x v="123"/>
    <n v="42"/>
    <n v="750"/>
    <n v="0.1"/>
    <x v="0"/>
    <n v="31500"/>
    <n v="28350"/>
    <s v="Low"/>
  </r>
  <r>
    <x v="188"/>
    <s v="PKG-003"/>
    <x v="2"/>
    <x v="1"/>
    <x v="3"/>
    <x v="0"/>
    <x v="0"/>
    <x v="126"/>
    <n v="157"/>
    <n v="420"/>
    <n v="7.0000000000000007E-2"/>
    <x v="0"/>
    <n v="65940"/>
    <n v="61324.2"/>
    <s v="Low"/>
  </r>
  <r>
    <x v="189"/>
    <s v="PKG-002"/>
    <x v="1"/>
    <x v="1"/>
    <x v="1"/>
    <x v="1"/>
    <x v="0"/>
    <x v="126"/>
    <n v="180"/>
    <n v="350"/>
    <n v="0"/>
    <x v="0"/>
    <n v="63000"/>
    <n v="63000"/>
    <s v="Low"/>
  </r>
  <r>
    <x v="190"/>
    <s v="PKG-005"/>
    <x v="4"/>
    <x v="0"/>
    <x v="1"/>
    <x v="1"/>
    <x v="0"/>
    <x v="121"/>
    <n v="119"/>
    <n v="200"/>
    <n v="0"/>
    <x v="0"/>
    <n v="23800"/>
    <n v="23800"/>
    <s v="Low"/>
  </r>
  <r>
    <x v="191"/>
    <s v="PKG-003"/>
    <x v="2"/>
    <x v="1"/>
    <x v="2"/>
    <x v="3"/>
    <x v="2"/>
    <x v="146"/>
    <n v="199"/>
    <n v="420"/>
    <n v="0"/>
    <x v="0"/>
    <n v="83580"/>
    <n v="83580"/>
    <s v="Low"/>
  </r>
  <r>
    <x v="192"/>
    <s v="PKG-007"/>
    <x v="6"/>
    <x v="0"/>
    <x v="1"/>
    <x v="3"/>
    <x v="1"/>
    <x v="141"/>
    <n v="135"/>
    <n v="650"/>
    <n v="0"/>
    <x v="0"/>
    <n v="87750"/>
    <n v="87750"/>
    <s v="Low"/>
  </r>
  <r>
    <x v="193"/>
    <s v="PKG-002"/>
    <x v="1"/>
    <x v="1"/>
    <x v="0"/>
    <x v="4"/>
    <x v="4"/>
    <x v="132"/>
    <n v="104"/>
    <n v="350"/>
    <n v="0.03"/>
    <x v="0"/>
    <n v="36400"/>
    <n v="35308"/>
    <s v="Low"/>
  </r>
  <r>
    <x v="194"/>
    <s v="PKG-004"/>
    <x v="3"/>
    <x v="0"/>
    <x v="1"/>
    <x v="2"/>
    <x v="3"/>
    <x v="130"/>
    <n v="46"/>
    <n v="1200"/>
    <n v="0.13"/>
    <x v="0"/>
    <n v="55200"/>
    <n v="48024"/>
    <s v="Low"/>
  </r>
  <r>
    <x v="195"/>
    <s v="PKG-002"/>
    <x v="1"/>
    <x v="1"/>
    <x v="0"/>
    <x v="3"/>
    <x v="0"/>
    <x v="147"/>
    <n v="151"/>
    <n v="350"/>
    <n v="0.1"/>
    <x v="1"/>
    <n v="52850"/>
    <n v="47565"/>
    <s v="Low"/>
  </r>
  <r>
    <x v="196"/>
    <s v="PKG-004"/>
    <x v="3"/>
    <x v="0"/>
    <x v="3"/>
    <x v="0"/>
    <x v="5"/>
    <x v="142"/>
    <n v="117"/>
    <n v="1200"/>
    <n v="0.14000000000000001"/>
    <x v="0"/>
    <n v="140400"/>
    <n v="120744"/>
    <s v="Medium"/>
  </r>
  <r>
    <x v="197"/>
    <s v="PKG-002"/>
    <x v="1"/>
    <x v="1"/>
    <x v="3"/>
    <x v="1"/>
    <x v="3"/>
    <x v="141"/>
    <n v="88"/>
    <n v="350"/>
    <n v="0.05"/>
    <x v="0"/>
    <n v="30800"/>
    <n v="29260"/>
    <s v="Low"/>
  </r>
  <r>
    <x v="198"/>
    <s v="PKG-004"/>
    <x v="3"/>
    <x v="0"/>
    <x v="2"/>
    <x v="1"/>
    <x v="1"/>
    <x v="148"/>
    <n v="129"/>
    <n v="1200"/>
    <n v="7.0000000000000007E-2"/>
    <x v="1"/>
    <n v="154800"/>
    <n v="143964"/>
    <s v="Medium"/>
  </r>
  <r>
    <x v="199"/>
    <s v="PKG-010"/>
    <x v="9"/>
    <x v="2"/>
    <x v="1"/>
    <x v="4"/>
    <x v="1"/>
    <x v="144"/>
    <n v="35"/>
    <n v="750"/>
    <n v="0"/>
    <x v="0"/>
    <n v="26250"/>
    <n v="26250"/>
    <s v="Low"/>
  </r>
  <r>
    <x v="200"/>
    <s v="PKG-010"/>
    <x v="9"/>
    <x v="2"/>
    <x v="1"/>
    <x v="2"/>
    <x v="3"/>
    <x v="134"/>
    <n v="21"/>
    <n v="750"/>
    <n v="7.0000000000000007E-2"/>
    <x v="0"/>
    <n v="15750"/>
    <n v="14647.5"/>
    <s v="Low"/>
  </r>
  <r>
    <x v="201"/>
    <s v="PKG-005"/>
    <x v="4"/>
    <x v="0"/>
    <x v="1"/>
    <x v="1"/>
    <x v="2"/>
    <x v="136"/>
    <n v="41"/>
    <n v="200"/>
    <n v="7.0000000000000007E-2"/>
    <x v="0"/>
    <n v="8200"/>
    <n v="7626"/>
    <s v="Low"/>
  </r>
  <r>
    <x v="202"/>
    <s v="PKG-008"/>
    <x v="7"/>
    <x v="3"/>
    <x v="0"/>
    <x v="3"/>
    <x v="4"/>
    <x v="136"/>
    <n v="56"/>
    <n v="2800"/>
    <n v="0.13"/>
    <x v="0"/>
    <n v="156800"/>
    <n v="136416"/>
    <s v="Medium"/>
  </r>
  <r>
    <x v="203"/>
    <s v="PKG-004"/>
    <x v="3"/>
    <x v="0"/>
    <x v="4"/>
    <x v="3"/>
    <x v="5"/>
    <x v="127"/>
    <n v="27"/>
    <n v="1200"/>
    <n v="0.11"/>
    <x v="1"/>
    <n v="32400"/>
    <n v="28836"/>
    <s v="Low"/>
  </r>
  <r>
    <x v="204"/>
    <s v="PKG-006"/>
    <x v="5"/>
    <x v="2"/>
    <x v="0"/>
    <x v="3"/>
    <x v="4"/>
    <x v="126"/>
    <n v="71"/>
    <n v="895"/>
    <n v="0.12"/>
    <x v="1"/>
    <n v="63545"/>
    <n v="55919.6"/>
    <s v="Low"/>
  </r>
  <r>
    <x v="205"/>
    <s v="PKG-009"/>
    <x v="8"/>
    <x v="1"/>
    <x v="4"/>
    <x v="0"/>
    <x v="5"/>
    <x v="122"/>
    <n v="123"/>
    <n v="280"/>
    <n v="7.0000000000000007E-2"/>
    <x v="1"/>
    <n v="34440"/>
    <n v="32029.200000000001"/>
    <s v="Low"/>
  </r>
  <r>
    <x v="206"/>
    <s v="PKG-010"/>
    <x v="9"/>
    <x v="2"/>
    <x v="4"/>
    <x v="4"/>
    <x v="0"/>
    <x v="134"/>
    <n v="71"/>
    <n v="750"/>
    <n v="0"/>
    <x v="0"/>
    <n v="53250"/>
    <n v="53250"/>
    <s v="Low"/>
  </r>
  <r>
    <x v="207"/>
    <s v="PKG-004"/>
    <x v="3"/>
    <x v="0"/>
    <x v="3"/>
    <x v="3"/>
    <x v="5"/>
    <x v="129"/>
    <n v="127"/>
    <n v="1200"/>
    <n v="0.05"/>
    <x v="1"/>
    <n v="152400"/>
    <n v="144780"/>
    <s v="Medium"/>
  </r>
  <r>
    <x v="208"/>
    <s v="PKG-008"/>
    <x v="7"/>
    <x v="3"/>
    <x v="2"/>
    <x v="4"/>
    <x v="4"/>
    <x v="123"/>
    <n v="34"/>
    <n v="2800"/>
    <n v="0"/>
    <x v="1"/>
    <n v="95200"/>
    <n v="95200"/>
    <s v="Low"/>
  </r>
  <r>
    <x v="209"/>
    <s v="PKG-010"/>
    <x v="9"/>
    <x v="2"/>
    <x v="4"/>
    <x v="1"/>
    <x v="5"/>
    <x v="140"/>
    <n v="86"/>
    <n v="750"/>
    <n v="0.1"/>
    <x v="0"/>
    <n v="64500"/>
    <n v="58050"/>
    <s v="Low"/>
  </r>
  <r>
    <x v="210"/>
    <s v="PKG-010"/>
    <x v="9"/>
    <x v="2"/>
    <x v="1"/>
    <x v="1"/>
    <x v="1"/>
    <x v="129"/>
    <n v="117"/>
    <n v="750"/>
    <n v="0.05"/>
    <x v="1"/>
    <n v="87750"/>
    <n v="83362.5"/>
    <s v="Low"/>
  </r>
  <r>
    <x v="211"/>
    <s v="PKG-001"/>
    <x v="0"/>
    <x v="0"/>
    <x v="2"/>
    <x v="1"/>
    <x v="4"/>
    <x v="148"/>
    <n v="63"/>
    <n v="990"/>
    <n v="0.08"/>
    <x v="1"/>
    <n v="62370"/>
    <n v="57380.4"/>
    <s v="Low"/>
  </r>
  <r>
    <x v="212"/>
    <s v="PKG-001"/>
    <x v="0"/>
    <x v="0"/>
    <x v="2"/>
    <x v="1"/>
    <x v="5"/>
    <x v="126"/>
    <n v="77"/>
    <n v="990"/>
    <n v="0.13"/>
    <x v="0"/>
    <n v="76230"/>
    <n v="66320.100000000006"/>
    <s v="Low"/>
  </r>
  <r>
    <x v="213"/>
    <s v="PKG-005"/>
    <x v="4"/>
    <x v="0"/>
    <x v="3"/>
    <x v="1"/>
    <x v="4"/>
    <x v="149"/>
    <n v="61"/>
    <n v="200"/>
    <n v="0.08"/>
    <x v="0"/>
    <n v="12200"/>
    <n v="11224"/>
    <s v="Low"/>
  </r>
  <r>
    <x v="214"/>
    <s v="PKG-004"/>
    <x v="3"/>
    <x v="0"/>
    <x v="4"/>
    <x v="2"/>
    <x v="1"/>
    <x v="121"/>
    <n v="150"/>
    <n v="1200"/>
    <n v="7.0000000000000007E-2"/>
    <x v="0"/>
    <n v="180000"/>
    <n v="167400"/>
    <s v="Medium"/>
  </r>
  <r>
    <x v="215"/>
    <s v="PKG-009"/>
    <x v="8"/>
    <x v="1"/>
    <x v="4"/>
    <x v="1"/>
    <x v="4"/>
    <x v="130"/>
    <n v="187"/>
    <n v="280"/>
    <n v="0.14000000000000001"/>
    <x v="1"/>
    <n v="52360"/>
    <n v="45029.599999999999"/>
    <s v="Low"/>
  </r>
  <r>
    <x v="216"/>
    <s v="PKG-005"/>
    <x v="4"/>
    <x v="0"/>
    <x v="4"/>
    <x v="3"/>
    <x v="0"/>
    <x v="121"/>
    <n v="174"/>
    <n v="200"/>
    <n v="7.0000000000000007E-2"/>
    <x v="1"/>
    <n v="34800"/>
    <n v="32364"/>
    <s v="Low"/>
  </r>
  <r>
    <x v="217"/>
    <s v="PKG-002"/>
    <x v="1"/>
    <x v="1"/>
    <x v="4"/>
    <x v="4"/>
    <x v="5"/>
    <x v="149"/>
    <n v="175"/>
    <n v="350"/>
    <n v="0.08"/>
    <x v="0"/>
    <n v="61250"/>
    <n v="56350"/>
    <s v="Low"/>
  </r>
  <r>
    <x v="218"/>
    <s v="PKG-001"/>
    <x v="0"/>
    <x v="0"/>
    <x v="0"/>
    <x v="2"/>
    <x v="2"/>
    <x v="128"/>
    <n v="109"/>
    <n v="990"/>
    <n v="0.15"/>
    <x v="0"/>
    <n v="107910"/>
    <n v="91723.5"/>
    <s v="Low"/>
  </r>
  <r>
    <x v="219"/>
    <s v="PKG-010"/>
    <x v="9"/>
    <x v="2"/>
    <x v="0"/>
    <x v="3"/>
    <x v="1"/>
    <x v="146"/>
    <n v="87"/>
    <n v="750"/>
    <n v="0.03"/>
    <x v="0"/>
    <n v="65250"/>
    <n v="63292.5"/>
    <s v="Low"/>
  </r>
  <r>
    <x v="220"/>
    <s v="PKG-007"/>
    <x v="6"/>
    <x v="0"/>
    <x v="0"/>
    <x v="1"/>
    <x v="4"/>
    <x v="133"/>
    <n v="87"/>
    <n v="650"/>
    <n v="0.03"/>
    <x v="1"/>
    <n v="56550"/>
    <n v="54853.5"/>
    <s v="Low"/>
  </r>
  <r>
    <x v="221"/>
    <s v="PKG-005"/>
    <x v="4"/>
    <x v="0"/>
    <x v="1"/>
    <x v="2"/>
    <x v="3"/>
    <x v="127"/>
    <n v="228"/>
    <n v="200"/>
    <n v="0"/>
    <x v="1"/>
    <n v="45600"/>
    <n v="45600"/>
    <s v="Low"/>
  </r>
  <r>
    <x v="222"/>
    <s v="PKG-004"/>
    <x v="3"/>
    <x v="0"/>
    <x v="4"/>
    <x v="1"/>
    <x v="1"/>
    <x v="131"/>
    <n v="134"/>
    <n v="1200"/>
    <n v="0.15"/>
    <x v="0"/>
    <n v="160800"/>
    <n v="136680"/>
    <s v="Medium"/>
  </r>
  <r>
    <x v="223"/>
    <s v="PKG-002"/>
    <x v="1"/>
    <x v="1"/>
    <x v="4"/>
    <x v="2"/>
    <x v="4"/>
    <x v="150"/>
    <n v="161"/>
    <n v="350"/>
    <n v="0"/>
    <x v="0"/>
    <n v="56350"/>
    <n v="56350"/>
    <s v="Low"/>
  </r>
  <r>
    <x v="224"/>
    <s v="PKG-009"/>
    <x v="8"/>
    <x v="1"/>
    <x v="3"/>
    <x v="3"/>
    <x v="1"/>
    <x v="151"/>
    <n v="191"/>
    <n v="280"/>
    <n v="0.11"/>
    <x v="0"/>
    <n v="53480"/>
    <n v="47597.2"/>
    <s v="Low"/>
  </r>
  <r>
    <x v="225"/>
    <s v="PKG-005"/>
    <x v="4"/>
    <x v="0"/>
    <x v="3"/>
    <x v="0"/>
    <x v="4"/>
    <x v="152"/>
    <n v="73"/>
    <n v="200"/>
    <n v="0"/>
    <x v="0"/>
    <n v="14600"/>
    <n v="14600"/>
    <s v="Low"/>
  </r>
  <r>
    <x v="226"/>
    <s v="PKG-007"/>
    <x v="6"/>
    <x v="0"/>
    <x v="3"/>
    <x v="3"/>
    <x v="0"/>
    <x v="153"/>
    <n v="116"/>
    <n v="650"/>
    <n v="0.03"/>
    <x v="0"/>
    <n v="75400"/>
    <n v="73138"/>
    <s v="Low"/>
  </r>
  <r>
    <x v="227"/>
    <s v="PKG-004"/>
    <x v="3"/>
    <x v="0"/>
    <x v="3"/>
    <x v="3"/>
    <x v="0"/>
    <x v="154"/>
    <n v="74"/>
    <n v="1200"/>
    <n v="7.0000000000000007E-2"/>
    <x v="0"/>
    <n v="88800"/>
    <n v="82584"/>
    <s v="Low"/>
  </r>
  <r>
    <x v="228"/>
    <s v="PKG-003"/>
    <x v="2"/>
    <x v="1"/>
    <x v="0"/>
    <x v="0"/>
    <x v="3"/>
    <x v="155"/>
    <n v="90"/>
    <n v="420"/>
    <n v="0.14000000000000001"/>
    <x v="0"/>
    <n v="37800"/>
    <n v="32508"/>
    <s v="Low"/>
  </r>
  <r>
    <x v="229"/>
    <s v="PKG-001"/>
    <x v="0"/>
    <x v="0"/>
    <x v="3"/>
    <x v="1"/>
    <x v="5"/>
    <x v="154"/>
    <n v="51"/>
    <n v="990"/>
    <n v="0.03"/>
    <x v="0"/>
    <n v="50490"/>
    <n v="48975.3"/>
    <s v="Low"/>
  </r>
  <r>
    <x v="230"/>
    <s v="PKG-007"/>
    <x v="6"/>
    <x v="0"/>
    <x v="0"/>
    <x v="4"/>
    <x v="1"/>
    <x v="156"/>
    <n v="152"/>
    <n v="650"/>
    <n v="0.05"/>
    <x v="0"/>
    <n v="98800"/>
    <n v="93860"/>
    <s v="Low"/>
  </r>
  <r>
    <x v="231"/>
    <s v="PKG-003"/>
    <x v="2"/>
    <x v="1"/>
    <x v="1"/>
    <x v="4"/>
    <x v="3"/>
    <x v="157"/>
    <n v="177"/>
    <n v="420"/>
    <n v="0.1"/>
    <x v="1"/>
    <n v="74340"/>
    <n v="66906"/>
    <s v="Low"/>
  </r>
  <r>
    <x v="232"/>
    <s v="PKG-010"/>
    <x v="9"/>
    <x v="2"/>
    <x v="2"/>
    <x v="4"/>
    <x v="0"/>
    <x v="158"/>
    <n v="114"/>
    <n v="750"/>
    <n v="0"/>
    <x v="0"/>
    <n v="85500"/>
    <n v="85500"/>
    <s v="Low"/>
  </r>
  <r>
    <x v="233"/>
    <s v="PKG-008"/>
    <x v="7"/>
    <x v="3"/>
    <x v="0"/>
    <x v="3"/>
    <x v="4"/>
    <x v="159"/>
    <n v="63"/>
    <n v="2800"/>
    <n v="0.15"/>
    <x v="1"/>
    <n v="176400"/>
    <n v="149940"/>
    <s v="Medium"/>
  </r>
  <r>
    <x v="234"/>
    <s v="PKG-002"/>
    <x v="1"/>
    <x v="1"/>
    <x v="4"/>
    <x v="0"/>
    <x v="2"/>
    <x v="157"/>
    <n v="167"/>
    <n v="350"/>
    <n v="0.1"/>
    <x v="0"/>
    <n v="58450"/>
    <n v="52605"/>
    <s v="Low"/>
  </r>
  <r>
    <x v="235"/>
    <s v="PKG-001"/>
    <x v="0"/>
    <x v="0"/>
    <x v="4"/>
    <x v="1"/>
    <x v="2"/>
    <x v="160"/>
    <n v="41"/>
    <n v="990"/>
    <n v="0.13"/>
    <x v="0"/>
    <n v="40590"/>
    <n v="35313.300000000003"/>
    <s v="Low"/>
  </r>
  <r>
    <x v="236"/>
    <s v="PKG-006"/>
    <x v="5"/>
    <x v="2"/>
    <x v="4"/>
    <x v="0"/>
    <x v="5"/>
    <x v="161"/>
    <n v="146"/>
    <n v="895"/>
    <n v="0.13"/>
    <x v="0"/>
    <n v="130670"/>
    <n v="113682.9"/>
    <s v="Medium"/>
  </r>
  <r>
    <x v="237"/>
    <s v="PKG-004"/>
    <x v="3"/>
    <x v="0"/>
    <x v="3"/>
    <x v="0"/>
    <x v="1"/>
    <x v="162"/>
    <n v="67"/>
    <n v="1200"/>
    <n v="0.11"/>
    <x v="0"/>
    <n v="80400"/>
    <n v="71556"/>
    <s v="Low"/>
  </r>
  <r>
    <x v="238"/>
    <s v="PKG-009"/>
    <x v="8"/>
    <x v="1"/>
    <x v="0"/>
    <x v="0"/>
    <x v="2"/>
    <x v="163"/>
    <n v="133"/>
    <n v="280"/>
    <n v="0.08"/>
    <x v="0"/>
    <n v="37240"/>
    <n v="34260.800000000003"/>
    <s v="Low"/>
  </r>
  <r>
    <x v="239"/>
    <s v="PKG-003"/>
    <x v="2"/>
    <x v="1"/>
    <x v="4"/>
    <x v="0"/>
    <x v="2"/>
    <x v="164"/>
    <n v="199"/>
    <n v="420"/>
    <n v="0.11"/>
    <x v="0"/>
    <n v="83580"/>
    <n v="74386.2"/>
    <s v="Low"/>
  </r>
  <r>
    <x v="240"/>
    <s v="PKG-004"/>
    <x v="3"/>
    <x v="0"/>
    <x v="2"/>
    <x v="0"/>
    <x v="5"/>
    <x v="162"/>
    <n v="136"/>
    <n v="1200"/>
    <n v="0"/>
    <x v="0"/>
    <n v="163200"/>
    <n v="163200"/>
    <s v="Medium"/>
  </r>
  <r>
    <x v="241"/>
    <s v="PKG-004"/>
    <x v="3"/>
    <x v="0"/>
    <x v="3"/>
    <x v="0"/>
    <x v="5"/>
    <x v="165"/>
    <n v="62"/>
    <n v="1200"/>
    <n v="0"/>
    <x v="1"/>
    <n v="74400"/>
    <n v="74400"/>
    <s v="Low"/>
  </r>
  <r>
    <x v="242"/>
    <s v="PKG-007"/>
    <x v="6"/>
    <x v="0"/>
    <x v="1"/>
    <x v="2"/>
    <x v="0"/>
    <x v="163"/>
    <n v="171"/>
    <n v="650"/>
    <n v="0.13"/>
    <x v="0"/>
    <n v="111150"/>
    <n v="96700.5"/>
    <s v="Low"/>
  </r>
  <r>
    <x v="243"/>
    <s v="PKG-007"/>
    <x v="6"/>
    <x v="0"/>
    <x v="3"/>
    <x v="4"/>
    <x v="3"/>
    <x v="166"/>
    <n v="182"/>
    <n v="650"/>
    <n v="0.08"/>
    <x v="1"/>
    <n v="118300"/>
    <n v="108836"/>
    <s v="Medium"/>
  </r>
  <r>
    <x v="244"/>
    <s v="PKG-004"/>
    <x v="3"/>
    <x v="0"/>
    <x v="2"/>
    <x v="2"/>
    <x v="5"/>
    <x v="158"/>
    <n v="63"/>
    <n v="1200"/>
    <n v="0.14000000000000001"/>
    <x v="0"/>
    <n v="75600"/>
    <n v="65016"/>
    <s v="Low"/>
  </r>
  <r>
    <x v="245"/>
    <s v="PKG-007"/>
    <x v="6"/>
    <x v="0"/>
    <x v="2"/>
    <x v="0"/>
    <x v="4"/>
    <x v="160"/>
    <n v="157"/>
    <n v="650"/>
    <n v="7.0000000000000007E-2"/>
    <x v="1"/>
    <n v="102050"/>
    <n v="94906.5"/>
    <s v="Low"/>
  </r>
  <r>
    <x v="246"/>
    <s v="PKG-005"/>
    <x v="4"/>
    <x v="0"/>
    <x v="3"/>
    <x v="0"/>
    <x v="3"/>
    <x v="151"/>
    <n v="158"/>
    <n v="200"/>
    <n v="0.12"/>
    <x v="1"/>
    <n v="31600"/>
    <n v="27808"/>
    <s v="Low"/>
  </r>
  <r>
    <x v="247"/>
    <s v="PKG-004"/>
    <x v="3"/>
    <x v="0"/>
    <x v="0"/>
    <x v="0"/>
    <x v="2"/>
    <x v="162"/>
    <n v="67"/>
    <n v="1200"/>
    <n v="0"/>
    <x v="0"/>
    <n v="80400"/>
    <n v="80400"/>
    <s v="Low"/>
  </r>
  <r>
    <x v="248"/>
    <s v="PKG-010"/>
    <x v="9"/>
    <x v="2"/>
    <x v="3"/>
    <x v="0"/>
    <x v="3"/>
    <x v="151"/>
    <n v="34"/>
    <n v="750"/>
    <n v="0.11"/>
    <x v="1"/>
    <n v="25500"/>
    <n v="22695"/>
    <s v="Low"/>
  </r>
  <r>
    <x v="249"/>
    <s v="PKG-001"/>
    <x v="0"/>
    <x v="0"/>
    <x v="0"/>
    <x v="0"/>
    <x v="4"/>
    <x v="167"/>
    <n v="49"/>
    <n v="990"/>
    <n v="0.08"/>
    <x v="1"/>
    <n v="48510"/>
    <n v="44629.2"/>
    <s v="Low"/>
  </r>
  <r>
    <x v="250"/>
    <s v="PKG-004"/>
    <x v="3"/>
    <x v="0"/>
    <x v="3"/>
    <x v="1"/>
    <x v="5"/>
    <x v="159"/>
    <n v="21"/>
    <n v="1200"/>
    <n v="0.13"/>
    <x v="0"/>
    <n v="25200"/>
    <n v="21924"/>
    <s v="Low"/>
  </r>
  <r>
    <x v="251"/>
    <s v="PKG-003"/>
    <x v="2"/>
    <x v="1"/>
    <x v="2"/>
    <x v="2"/>
    <x v="5"/>
    <x v="168"/>
    <n v="103"/>
    <n v="420"/>
    <n v="0"/>
    <x v="0"/>
    <n v="43260"/>
    <n v="43260"/>
    <s v="Low"/>
  </r>
  <r>
    <x v="252"/>
    <s v="PKG-009"/>
    <x v="8"/>
    <x v="1"/>
    <x v="3"/>
    <x v="3"/>
    <x v="3"/>
    <x v="169"/>
    <n v="129"/>
    <n v="280"/>
    <n v="0.12"/>
    <x v="0"/>
    <n v="36120"/>
    <n v="31785.599999999999"/>
    <s v="Low"/>
  </r>
  <r>
    <x v="253"/>
    <s v="PKG-004"/>
    <x v="3"/>
    <x v="0"/>
    <x v="3"/>
    <x v="3"/>
    <x v="0"/>
    <x v="160"/>
    <n v="98"/>
    <n v="1200"/>
    <n v="0.15"/>
    <x v="0"/>
    <n v="117600"/>
    <n v="99960"/>
    <s v="Low"/>
  </r>
  <r>
    <x v="254"/>
    <s v="PKG-004"/>
    <x v="3"/>
    <x v="0"/>
    <x v="3"/>
    <x v="1"/>
    <x v="5"/>
    <x v="155"/>
    <n v="32"/>
    <n v="1200"/>
    <n v="0.15"/>
    <x v="0"/>
    <n v="38400"/>
    <n v="32640"/>
    <s v="Low"/>
  </r>
  <r>
    <x v="255"/>
    <s v="PKG-001"/>
    <x v="0"/>
    <x v="0"/>
    <x v="3"/>
    <x v="2"/>
    <x v="2"/>
    <x v="160"/>
    <n v="122"/>
    <n v="990"/>
    <n v="0.08"/>
    <x v="0"/>
    <n v="120780"/>
    <n v="111117.6"/>
    <s v="Medium"/>
  </r>
  <r>
    <x v="256"/>
    <s v="PKG-001"/>
    <x v="0"/>
    <x v="0"/>
    <x v="1"/>
    <x v="0"/>
    <x v="0"/>
    <x v="170"/>
    <n v="75"/>
    <n v="990"/>
    <n v="0.08"/>
    <x v="1"/>
    <n v="74250"/>
    <n v="68310"/>
    <s v="Low"/>
  </r>
  <r>
    <x v="257"/>
    <s v="PKG-007"/>
    <x v="6"/>
    <x v="0"/>
    <x v="0"/>
    <x v="2"/>
    <x v="4"/>
    <x v="166"/>
    <n v="44"/>
    <n v="650"/>
    <n v="0"/>
    <x v="1"/>
    <n v="28600"/>
    <n v="28600"/>
    <s v="Low"/>
  </r>
  <r>
    <x v="258"/>
    <s v="PKG-003"/>
    <x v="2"/>
    <x v="1"/>
    <x v="1"/>
    <x v="2"/>
    <x v="5"/>
    <x v="171"/>
    <n v="84"/>
    <n v="420"/>
    <n v="0.05"/>
    <x v="0"/>
    <n v="35280"/>
    <n v="33516"/>
    <s v="Low"/>
  </r>
  <r>
    <x v="259"/>
    <s v="PKG-009"/>
    <x v="8"/>
    <x v="1"/>
    <x v="0"/>
    <x v="0"/>
    <x v="3"/>
    <x v="168"/>
    <n v="216"/>
    <n v="280"/>
    <n v="0.14000000000000001"/>
    <x v="0"/>
    <n v="60480"/>
    <n v="52012.800000000003"/>
    <s v="Low"/>
  </r>
  <r>
    <x v="260"/>
    <s v="PKG-010"/>
    <x v="9"/>
    <x v="2"/>
    <x v="3"/>
    <x v="3"/>
    <x v="0"/>
    <x v="172"/>
    <n v="147"/>
    <n v="750"/>
    <n v="0.11"/>
    <x v="0"/>
    <n v="110250"/>
    <n v="98122.5"/>
    <s v="Low"/>
  </r>
  <r>
    <x v="261"/>
    <s v="PKG-004"/>
    <x v="3"/>
    <x v="0"/>
    <x v="1"/>
    <x v="0"/>
    <x v="4"/>
    <x v="163"/>
    <n v="146"/>
    <n v="1200"/>
    <n v="0.14000000000000001"/>
    <x v="1"/>
    <n v="175200"/>
    <n v="150672"/>
    <s v="Medium"/>
  </r>
  <r>
    <x v="262"/>
    <s v="PKG-008"/>
    <x v="7"/>
    <x v="3"/>
    <x v="1"/>
    <x v="2"/>
    <x v="5"/>
    <x v="154"/>
    <n v="64"/>
    <n v="2800"/>
    <n v="0.08"/>
    <x v="0"/>
    <n v="179200"/>
    <n v="164864"/>
    <s v="Medium"/>
  </r>
  <r>
    <x v="263"/>
    <s v="PKG-010"/>
    <x v="9"/>
    <x v="2"/>
    <x v="3"/>
    <x v="1"/>
    <x v="3"/>
    <x v="173"/>
    <n v="74"/>
    <n v="750"/>
    <n v="0"/>
    <x v="1"/>
    <n v="55500"/>
    <n v="55500"/>
    <s v="Low"/>
  </r>
  <r>
    <x v="264"/>
    <s v="PKG-005"/>
    <x v="4"/>
    <x v="0"/>
    <x v="2"/>
    <x v="3"/>
    <x v="3"/>
    <x v="164"/>
    <n v="132"/>
    <n v="200"/>
    <n v="0.05"/>
    <x v="1"/>
    <n v="26400"/>
    <n v="25080"/>
    <s v="Low"/>
  </r>
  <r>
    <x v="265"/>
    <s v="PKG-004"/>
    <x v="3"/>
    <x v="0"/>
    <x v="2"/>
    <x v="4"/>
    <x v="2"/>
    <x v="174"/>
    <n v="111"/>
    <n v="1200"/>
    <n v="0"/>
    <x v="0"/>
    <n v="133200"/>
    <n v="133200"/>
    <s v="Medium"/>
  </r>
  <r>
    <x v="266"/>
    <s v="PKG-008"/>
    <x v="7"/>
    <x v="3"/>
    <x v="2"/>
    <x v="1"/>
    <x v="5"/>
    <x v="175"/>
    <n v="18"/>
    <n v="2800"/>
    <n v="7.0000000000000007E-2"/>
    <x v="1"/>
    <n v="50400"/>
    <n v="46872"/>
    <s v="Low"/>
  </r>
  <r>
    <x v="267"/>
    <s v="PKG-008"/>
    <x v="7"/>
    <x v="3"/>
    <x v="2"/>
    <x v="0"/>
    <x v="4"/>
    <x v="176"/>
    <n v="57"/>
    <n v="2800"/>
    <n v="0"/>
    <x v="1"/>
    <n v="159600"/>
    <n v="159600"/>
    <s v="Medium"/>
  </r>
  <r>
    <x v="268"/>
    <s v="PKG-006"/>
    <x v="5"/>
    <x v="2"/>
    <x v="2"/>
    <x v="4"/>
    <x v="2"/>
    <x v="157"/>
    <n v="143"/>
    <n v="895"/>
    <n v="0.12"/>
    <x v="1"/>
    <n v="127985"/>
    <n v="112626.8"/>
    <s v="Medium"/>
  </r>
  <r>
    <x v="269"/>
    <s v="PKG-001"/>
    <x v="0"/>
    <x v="0"/>
    <x v="1"/>
    <x v="4"/>
    <x v="2"/>
    <x v="155"/>
    <n v="60"/>
    <n v="990"/>
    <n v="0.08"/>
    <x v="0"/>
    <n v="59400"/>
    <n v="54648"/>
    <s v="Low"/>
  </r>
  <r>
    <x v="270"/>
    <s v="PKG-007"/>
    <x v="6"/>
    <x v="0"/>
    <x v="1"/>
    <x v="2"/>
    <x v="4"/>
    <x v="177"/>
    <n v="46"/>
    <n v="650"/>
    <n v="0.05"/>
    <x v="0"/>
    <n v="29900"/>
    <n v="28405"/>
    <s v="Low"/>
  </r>
  <r>
    <x v="271"/>
    <s v="PKG-001"/>
    <x v="0"/>
    <x v="0"/>
    <x v="0"/>
    <x v="4"/>
    <x v="0"/>
    <x v="160"/>
    <n v="36"/>
    <n v="990"/>
    <n v="0.1"/>
    <x v="1"/>
    <n v="35640"/>
    <n v="32076"/>
    <s v="Low"/>
  </r>
  <r>
    <x v="272"/>
    <s v="PKG-009"/>
    <x v="8"/>
    <x v="1"/>
    <x v="4"/>
    <x v="3"/>
    <x v="1"/>
    <x v="169"/>
    <n v="206"/>
    <n v="280"/>
    <n v="0.15"/>
    <x v="0"/>
    <n v="57680"/>
    <n v="49028"/>
    <s v="Low"/>
  </r>
  <r>
    <x v="273"/>
    <s v="PKG-010"/>
    <x v="9"/>
    <x v="2"/>
    <x v="4"/>
    <x v="3"/>
    <x v="3"/>
    <x v="160"/>
    <n v="116"/>
    <n v="750"/>
    <n v="0.14000000000000001"/>
    <x v="0"/>
    <n v="87000"/>
    <n v="74820"/>
    <s v="Low"/>
  </r>
  <r>
    <x v="274"/>
    <s v="PKG-002"/>
    <x v="1"/>
    <x v="1"/>
    <x v="4"/>
    <x v="1"/>
    <x v="1"/>
    <x v="157"/>
    <n v="182"/>
    <n v="350"/>
    <n v="0.05"/>
    <x v="0"/>
    <n v="63700"/>
    <n v="60515"/>
    <s v="Low"/>
  </r>
  <r>
    <x v="275"/>
    <s v="PKG-006"/>
    <x v="5"/>
    <x v="2"/>
    <x v="1"/>
    <x v="1"/>
    <x v="2"/>
    <x v="153"/>
    <n v="36"/>
    <n v="895"/>
    <n v="0.14000000000000001"/>
    <x v="0"/>
    <n v="32220"/>
    <n v="27709.200000000001"/>
    <s v="Low"/>
  </r>
  <r>
    <x v="276"/>
    <s v="PKG-002"/>
    <x v="1"/>
    <x v="1"/>
    <x v="2"/>
    <x v="4"/>
    <x v="4"/>
    <x v="155"/>
    <n v="130"/>
    <n v="350"/>
    <n v="7.0000000000000007E-2"/>
    <x v="1"/>
    <n v="45500"/>
    <n v="42315"/>
    <s v="Low"/>
  </r>
  <r>
    <x v="277"/>
    <s v="PKG-001"/>
    <x v="0"/>
    <x v="0"/>
    <x v="0"/>
    <x v="3"/>
    <x v="5"/>
    <x v="161"/>
    <n v="67"/>
    <n v="990"/>
    <n v="0"/>
    <x v="0"/>
    <n v="66330"/>
    <n v="66330"/>
    <s v="Low"/>
  </r>
  <r>
    <x v="278"/>
    <s v="PKG-001"/>
    <x v="0"/>
    <x v="0"/>
    <x v="0"/>
    <x v="1"/>
    <x v="1"/>
    <x v="158"/>
    <n v="114"/>
    <n v="990"/>
    <n v="0.13"/>
    <x v="0"/>
    <n v="112860"/>
    <n v="98188.2"/>
    <s v="Low"/>
  </r>
  <r>
    <x v="279"/>
    <s v="PKG-006"/>
    <x v="5"/>
    <x v="2"/>
    <x v="2"/>
    <x v="0"/>
    <x v="4"/>
    <x v="157"/>
    <n v="85"/>
    <n v="895"/>
    <n v="0"/>
    <x v="1"/>
    <n v="76075"/>
    <n v="76075"/>
    <s v="Low"/>
  </r>
  <r>
    <x v="280"/>
    <s v="PKG-010"/>
    <x v="9"/>
    <x v="2"/>
    <x v="0"/>
    <x v="2"/>
    <x v="4"/>
    <x v="169"/>
    <n v="132"/>
    <n v="750"/>
    <n v="0.03"/>
    <x v="0"/>
    <n v="99000"/>
    <n v="96030"/>
    <s v="Low"/>
  </r>
  <r>
    <x v="281"/>
    <s v="PKG-008"/>
    <x v="7"/>
    <x v="3"/>
    <x v="3"/>
    <x v="2"/>
    <x v="5"/>
    <x v="177"/>
    <n v="59"/>
    <n v="2800"/>
    <n v="0"/>
    <x v="0"/>
    <n v="165200"/>
    <n v="165200"/>
    <s v="Medium"/>
  </r>
  <r>
    <x v="282"/>
    <s v="PKG-003"/>
    <x v="2"/>
    <x v="1"/>
    <x v="2"/>
    <x v="1"/>
    <x v="5"/>
    <x v="156"/>
    <n v="147"/>
    <n v="420"/>
    <n v="0.03"/>
    <x v="0"/>
    <n v="61740"/>
    <n v="59887.8"/>
    <s v="Low"/>
  </r>
  <r>
    <x v="283"/>
    <s v="PKG-005"/>
    <x v="4"/>
    <x v="0"/>
    <x v="0"/>
    <x v="1"/>
    <x v="4"/>
    <x v="174"/>
    <n v="94"/>
    <n v="200"/>
    <n v="0.05"/>
    <x v="0"/>
    <n v="18800"/>
    <n v="17860"/>
    <s v="Low"/>
  </r>
  <r>
    <x v="284"/>
    <s v="PKG-010"/>
    <x v="9"/>
    <x v="2"/>
    <x v="4"/>
    <x v="4"/>
    <x v="2"/>
    <x v="152"/>
    <n v="95"/>
    <n v="750"/>
    <n v="0.14000000000000001"/>
    <x v="0"/>
    <n v="71250"/>
    <n v="61275"/>
    <s v="Low"/>
  </r>
  <r>
    <x v="285"/>
    <s v="PKG-005"/>
    <x v="4"/>
    <x v="0"/>
    <x v="3"/>
    <x v="2"/>
    <x v="1"/>
    <x v="177"/>
    <n v="168"/>
    <n v="200"/>
    <n v="0.05"/>
    <x v="1"/>
    <n v="33600"/>
    <n v="31920"/>
    <s v="Low"/>
  </r>
  <r>
    <x v="286"/>
    <s v="PKG-003"/>
    <x v="2"/>
    <x v="1"/>
    <x v="2"/>
    <x v="4"/>
    <x v="1"/>
    <x v="171"/>
    <n v="172"/>
    <n v="420"/>
    <n v="0.1"/>
    <x v="0"/>
    <n v="72240"/>
    <n v="65016"/>
    <s v="Low"/>
  </r>
  <r>
    <x v="287"/>
    <s v="PKG-007"/>
    <x v="6"/>
    <x v="0"/>
    <x v="2"/>
    <x v="0"/>
    <x v="4"/>
    <x v="173"/>
    <n v="167"/>
    <n v="650"/>
    <n v="0.12"/>
    <x v="0"/>
    <n v="108550"/>
    <n v="95524"/>
    <s v="Low"/>
  </r>
  <r>
    <x v="288"/>
    <s v="PKG-001"/>
    <x v="0"/>
    <x v="0"/>
    <x v="1"/>
    <x v="0"/>
    <x v="1"/>
    <x v="169"/>
    <n v="34"/>
    <n v="990"/>
    <n v="0"/>
    <x v="0"/>
    <n v="33660"/>
    <n v="33660"/>
    <s v="Low"/>
  </r>
  <r>
    <x v="289"/>
    <s v="PKG-002"/>
    <x v="1"/>
    <x v="1"/>
    <x v="4"/>
    <x v="2"/>
    <x v="4"/>
    <x v="177"/>
    <n v="44"/>
    <n v="350"/>
    <n v="7.0000000000000007E-2"/>
    <x v="1"/>
    <n v="15400"/>
    <n v="14322"/>
    <s v="Low"/>
  </r>
  <r>
    <x v="290"/>
    <s v="PKG-006"/>
    <x v="5"/>
    <x v="2"/>
    <x v="4"/>
    <x v="1"/>
    <x v="4"/>
    <x v="178"/>
    <n v="108"/>
    <n v="895"/>
    <n v="0.14000000000000001"/>
    <x v="0"/>
    <n v="96660"/>
    <n v="83127.600000000006"/>
    <s v="Low"/>
  </r>
  <r>
    <x v="291"/>
    <s v="PKG-006"/>
    <x v="5"/>
    <x v="2"/>
    <x v="2"/>
    <x v="1"/>
    <x v="5"/>
    <x v="168"/>
    <n v="76"/>
    <n v="895"/>
    <n v="0.08"/>
    <x v="0"/>
    <n v="68020"/>
    <n v="62578.400000000001"/>
    <s v="Low"/>
  </r>
  <r>
    <x v="292"/>
    <s v="PKG-002"/>
    <x v="1"/>
    <x v="1"/>
    <x v="0"/>
    <x v="3"/>
    <x v="3"/>
    <x v="154"/>
    <n v="178"/>
    <n v="350"/>
    <n v="0.15"/>
    <x v="0"/>
    <n v="62300"/>
    <n v="52955"/>
    <s v="Low"/>
  </r>
  <r>
    <x v="293"/>
    <s v="PKG-008"/>
    <x v="7"/>
    <x v="3"/>
    <x v="3"/>
    <x v="2"/>
    <x v="3"/>
    <x v="151"/>
    <n v="64"/>
    <n v="2800"/>
    <n v="0.11"/>
    <x v="0"/>
    <n v="179200"/>
    <n v="159488"/>
    <s v="Medium"/>
  </r>
  <r>
    <x v="294"/>
    <s v="PKG-009"/>
    <x v="8"/>
    <x v="1"/>
    <x v="4"/>
    <x v="2"/>
    <x v="2"/>
    <x v="161"/>
    <n v="41"/>
    <n v="280"/>
    <n v="0"/>
    <x v="0"/>
    <n v="11480"/>
    <n v="11480"/>
    <s v="Low"/>
  </r>
  <r>
    <x v="295"/>
    <s v="PKG-003"/>
    <x v="2"/>
    <x v="1"/>
    <x v="0"/>
    <x v="1"/>
    <x v="3"/>
    <x v="178"/>
    <n v="197"/>
    <n v="420"/>
    <n v="0.13"/>
    <x v="0"/>
    <n v="82740"/>
    <n v="71983.8"/>
    <s v="Low"/>
  </r>
  <r>
    <x v="296"/>
    <s v="PKG-001"/>
    <x v="0"/>
    <x v="0"/>
    <x v="2"/>
    <x v="0"/>
    <x v="5"/>
    <x v="173"/>
    <n v="107"/>
    <n v="990"/>
    <n v="0.13"/>
    <x v="0"/>
    <n v="105930"/>
    <n v="92159.1"/>
    <s v="Low"/>
  </r>
  <r>
    <x v="297"/>
    <s v="PKG-001"/>
    <x v="0"/>
    <x v="0"/>
    <x v="0"/>
    <x v="2"/>
    <x v="5"/>
    <x v="151"/>
    <n v="53"/>
    <n v="990"/>
    <n v="0"/>
    <x v="0"/>
    <n v="52470"/>
    <n v="52470"/>
    <s v="Low"/>
  </r>
  <r>
    <x v="298"/>
    <s v="PKG-002"/>
    <x v="1"/>
    <x v="1"/>
    <x v="2"/>
    <x v="0"/>
    <x v="2"/>
    <x v="167"/>
    <n v="181"/>
    <n v="350"/>
    <n v="0"/>
    <x v="1"/>
    <n v="63350"/>
    <n v="63350"/>
    <s v="Low"/>
  </r>
  <r>
    <x v="299"/>
    <s v="PKG-003"/>
    <x v="2"/>
    <x v="1"/>
    <x v="1"/>
    <x v="3"/>
    <x v="2"/>
    <x v="163"/>
    <n v="190"/>
    <n v="420"/>
    <n v="0.03"/>
    <x v="0"/>
    <n v="79800"/>
    <n v="77406"/>
    <s v="Low"/>
  </r>
  <r>
    <x v="300"/>
    <s v="PKG-008"/>
    <x v="7"/>
    <x v="3"/>
    <x v="1"/>
    <x v="1"/>
    <x v="2"/>
    <x v="158"/>
    <n v="87"/>
    <n v="2800"/>
    <n v="0.13"/>
    <x v="0"/>
    <n v="243600"/>
    <n v="211932"/>
    <s v="Medium"/>
  </r>
  <r>
    <x v="301"/>
    <s v="PKG-004"/>
    <x v="3"/>
    <x v="0"/>
    <x v="2"/>
    <x v="2"/>
    <x v="1"/>
    <x v="179"/>
    <n v="60"/>
    <n v="1200"/>
    <n v="0.14000000000000001"/>
    <x v="1"/>
    <n v="72000"/>
    <n v="61920"/>
    <s v="Low"/>
  </r>
  <r>
    <x v="302"/>
    <s v="PKG-004"/>
    <x v="3"/>
    <x v="0"/>
    <x v="4"/>
    <x v="4"/>
    <x v="1"/>
    <x v="180"/>
    <n v="100"/>
    <n v="1200"/>
    <n v="0.08"/>
    <x v="0"/>
    <n v="120000"/>
    <n v="110400"/>
    <s v="Medium"/>
  </r>
  <r>
    <x v="303"/>
    <s v="PKG-010"/>
    <x v="9"/>
    <x v="2"/>
    <x v="1"/>
    <x v="0"/>
    <x v="1"/>
    <x v="179"/>
    <n v="34"/>
    <n v="750"/>
    <n v="0.14000000000000001"/>
    <x v="0"/>
    <n v="25500"/>
    <n v="21930"/>
    <s v="Low"/>
  </r>
  <r>
    <x v="304"/>
    <s v="PKG-003"/>
    <x v="2"/>
    <x v="1"/>
    <x v="4"/>
    <x v="1"/>
    <x v="5"/>
    <x v="181"/>
    <n v="134"/>
    <n v="420"/>
    <n v="0.05"/>
    <x v="0"/>
    <n v="56280"/>
    <n v="53466"/>
    <s v="Low"/>
  </r>
  <r>
    <x v="305"/>
    <s v="PKG-006"/>
    <x v="5"/>
    <x v="2"/>
    <x v="1"/>
    <x v="3"/>
    <x v="5"/>
    <x v="182"/>
    <n v="123"/>
    <n v="895"/>
    <n v="0"/>
    <x v="1"/>
    <n v="110085"/>
    <n v="110085"/>
    <s v="Medium"/>
  </r>
  <r>
    <x v="306"/>
    <s v="PKG-008"/>
    <x v="7"/>
    <x v="3"/>
    <x v="0"/>
    <x v="2"/>
    <x v="5"/>
    <x v="183"/>
    <n v="19"/>
    <n v="2800"/>
    <n v="0.14000000000000001"/>
    <x v="1"/>
    <n v="53200"/>
    <n v="45752"/>
    <s v="Low"/>
  </r>
  <r>
    <x v="307"/>
    <s v="PKG-010"/>
    <x v="9"/>
    <x v="2"/>
    <x v="4"/>
    <x v="4"/>
    <x v="5"/>
    <x v="184"/>
    <n v="36"/>
    <n v="750"/>
    <n v="0.14000000000000001"/>
    <x v="0"/>
    <n v="27000"/>
    <n v="23220"/>
    <s v="Low"/>
  </r>
  <r>
    <x v="308"/>
    <s v="PKG-009"/>
    <x v="8"/>
    <x v="1"/>
    <x v="1"/>
    <x v="1"/>
    <x v="1"/>
    <x v="180"/>
    <n v="108"/>
    <n v="280"/>
    <n v="0.1"/>
    <x v="0"/>
    <n v="30240"/>
    <n v="27216"/>
    <s v="Low"/>
  </r>
  <r>
    <x v="309"/>
    <s v="PKG-001"/>
    <x v="0"/>
    <x v="0"/>
    <x v="3"/>
    <x v="3"/>
    <x v="2"/>
    <x v="185"/>
    <n v="33"/>
    <n v="990"/>
    <n v="0.08"/>
    <x v="0"/>
    <n v="32670"/>
    <n v="30056.400000000001"/>
    <s v="Low"/>
  </r>
  <r>
    <x v="310"/>
    <s v="PKG-010"/>
    <x v="9"/>
    <x v="2"/>
    <x v="4"/>
    <x v="1"/>
    <x v="5"/>
    <x v="186"/>
    <n v="128"/>
    <n v="750"/>
    <n v="0.12"/>
    <x v="0"/>
    <n v="96000"/>
    <n v="84480"/>
    <s v="Low"/>
  </r>
  <r>
    <x v="311"/>
    <s v="PKG-010"/>
    <x v="9"/>
    <x v="2"/>
    <x v="3"/>
    <x v="1"/>
    <x v="4"/>
    <x v="187"/>
    <n v="124"/>
    <n v="750"/>
    <n v="0.05"/>
    <x v="0"/>
    <n v="93000"/>
    <n v="88350"/>
    <s v="Low"/>
  </r>
  <r>
    <x v="312"/>
    <s v="PKG-002"/>
    <x v="1"/>
    <x v="1"/>
    <x v="3"/>
    <x v="3"/>
    <x v="2"/>
    <x v="188"/>
    <n v="156"/>
    <n v="350"/>
    <n v="0.05"/>
    <x v="1"/>
    <n v="54600"/>
    <n v="51870"/>
    <s v="Low"/>
  </r>
  <r>
    <x v="313"/>
    <s v="PKG-006"/>
    <x v="5"/>
    <x v="2"/>
    <x v="0"/>
    <x v="4"/>
    <x v="5"/>
    <x v="189"/>
    <n v="148"/>
    <n v="895"/>
    <n v="0"/>
    <x v="0"/>
    <n v="132460"/>
    <n v="132460"/>
    <s v="Medium"/>
  </r>
  <r>
    <x v="314"/>
    <s v="PKG-002"/>
    <x v="1"/>
    <x v="1"/>
    <x v="4"/>
    <x v="0"/>
    <x v="3"/>
    <x v="190"/>
    <n v="175"/>
    <n v="350"/>
    <n v="0.05"/>
    <x v="0"/>
    <n v="61250"/>
    <n v="58187.5"/>
    <s v="Low"/>
  </r>
  <r>
    <x v="315"/>
    <s v="PKG-001"/>
    <x v="0"/>
    <x v="0"/>
    <x v="4"/>
    <x v="4"/>
    <x v="2"/>
    <x v="191"/>
    <n v="26"/>
    <n v="990"/>
    <n v="0"/>
    <x v="0"/>
    <n v="25740"/>
    <n v="25740"/>
    <s v="Low"/>
  </r>
  <r>
    <x v="316"/>
    <s v="PKG-002"/>
    <x v="1"/>
    <x v="1"/>
    <x v="4"/>
    <x v="4"/>
    <x v="5"/>
    <x v="192"/>
    <n v="135"/>
    <n v="350"/>
    <n v="0.1"/>
    <x v="0"/>
    <n v="47250"/>
    <n v="42525"/>
    <s v="Low"/>
  </r>
  <r>
    <x v="317"/>
    <s v="PKG-006"/>
    <x v="5"/>
    <x v="2"/>
    <x v="4"/>
    <x v="1"/>
    <x v="2"/>
    <x v="187"/>
    <n v="134"/>
    <n v="895"/>
    <n v="0.13"/>
    <x v="0"/>
    <n v="119930"/>
    <n v="104339.1"/>
    <s v="Medium"/>
  </r>
  <r>
    <x v="318"/>
    <s v="PKG-008"/>
    <x v="7"/>
    <x v="3"/>
    <x v="1"/>
    <x v="4"/>
    <x v="2"/>
    <x v="193"/>
    <n v="92"/>
    <n v="2800"/>
    <n v="0.12"/>
    <x v="1"/>
    <n v="257600"/>
    <n v="226688"/>
    <s v="Medium"/>
  </r>
  <r>
    <x v="319"/>
    <s v="PKG-005"/>
    <x v="4"/>
    <x v="0"/>
    <x v="0"/>
    <x v="4"/>
    <x v="4"/>
    <x v="194"/>
    <n v="79"/>
    <n v="200"/>
    <n v="7.0000000000000007E-2"/>
    <x v="0"/>
    <n v="15800"/>
    <n v="14694"/>
    <s v="Low"/>
  </r>
  <r>
    <x v="320"/>
    <s v="PKG-004"/>
    <x v="3"/>
    <x v="0"/>
    <x v="1"/>
    <x v="2"/>
    <x v="2"/>
    <x v="191"/>
    <n v="104"/>
    <n v="1200"/>
    <n v="0"/>
    <x v="0"/>
    <n v="124800"/>
    <n v="124800"/>
    <s v="Medium"/>
  </r>
  <r>
    <x v="321"/>
    <s v="PKG-004"/>
    <x v="3"/>
    <x v="0"/>
    <x v="4"/>
    <x v="3"/>
    <x v="4"/>
    <x v="194"/>
    <n v="35"/>
    <n v="1200"/>
    <n v="0.12"/>
    <x v="1"/>
    <n v="42000"/>
    <n v="36960"/>
    <s v="Low"/>
  </r>
  <r>
    <x v="322"/>
    <s v="PKG-004"/>
    <x v="3"/>
    <x v="0"/>
    <x v="1"/>
    <x v="4"/>
    <x v="0"/>
    <x v="192"/>
    <n v="53"/>
    <n v="1200"/>
    <n v="0.14000000000000001"/>
    <x v="0"/>
    <n v="63600"/>
    <n v="54696"/>
    <s v="Low"/>
  </r>
  <r>
    <x v="323"/>
    <s v="PKG-002"/>
    <x v="1"/>
    <x v="1"/>
    <x v="2"/>
    <x v="3"/>
    <x v="4"/>
    <x v="186"/>
    <n v="156"/>
    <n v="350"/>
    <n v="0"/>
    <x v="1"/>
    <n v="54600"/>
    <n v="54600"/>
    <s v="Low"/>
  </r>
  <r>
    <x v="324"/>
    <s v="PKG-008"/>
    <x v="7"/>
    <x v="3"/>
    <x v="2"/>
    <x v="3"/>
    <x v="1"/>
    <x v="183"/>
    <n v="73"/>
    <n v="2800"/>
    <n v="0.08"/>
    <x v="0"/>
    <n v="204400"/>
    <n v="188048"/>
    <s v="Medium"/>
  </r>
  <r>
    <x v="325"/>
    <s v="PKG-007"/>
    <x v="6"/>
    <x v="0"/>
    <x v="0"/>
    <x v="4"/>
    <x v="1"/>
    <x v="195"/>
    <n v="41"/>
    <n v="650"/>
    <n v="0"/>
    <x v="0"/>
    <n v="26650"/>
    <n v="26650"/>
    <s v="Low"/>
  </r>
  <r>
    <x v="326"/>
    <s v="PKG-002"/>
    <x v="1"/>
    <x v="1"/>
    <x v="4"/>
    <x v="1"/>
    <x v="5"/>
    <x v="196"/>
    <n v="56"/>
    <n v="350"/>
    <n v="0.12"/>
    <x v="0"/>
    <n v="19600"/>
    <n v="17248"/>
    <s v="Low"/>
  </r>
  <r>
    <x v="327"/>
    <s v="PKG-010"/>
    <x v="9"/>
    <x v="2"/>
    <x v="4"/>
    <x v="1"/>
    <x v="0"/>
    <x v="197"/>
    <n v="66"/>
    <n v="750"/>
    <n v="0"/>
    <x v="1"/>
    <n v="49500"/>
    <n v="49500"/>
    <s v="Low"/>
  </r>
  <r>
    <x v="328"/>
    <s v="PKG-007"/>
    <x v="6"/>
    <x v="0"/>
    <x v="2"/>
    <x v="2"/>
    <x v="4"/>
    <x v="198"/>
    <n v="51"/>
    <n v="650"/>
    <n v="0"/>
    <x v="0"/>
    <n v="33150"/>
    <n v="33150"/>
    <s v="Low"/>
  </r>
  <r>
    <x v="329"/>
    <s v="PKG-008"/>
    <x v="7"/>
    <x v="3"/>
    <x v="4"/>
    <x v="2"/>
    <x v="3"/>
    <x v="185"/>
    <n v="75"/>
    <n v="2800"/>
    <n v="0.11"/>
    <x v="0"/>
    <n v="210000"/>
    <n v="186900"/>
    <s v="Medium"/>
  </r>
  <r>
    <x v="330"/>
    <s v="PKG-008"/>
    <x v="7"/>
    <x v="3"/>
    <x v="2"/>
    <x v="3"/>
    <x v="4"/>
    <x v="185"/>
    <n v="50"/>
    <n v="2800"/>
    <n v="0"/>
    <x v="0"/>
    <n v="140000"/>
    <n v="140000"/>
    <s v="Medium"/>
  </r>
  <r>
    <x v="331"/>
    <s v="PKG-004"/>
    <x v="3"/>
    <x v="0"/>
    <x v="0"/>
    <x v="4"/>
    <x v="5"/>
    <x v="180"/>
    <n v="46"/>
    <n v="1200"/>
    <n v="0.08"/>
    <x v="0"/>
    <n v="55200"/>
    <n v="50784"/>
    <s v="Low"/>
  </r>
  <r>
    <x v="332"/>
    <s v="PKG-010"/>
    <x v="9"/>
    <x v="2"/>
    <x v="1"/>
    <x v="2"/>
    <x v="5"/>
    <x v="179"/>
    <n v="136"/>
    <n v="750"/>
    <n v="0.15"/>
    <x v="0"/>
    <n v="102000"/>
    <n v="86700"/>
    <s v="Low"/>
  </r>
  <r>
    <x v="333"/>
    <s v="PKG-007"/>
    <x v="6"/>
    <x v="0"/>
    <x v="4"/>
    <x v="1"/>
    <x v="1"/>
    <x v="179"/>
    <n v="174"/>
    <n v="650"/>
    <n v="0.15"/>
    <x v="0"/>
    <n v="113100"/>
    <n v="96135"/>
    <s v="Low"/>
  </r>
  <r>
    <x v="334"/>
    <s v="PKG-008"/>
    <x v="7"/>
    <x v="3"/>
    <x v="2"/>
    <x v="1"/>
    <x v="5"/>
    <x v="194"/>
    <n v="80"/>
    <n v="2800"/>
    <n v="0.05"/>
    <x v="0"/>
    <n v="224000"/>
    <n v="212800"/>
    <s v="Medium"/>
  </r>
  <r>
    <x v="335"/>
    <s v="PKG-002"/>
    <x v="1"/>
    <x v="1"/>
    <x v="3"/>
    <x v="4"/>
    <x v="2"/>
    <x v="199"/>
    <n v="130"/>
    <n v="350"/>
    <n v="0.15"/>
    <x v="0"/>
    <n v="45500"/>
    <n v="38675"/>
    <s v="Low"/>
  </r>
  <r>
    <x v="336"/>
    <s v="PKG-009"/>
    <x v="8"/>
    <x v="1"/>
    <x v="2"/>
    <x v="3"/>
    <x v="0"/>
    <x v="200"/>
    <n v="155"/>
    <n v="280"/>
    <n v="0.14000000000000001"/>
    <x v="1"/>
    <n v="43400"/>
    <n v="37324"/>
    <s v="Low"/>
  </r>
  <r>
    <x v="337"/>
    <s v="PKG-001"/>
    <x v="0"/>
    <x v="0"/>
    <x v="1"/>
    <x v="2"/>
    <x v="5"/>
    <x v="196"/>
    <n v="141"/>
    <n v="990"/>
    <n v="0.13"/>
    <x v="0"/>
    <n v="139590"/>
    <n v="121443.3"/>
    <s v="Medium"/>
  </r>
  <r>
    <x v="338"/>
    <s v="PKG-003"/>
    <x v="2"/>
    <x v="1"/>
    <x v="3"/>
    <x v="4"/>
    <x v="5"/>
    <x v="201"/>
    <n v="186"/>
    <n v="420"/>
    <n v="0.11"/>
    <x v="1"/>
    <n v="78120"/>
    <n v="69526.8"/>
    <s v="Low"/>
  </r>
  <r>
    <x v="339"/>
    <s v="PKG-009"/>
    <x v="8"/>
    <x v="1"/>
    <x v="2"/>
    <x v="1"/>
    <x v="1"/>
    <x v="197"/>
    <n v="137"/>
    <n v="280"/>
    <n v="0.15"/>
    <x v="0"/>
    <n v="38360"/>
    <n v="32606"/>
    <s v="Low"/>
  </r>
  <r>
    <x v="340"/>
    <s v="PKG-001"/>
    <x v="0"/>
    <x v="0"/>
    <x v="0"/>
    <x v="2"/>
    <x v="3"/>
    <x v="186"/>
    <n v="118"/>
    <n v="990"/>
    <n v="0.12"/>
    <x v="0"/>
    <n v="116820"/>
    <n v="102801.60000000001"/>
    <s v="Medium"/>
  </r>
  <r>
    <x v="341"/>
    <s v="PKG-006"/>
    <x v="5"/>
    <x v="2"/>
    <x v="1"/>
    <x v="0"/>
    <x v="3"/>
    <x v="182"/>
    <n v="77"/>
    <n v="895"/>
    <n v="0.12"/>
    <x v="0"/>
    <n v="68915"/>
    <n v="60645.2"/>
    <s v="Low"/>
  </r>
  <r>
    <x v="342"/>
    <s v="PKG-001"/>
    <x v="0"/>
    <x v="0"/>
    <x v="0"/>
    <x v="4"/>
    <x v="3"/>
    <x v="192"/>
    <n v="35"/>
    <n v="990"/>
    <n v="7.0000000000000007E-2"/>
    <x v="0"/>
    <n v="34650"/>
    <n v="32224.5"/>
    <s v="Low"/>
  </r>
  <r>
    <x v="343"/>
    <s v="PKG-009"/>
    <x v="8"/>
    <x v="1"/>
    <x v="3"/>
    <x v="0"/>
    <x v="4"/>
    <x v="199"/>
    <n v="85"/>
    <n v="280"/>
    <n v="0.13"/>
    <x v="1"/>
    <n v="23800"/>
    <n v="20706"/>
    <s v="Low"/>
  </r>
  <r>
    <x v="344"/>
    <s v="PKG-005"/>
    <x v="4"/>
    <x v="0"/>
    <x v="3"/>
    <x v="2"/>
    <x v="1"/>
    <x v="202"/>
    <n v="174"/>
    <n v="200"/>
    <n v="0.08"/>
    <x v="0"/>
    <n v="34800"/>
    <n v="32016"/>
    <s v="Low"/>
  </r>
  <r>
    <x v="345"/>
    <s v="PKG-003"/>
    <x v="2"/>
    <x v="1"/>
    <x v="2"/>
    <x v="0"/>
    <x v="1"/>
    <x v="183"/>
    <n v="86"/>
    <n v="420"/>
    <n v="0.03"/>
    <x v="0"/>
    <n v="36120"/>
    <n v="35036.400000000001"/>
    <s v="Low"/>
  </r>
  <r>
    <x v="346"/>
    <s v="PKG-004"/>
    <x v="3"/>
    <x v="0"/>
    <x v="1"/>
    <x v="1"/>
    <x v="5"/>
    <x v="203"/>
    <n v="24"/>
    <n v="1200"/>
    <n v="0.12"/>
    <x v="0"/>
    <n v="28800"/>
    <n v="25344"/>
    <s v="Low"/>
  </r>
  <r>
    <x v="347"/>
    <s v="PKG-009"/>
    <x v="8"/>
    <x v="1"/>
    <x v="1"/>
    <x v="2"/>
    <x v="2"/>
    <x v="196"/>
    <n v="164"/>
    <n v="280"/>
    <n v="7.0000000000000007E-2"/>
    <x v="0"/>
    <n v="45920"/>
    <n v="42705.599999999999"/>
    <s v="Low"/>
  </r>
  <r>
    <x v="348"/>
    <s v="PKG-007"/>
    <x v="6"/>
    <x v="0"/>
    <x v="3"/>
    <x v="2"/>
    <x v="3"/>
    <x v="198"/>
    <n v="199"/>
    <n v="650"/>
    <n v="0"/>
    <x v="1"/>
    <n v="129350"/>
    <n v="129350"/>
    <s v="Medium"/>
  </r>
  <r>
    <x v="349"/>
    <s v="PKG-002"/>
    <x v="1"/>
    <x v="1"/>
    <x v="4"/>
    <x v="3"/>
    <x v="1"/>
    <x v="196"/>
    <n v="33"/>
    <n v="350"/>
    <n v="0"/>
    <x v="1"/>
    <n v="11550"/>
    <n v="11550"/>
    <s v="Low"/>
  </r>
  <r>
    <x v="350"/>
    <s v="PKG-005"/>
    <x v="4"/>
    <x v="0"/>
    <x v="1"/>
    <x v="3"/>
    <x v="4"/>
    <x v="182"/>
    <n v="123"/>
    <n v="200"/>
    <n v="0.15"/>
    <x v="0"/>
    <n v="24600"/>
    <n v="20910"/>
    <s v="Low"/>
  </r>
  <r>
    <x v="351"/>
    <s v="PKG-009"/>
    <x v="8"/>
    <x v="1"/>
    <x v="3"/>
    <x v="0"/>
    <x v="3"/>
    <x v="204"/>
    <n v="133"/>
    <n v="280"/>
    <n v="0.12"/>
    <x v="1"/>
    <n v="37240"/>
    <n v="32771.199999999997"/>
    <s v="Low"/>
  </r>
  <r>
    <x v="352"/>
    <s v="PKG-002"/>
    <x v="1"/>
    <x v="1"/>
    <x v="3"/>
    <x v="4"/>
    <x v="5"/>
    <x v="195"/>
    <n v="95"/>
    <n v="350"/>
    <n v="0.1"/>
    <x v="1"/>
    <n v="33250"/>
    <n v="29925"/>
    <s v="Low"/>
  </r>
  <r>
    <x v="353"/>
    <s v="PKG-002"/>
    <x v="1"/>
    <x v="1"/>
    <x v="3"/>
    <x v="1"/>
    <x v="0"/>
    <x v="202"/>
    <n v="100"/>
    <n v="350"/>
    <n v="0.12"/>
    <x v="0"/>
    <n v="35000"/>
    <n v="30800"/>
    <s v="Low"/>
  </r>
  <r>
    <x v="354"/>
    <s v="PKG-008"/>
    <x v="7"/>
    <x v="3"/>
    <x v="3"/>
    <x v="3"/>
    <x v="1"/>
    <x v="190"/>
    <n v="22"/>
    <n v="2800"/>
    <n v="0.12"/>
    <x v="0"/>
    <n v="61600"/>
    <n v="54208"/>
    <s v="Low"/>
  </r>
  <r>
    <x v="355"/>
    <s v="PKG-002"/>
    <x v="1"/>
    <x v="1"/>
    <x v="1"/>
    <x v="1"/>
    <x v="1"/>
    <x v="192"/>
    <n v="160"/>
    <n v="350"/>
    <n v="0.03"/>
    <x v="1"/>
    <n v="56000"/>
    <n v="54320"/>
    <s v="Low"/>
  </r>
  <r>
    <x v="356"/>
    <s v="PKG-003"/>
    <x v="2"/>
    <x v="1"/>
    <x v="3"/>
    <x v="3"/>
    <x v="5"/>
    <x v="201"/>
    <n v="122"/>
    <n v="420"/>
    <n v="0.08"/>
    <x v="0"/>
    <n v="51240"/>
    <n v="47140.800000000003"/>
    <s v="Low"/>
  </r>
  <r>
    <x v="357"/>
    <s v="PKG-003"/>
    <x v="2"/>
    <x v="1"/>
    <x v="3"/>
    <x v="1"/>
    <x v="2"/>
    <x v="205"/>
    <n v="147"/>
    <n v="420"/>
    <n v="0"/>
    <x v="1"/>
    <n v="61740"/>
    <n v="61740"/>
    <s v="Low"/>
  </r>
  <r>
    <x v="358"/>
    <s v="PKG-007"/>
    <x v="6"/>
    <x v="0"/>
    <x v="3"/>
    <x v="3"/>
    <x v="3"/>
    <x v="198"/>
    <n v="183"/>
    <n v="650"/>
    <n v="0.03"/>
    <x v="1"/>
    <n v="118950"/>
    <n v="115381.5"/>
    <s v="Medium"/>
  </r>
  <r>
    <x v="359"/>
    <s v="PKG-007"/>
    <x v="6"/>
    <x v="0"/>
    <x v="3"/>
    <x v="0"/>
    <x v="0"/>
    <x v="194"/>
    <n v="175"/>
    <n v="650"/>
    <n v="0"/>
    <x v="0"/>
    <n v="113750"/>
    <n v="113750"/>
    <s v="Medium"/>
  </r>
  <r>
    <x v="360"/>
    <s v="PKG-010"/>
    <x v="9"/>
    <x v="2"/>
    <x v="4"/>
    <x v="4"/>
    <x v="2"/>
    <x v="197"/>
    <n v="104"/>
    <n v="750"/>
    <n v="0.03"/>
    <x v="0"/>
    <n v="78000"/>
    <n v="75660"/>
    <s v="Low"/>
  </r>
  <r>
    <x v="361"/>
    <s v="PKG-009"/>
    <x v="8"/>
    <x v="1"/>
    <x v="3"/>
    <x v="2"/>
    <x v="2"/>
    <x v="202"/>
    <n v="137"/>
    <n v="280"/>
    <n v="0.14000000000000001"/>
    <x v="1"/>
    <n v="38360"/>
    <n v="32989.599999999999"/>
    <s v="Low"/>
  </r>
  <r>
    <x v="362"/>
    <s v="PKG-002"/>
    <x v="1"/>
    <x v="1"/>
    <x v="0"/>
    <x v="1"/>
    <x v="4"/>
    <x v="188"/>
    <n v="196"/>
    <n v="350"/>
    <n v="0.14000000000000001"/>
    <x v="0"/>
    <n v="68600"/>
    <n v="58996"/>
    <s v="Low"/>
  </r>
  <r>
    <x v="363"/>
    <s v="PKG-005"/>
    <x v="4"/>
    <x v="0"/>
    <x v="3"/>
    <x v="2"/>
    <x v="3"/>
    <x v="191"/>
    <n v="126"/>
    <n v="200"/>
    <n v="0.14000000000000001"/>
    <x v="0"/>
    <n v="25200"/>
    <n v="21672"/>
    <s v="Low"/>
  </r>
  <r>
    <x v="364"/>
    <s v="PKG-002"/>
    <x v="1"/>
    <x v="1"/>
    <x v="3"/>
    <x v="4"/>
    <x v="0"/>
    <x v="190"/>
    <n v="160"/>
    <n v="350"/>
    <n v="7.0000000000000007E-2"/>
    <x v="1"/>
    <n v="56000"/>
    <n v="52080"/>
    <s v="Low"/>
  </r>
  <r>
    <x v="365"/>
    <s v="PKG-006"/>
    <x v="5"/>
    <x v="2"/>
    <x v="4"/>
    <x v="2"/>
    <x v="5"/>
    <x v="200"/>
    <n v="67"/>
    <n v="895"/>
    <n v="0.12"/>
    <x v="0"/>
    <n v="59965"/>
    <n v="52769.2"/>
    <s v="Low"/>
  </r>
  <r>
    <x v="366"/>
    <s v="PKG-009"/>
    <x v="8"/>
    <x v="1"/>
    <x v="3"/>
    <x v="1"/>
    <x v="0"/>
    <x v="185"/>
    <n v="49"/>
    <n v="280"/>
    <n v="0.08"/>
    <x v="0"/>
    <n v="13720"/>
    <n v="12622.4"/>
    <s v="Low"/>
  </r>
  <r>
    <x v="367"/>
    <s v="PKG-008"/>
    <x v="7"/>
    <x v="3"/>
    <x v="4"/>
    <x v="2"/>
    <x v="4"/>
    <x v="204"/>
    <n v="96"/>
    <n v="2800"/>
    <n v="0.05"/>
    <x v="0"/>
    <n v="268800"/>
    <n v="255360"/>
    <s v="Medium"/>
  </r>
  <r>
    <x v="368"/>
    <s v="PKG-004"/>
    <x v="3"/>
    <x v="0"/>
    <x v="2"/>
    <x v="0"/>
    <x v="1"/>
    <x v="206"/>
    <n v="52"/>
    <n v="1200"/>
    <n v="0.03"/>
    <x v="0"/>
    <n v="62400"/>
    <n v="60528"/>
    <s v="Low"/>
  </r>
  <r>
    <x v="369"/>
    <s v="PKG-007"/>
    <x v="6"/>
    <x v="0"/>
    <x v="4"/>
    <x v="1"/>
    <x v="2"/>
    <x v="207"/>
    <n v="51"/>
    <n v="650"/>
    <n v="0.12"/>
    <x v="1"/>
    <n v="33150"/>
    <n v="29172"/>
    <s v="Low"/>
  </r>
  <r>
    <x v="370"/>
    <s v="PKG-009"/>
    <x v="8"/>
    <x v="1"/>
    <x v="4"/>
    <x v="4"/>
    <x v="5"/>
    <x v="208"/>
    <n v="58"/>
    <n v="280"/>
    <n v="0.08"/>
    <x v="0"/>
    <n v="16240"/>
    <n v="14940.8"/>
    <s v="Low"/>
  </r>
  <r>
    <x v="371"/>
    <s v="PKG-008"/>
    <x v="7"/>
    <x v="3"/>
    <x v="3"/>
    <x v="0"/>
    <x v="0"/>
    <x v="209"/>
    <n v="91"/>
    <n v="2800"/>
    <n v="0.14000000000000001"/>
    <x v="0"/>
    <n v="254800"/>
    <n v="219128"/>
    <s v="Medium"/>
  </r>
  <r>
    <x v="372"/>
    <s v="PKG-006"/>
    <x v="5"/>
    <x v="2"/>
    <x v="2"/>
    <x v="1"/>
    <x v="0"/>
    <x v="208"/>
    <n v="145"/>
    <n v="895"/>
    <n v="0.13"/>
    <x v="0"/>
    <n v="129775"/>
    <n v="112904.25"/>
    <s v="Medium"/>
  </r>
  <r>
    <x v="373"/>
    <s v="PKG-002"/>
    <x v="1"/>
    <x v="1"/>
    <x v="4"/>
    <x v="4"/>
    <x v="3"/>
    <x v="210"/>
    <n v="38"/>
    <n v="350"/>
    <n v="0.05"/>
    <x v="0"/>
    <n v="13300"/>
    <n v="12635"/>
    <s v="Low"/>
  </r>
  <r>
    <x v="374"/>
    <s v="PKG-007"/>
    <x v="6"/>
    <x v="0"/>
    <x v="3"/>
    <x v="1"/>
    <x v="4"/>
    <x v="211"/>
    <n v="187"/>
    <n v="650"/>
    <n v="0.03"/>
    <x v="0"/>
    <n v="121550"/>
    <n v="117903.5"/>
    <s v="Medium"/>
  </r>
  <r>
    <x v="375"/>
    <s v="PKG-004"/>
    <x v="3"/>
    <x v="0"/>
    <x v="1"/>
    <x v="1"/>
    <x v="1"/>
    <x v="212"/>
    <n v="22"/>
    <n v="1200"/>
    <n v="0.13"/>
    <x v="0"/>
    <n v="26400"/>
    <n v="22968"/>
    <s v="Low"/>
  </r>
  <r>
    <x v="376"/>
    <s v="PKG-005"/>
    <x v="4"/>
    <x v="0"/>
    <x v="1"/>
    <x v="1"/>
    <x v="3"/>
    <x v="213"/>
    <n v="160"/>
    <n v="200"/>
    <n v="0.03"/>
    <x v="0"/>
    <n v="32000"/>
    <n v="31040"/>
    <s v="Low"/>
  </r>
  <r>
    <x v="377"/>
    <s v="PKG-002"/>
    <x v="1"/>
    <x v="1"/>
    <x v="1"/>
    <x v="1"/>
    <x v="4"/>
    <x v="207"/>
    <n v="122"/>
    <n v="350"/>
    <n v="0.05"/>
    <x v="1"/>
    <n v="42700"/>
    <n v="40565"/>
    <s v="Low"/>
  </r>
  <r>
    <x v="378"/>
    <s v="PKG-003"/>
    <x v="2"/>
    <x v="1"/>
    <x v="2"/>
    <x v="2"/>
    <x v="0"/>
    <x v="209"/>
    <n v="193"/>
    <n v="420"/>
    <n v="0.13"/>
    <x v="0"/>
    <n v="81060"/>
    <n v="70522.2"/>
    <s v="Low"/>
  </r>
  <r>
    <x v="379"/>
    <s v="PKG-005"/>
    <x v="4"/>
    <x v="0"/>
    <x v="2"/>
    <x v="0"/>
    <x v="0"/>
    <x v="211"/>
    <n v="71"/>
    <n v="200"/>
    <n v="7.0000000000000007E-2"/>
    <x v="1"/>
    <n v="14200"/>
    <n v="13206"/>
    <s v="Low"/>
  </r>
  <r>
    <x v="380"/>
    <s v="PKG-009"/>
    <x v="8"/>
    <x v="1"/>
    <x v="2"/>
    <x v="2"/>
    <x v="2"/>
    <x v="214"/>
    <n v="249"/>
    <n v="280"/>
    <n v="0.1"/>
    <x v="0"/>
    <n v="69720"/>
    <n v="62748"/>
    <s v="Low"/>
  </r>
  <r>
    <x v="381"/>
    <s v="PKG-005"/>
    <x v="4"/>
    <x v="0"/>
    <x v="3"/>
    <x v="2"/>
    <x v="3"/>
    <x v="215"/>
    <n v="89"/>
    <n v="200"/>
    <n v="0"/>
    <x v="1"/>
    <n v="17800"/>
    <n v="17800"/>
    <s v="Low"/>
  </r>
  <r>
    <x v="382"/>
    <s v="PKG-007"/>
    <x v="6"/>
    <x v="0"/>
    <x v="0"/>
    <x v="2"/>
    <x v="0"/>
    <x v="211"/>
    <n v="180"/>
    <n v="650"/>
    <n v="0.15"/>
    <x v="1"/>
    <n v="117000"/>
    <n v="99450"/>
    <s v="Low"/>
  </r>
  <r>
    <x v="383"/>
    <s v="PKG-003"/>
    <x v="2"/>
    <x v="1"/>
    <x v="2"/>
    <x v="3"/>
    <x v="1"/>
    <x v="216"/>
    <n v="152"/>
    <n v="420"/>
    <n v="7.0000000000000007E-2"/>
    <x v="0"/>
    <n v="63840"/>
    <n v="59371.199999999997"/>
    <s v="Low"/>
  </r>
  <r>
    <x v="384"/>
    <s v="PKG-009"/>
    <x v="8"/>
    <x v="1"/>
    <x v="2"/>
    <x v="2"/>
    <x v="4"/>
    <x v="213"/>
    <n v="236"/>
    <n v="280"/>
    <n v="0"/>
    <x v="1"/>
    <n v="66080"/>
    <n v="66080"/>
    <s v="Low"/>
  </r>
  <r>
    <x v="385"/>
    <s v="PKG-002"/>
    <x v="1"/>
    <x v="1"/>
    <x v="4"/>
    <x v="1"/>
    <x v="3"/>
    <x v="217"/>
    <n v="176"/>
    <n v="350"/>
    <n v="0.03"/>
    <x v="0"/>
    <n v="61600"/>
    <n v="59752"/>
    <s v="Low"/>
  </r>
  <r>
    <x v="386"/>
    <s v="PKG-009"/>
    <x v="8"/>
    <x v="1"/>
    <x v="3"/>
    <x v="1"/>
    <x v="3"/>
    <x v="209"/>
    <n v="60"/>
    <n v="280"/>
    <n v="0.1"/>
    <x v="1"/>
    <n v="16800"/>
    <n v="15120"/>
    <s v="Low"/>
  </r>
  <r>
    <x v="387"/>
    <s v="PKG-003"/>
    <x v="2"/>
    <x v="1"/>
    <x v="0"/>
    <x v="4"/>
    <x v="0"/>
    <x v="213"/>
    <n v="67"/>
    <n v="420"/>
    <n v="0.03"/>
    <x v="1"/>
    <n v="28140"/>
    <n v="27295.8"/>
    <s v="Low"/>
  </r>
  <r>
    <x v="388"/>
    <s v="PKG-010"/>
    <x v="9"/>
    <x v="2"/>
    <x v="3"/>
    <x v="4"/>
    <x v="3"/>
    <x v="218"/>
    <n v="120"/>
    <n v="750"/>
    <n v="0.1"/>
    <x v="0"/>
    <n v="90000"/>
    <n v="81000"/>
    <s v="Low"/>
  </r>
  <r>
    <x v="389"/>
    <s v="PKG-002"/>
    <x v="1"/>
    <x v="1"/>
    <x v="4"/>
    <x v="1"/>
    <x v="5"/>
    <x v="212"/>
    <n v="150"/>
    <n v="350"/>
    <n v="0.15"/>
    <x v="1"/>
    <n v="52500"/>
    <n v="44625"/>
    <s v="Low"/>
  </r>
  <r>
    <x v="390"/>
    <s v="PKG-009"/>
    <x v="8"/>
    <x v="1"/>
    <x v="1"/>
    <x v="4"/>
    <x v="1"/>
    <x v="219"/>
    <n v="145"/>
    <n v="280"/>
    <n v="0.14000000000000001"/>
    <x v="0"/>
    <n v="40600"/>
    <n v="34916"/>
    <s v="Low"/>
  </r>
  <r>
    <x v="391"/>
    <s v="PKG-009"/>
    <x v="8"/>
    <x v="1"/>
    <x v="0"/>
    <x v="2"/>
    <x v="1"/>
    <x v="208"/>
    <n v="113"/>
    <n v="280"/>
    <n v="0.03"/>
    <x v="0"/>
    <n v="31640"/>
    <n v="30690.799999999999"/>
    <s v="Low"/>
  </r>
  <r>
    <x v="392"/>
    <s v="PKG-010"/>
    <x v="9"/>
    <x v="2"/>
    <x v="2"/>
    <x v="3"/>
    <x v="4"/>
    <x v="220"/>
    <n v="106"/>
    <n v="750"/>
    <n v="0"/>
    <x v="0"/>
    <n v="79500"/>
    <n v="79500"/>
    <s v="Low"/>
  </r>
  <r>
    <x v="393"/>
    <s v="PKG-009"/>
    <x v="8"/>
    <x v="1"/>
    <x v="1"/>
    <x v="4"/>
    <x v="3"/>
    <x v="221"/>
    <n v="92"/>
    <n v="280"/>
    <n v="0.15"/>
    <x v="1"/>
    <n v="25760"/>
    <n v="21896"/>
    <s v="Low"/>
  </r>
  <r>
    <x v="394"/>
    <s v="PKG-010"/>
    <x v="9"/>
    <x v="2"/>
    <x v="1"/>
    <x v="1"/>
    <x v="4"/>
    <x v="222"/>
    <n v="40"/>
    <n v="750"/>
    <n v="0.1"/>
    <x v="0"/>
    <n v="30000"/>
    <n v="27000"/>
    <s v="Low"/>
  </r>
  <r>
    <x v="395"/>
    <s v="PKG-004"/>
    <x v="3"/>
    <x v="0"/>
    <x v="4"/>
    <x v="2"/>
    <x v="2"/>
    <x v="223"/>
    <n v="115"/>
    <n v="1200"/>
    <n v="0.03"/>
    <x v="0"/>
    <n v="138000"/>
    <n v="133860"/>
    <s v="Medium"/>
  </r>
  <r>
    <x v="396"/>
    <s v="PKG-010"/>
    <x v="9"/>
    <x v="2"/>
    <x v="3"/>
    <x v="2"/>
    <x v="3"/>
    <x v="224"/>
    <n v="70"/>
    <n v="750"/>
    <n v="0.15"/>
    <x v="0"/>
    <n v="52500"/>
    <n v="44625"/>
    <s v="Low"/>
  </r>
  <r>
    <x v="397"/>
    <s v="PKG-004"/>
    <x v="3"/>
    <x v="0"/>
    <x v="0"/>
    <x v="4"/>
    <x v="5"/>
    <x v="215"/>
    <n v="136"/>
    <n v="1200"/>
    <n v="0"/>
    <x v="0"/>
    <n v="163200"/>
    <n v="163200"/>
    <s v="Medium"/>
  </r>
  <r>
    <x v="398"/>
    <s v="PKG-001"/>
    <x v="0"/>
    <x v="0"/>
    <x v="4"/>
    <x v="1"/>
    <x v="4"/>
    <x v="225"/>
    <n v="42"/>
    <n v="990"/>
    <n v="0"/>
    <x v="0"/>
    <n v="41580"/>
    <n v="41580"/>
    <s v="Low"/>
  </r>
  <r>
    <x v="399"/>
    <s v="PKG-004"/>
    <x v="3"/>
    <x v="0"/>
    <x v="0"/>
    <x v="2"/>
    <x v="1"/>
    <x v="210"/>
    <n v="62"/>
    <n v="1200"/>
    <n v="0.15"/>
    <x v="0"/>
    <n v="74400"/>
    <n v="63240"/>
    <s v="Low"/>
  </r>
  <r>
    <x v="400"/>
    <s v="PKG-005"/>
    <x v="4"/>
    <x v="0"/>
    <x v="3"/>
    <x v="0"/>
    <x v="2"/>
    <x v="212"/>
    <n v="227"/>
    <n v="200"/>
    <n v="0"/>
    <x v="0"/>
    <n v="45400"/>
    <n v="45400"/>
    <s v="Low"/>
  </r>
  <r>
    <x v="401"/>
    <s v="PKG-005"/>
    <x v="4"/>
    <x v="0"/>
    <x v="0"/>
    <x v="1"/>
    <x v="2"/>
    <x v="226"/>
    <n v="46"/>
    <n v="200"/>
    <n v="0.05"/>
    <x v="0"/>
    <n v="9200"/>
    <n v="8740"/>
    <s v="Low"/>
  </r>
  <r>
    <x v="402"/>
    <s v="PKG-005"/>
    <x v="4"/>
    <x v="0"/>
    <x v="2"/>
    <x v="4"/>
    <x v="5"/>
    <x v="227"/>
    <n v="123"/>
    <n v="200"/>
    <n v="0.15"/>
    <x v="1"/>
    <n v="24600"/>
    <n v="20910"/>
    <s v="Low"/>
  </r>
  <r>
    <x v="403"/>
    <s v="PKG-009"/>
    <x v="8"/>
    <x v="1"/>
    <x v="0"/>
    <x v="3"/>
    <x v="5"/>
    <x v="208"/>
    <n v="243"/>
    <n v="280"/>
    <n v="0.11"/>
    <x v="0"/>
    <n v="68040"/>
    <n v="60555.6"/>
    <s v="Low"/>
  </r>
  <r>
    <x v="404"/>
    <s v="PKG-001"/>
    <x v="0"/>
    <x v="0"/>
    <x v="1"/>
    <x v="3"/>
    <x v="2"/>
    <x v="228"/>
    <n v="74"/>
    <n v="990"/>
    <n v="0"/>
    <x v="0"/>
    <n v="73260"/>
    <n v="73260"/>
    <s v="Low"/>
  </r>
  <r>
    <x v="405"/>
    <s v="PKG-002"/>
    <x v="1"/>
    <x v="1"/>
    <x v="0"/>
    <x v="4"/>
    <x v="3"/>
    <x v="221"/>
    <n v="128"/>
    <n v="350"/>
    <n v="7.0000000000000007E-2"/>
    <x v="0"/>
    <n v="44800"/>
    <n v="41664"/>
    <s v="Low"/>
  </r>
  <r>
    <x v="406"/>
    <s v="PKG-004"/>
    <x v="3"/>
    <x v="0"/>
    <x v="4"/>
    <x v="1"/>
    <x v="2"/>
    <x v="229"/>
    <n v="27"/>
    <n v="1200"/>
    <n v="0"/>
    <x v="1"/>
    <n v="32400"/>
    <n v="32400"/>
    <s v="Low"/>
  </r>
  <r>
    <x v="407"/>
    <s v="PKG-001"/>
    <x v="0"/>
    <x v="0"/>
    <x v="2"/>
    <x v="4"/>
    <x v="3"/>
    <x v="230"/>
    <n v="82"/>
    <n v="990"/>
    <n v="0.14000000000000001"/>
    <x v="0"/>
    <n v="81180"/>
    <n v="69814.8"/>
    <s v="Low"/>
  </r>
  <r>
    <x v="408"/>
    <s v="PKG-007"/>
    <x v="6"/>
    <x v="0"/>
    <x v="3"/>
    <x v="1"/>
    <x v="4"/>
    <x v="226"/>
    <n v="165"/>
    <n v="650"/>
    <n v="0.15"/>
    <x v="0"/>
    <n v="107250"/>
    <n v="91162.5"/>
    <s v="Low"/>
  </r>
  <r>
    <x v="409"/>
    <s v="PKG-010"/>
    <x v="9"/>
    <x v="2"/>
    <x v="2"/>
    <x v="0"/>
    <x v="1"/>
    <x v="212"/>
    <n v="38"/>
    <n v="750"/>
    <n v="0.11"/>
    <x v="0"/>
    <n v="28500"/>
    <n v="25365"/>
    <s v="Low"/>
  </r>
  <r>
    <x v="410"/>
    <s v="PKG-006"/>
    <x v="5"/>
    <x v="2"/>
    <x v="0"/>
    <x v="1"/>
    <x v="1"/>
    <x v="213"/>
    <n v="131"/>
    <n v="895"/>
    <n v="0.13"/>
    <x v="0"/>
    <n v="117245"/>
    <n v="102003.15"/>
    <s v="Medium"/>
  </r>
  <r>
    <x v="411"/>
    <s v="PKG-002"/>
    <x v="1"/>
    <x v="1"/>
    <x v="1"/>
    <x v="3"/>
    <x v="2"/>
    <x v="225"/>
    <n v="83"/>
    <n v="350"/>
    <n v="0.1"/>
    <x v="0"/>
    <n v="29050"/>
    <n v="26145"/>
    <s v="Low"/>
  </r>
  <r>
    <x v="412"/>
    <s v="PKG-004"/>
    <x v="3"/>
    <x v="0"/>
    <x v="1"/>
    <x v="4"/>
    <x v="1"/>
    <x v="218"/>
    <n v="119"/>
    <n v="1200"/>
    <n v="0.15"/>
    <x v="0"/>
    <n v="142800"/>
    <n v="121380"/>
    <s v="Medium"/>
  </r>
  <r>
    <x v="413"/>
    <s v="PKG-009"/>
    <x v="8"/>
    <x v="1"/>
    <x v="4"/>
    <x v="0"/>
    <x v="3"/>
    <x v="231"/>
    <n v="119"/>
    <n v="280"/>
    <n v="0.14000000000000001"/>
    <x v="0"/>
    <n v="33320"/>
    <n v="28655.200000000001"/>
    <s v="Low"/>
  </r>
  <r>
    <x v="414"/>
    <s v="PKG-002"/>
    <x v="1"/>
    <x v="1"/>
    <x v="2"/>
    <x v="0"/>
    <x v="0"/>
    <x v="213"/>
    <n v="39"/>
    <n v="350"/>
    <n v="0.15"/>
    <x v="0"/>
    <n v="13650"/>
    <n v="11602.5"/>
    <s v="Low"/>
  </r>
  <r>
    <x v="415"/>
    <s v="PKG-009"/>
    <x v="8"/>
    <x v="1"/>
    <x v="1"/>
    <x v="4"/>
    <x v="2"/>
    <x v="213"/>
    <n v="87"/>
    <n v="280"/>
    <n v="0"/>
    <x v="0"/>
    <n v="24360"/>
    <n v="24360"/>
    <s v="Low"/>
  </r>
  <r>
    <x v="416"/>
    <s v="PKG-003"/>
    <x v="2"/>
    <x v="1"/>
    <x v="3"/>
    <x v="2"/>
    <x v="3"/>
    <x v="215"/>
    <n v="131"/>
    <n v="420"/>
    <n v="0"/>
    <x v="0"/>
    <n v="55020"/>
    <n v="55020"/>
    <s v="Low"/>
  </r>
  <r>
    <x v="417"/>
    <s v="PKG-007"/>
    <x v="6"/>
    <x v="0"/>
    <x v="0"/>
    <x v="2"/>
    <x v="4"/>
    <x v="229"/>
    <n v="71"/>
    <n v="650"/>
    <n v="0.11"/>
    <x v="0"/>
    <n v="46150"/>
    <n v="41073.5"/>
    <s v="Low"/>
  </r>
  <r>
    <x v="418"/>
    <s v="PKG-006"/>
    <x v="5"/>
    <x v="2"/>
    <x v="4"/>
    <x v="3"/>
    <x v="0"/>
    <x v="232"/>
    <n v="29"/>
    <n v="895"/>
    <n v="0.1"/>
    <x v="0"/>
    <n v="25955"/>
    <n v="23359.5"/>
    <s v="Low"/>
  </r>
  <r>
    <x v="419"/>
    <s v="PKG-003"/>
    <x v="2"/>
    <x v="1"/>
    <x v="0"/>
    <x v="0"/>
    <x v="0"/>
    <x v="224"/>
    <n v="70"/>
    <n v="420"/>
    <n v="0.03"/>
    <x v="1"/>
    <n v="29400"/>
    <n v="28518"/>
    <s v="Low"/>
  </r>
  <r>
    <x v="420"/>
    <s v="PKG-001"/>
    <x v="0"/>
    <x v="0"/>
    <x v="1"/>
    <x v="2"/>
    <x v="0"/>
    <x v="232"/>
    <n v="112"/>
    <n v="990"/>
    <n v="0.15"/>
    <x v="0"/>
    <n v="110880"/>
    <n v="94248"/>
    <s v="Low"/>
  </r>
  <r>
    <x v="421"/>
    <s v="PKG-001"/>
    <x v="0"/>
    <x v="0"/>
    <x v="4"/>
    <x v="0"/>
    <x v="1"/>
    <x v="228"/>
    <n v="86"/>
    <n v="990"/>
    <n v="0"/>
    <x v="1"/>
    <n v="85140"/>
    <n v="85140"/>
    <s v="Low"/>
  </r>
  <r>
    <x v="422"/>
    <s v="PKG-005"/>
    <x v="4"/>
    <x v="0"/>
    <x v="3"/>
    <x v="2"/>
    <x v="3"/>
    <x v="230"/>
    <n v="40"/>
    <n v="200"/>
    <n v="0.13"/>
    <x v="0"/>
    <n v="8000"/>
    <n v="6960"/>
    <s v="Low"/>
  </r>
  <r>
    <x v="423"/>
    <s v="PKG-009"/>
    <x v="8"/>
    <x v="1"/>
    <x v="3"/>
    <x v="3"/>
    <x v="0"/>
    <x v="232"/>
    <n v="179"/>
    <n v="280"/>
    <n v="0.13"/>
    <x v="0"/>
    <n v="50120"/>
    <n v="43604.4"/>
    <s v="Low"/>
  </r>
  <r>
    <x v="424"/>
    <s v="PKG-009"/>
    <x v="8"/>
    <x v="1"/>
    <x v="2"/>
    <x v="4"/>
    <x v="2"/>
    <x v="224"/>
    <n v="160"/>
    <n v="280"/>
    <n v="0.1"/>
    <x v="0"/>
    <n v="44800"/>
    <n v="40320"/>
    <s v="Low"/>
  </r>
  <r>
    <x v="425"/>
    <s v="PKG-006"/>
    <x v="5"/>
    <x v="2"/>
    <x v="3"/>
    <x v="4"/>
    <x v="0"/>
    <x v="223"/>
    <n v="24"/>
    <n v="895"/>
    <n v="0.03"/>
    <x v="0"/>
    <n v="21480"/>
    <n v="20835.599999999999"/>
    <s v="Low"/>
  </r>
  <r>
    <x v="426"/>
    <s v="PKG-004"/>
    <x v="3"/>
    <x v="0"/>
    <x v="4"/>
    <x v="3"/>
    <x v="0"/>
    <x v="229"/>
    <n v="115"/>
    <n v="1200"/>
    <n v="0"/>
    <x v="0"/>
    <n v="138000"/>
    <n v="138000"/>
    <s v="Medium"/>
  </r>
  <r>
    <x v="427"/>
    <s v="PKG-009"/>
    <x v="8"/>
    <x v="1"/>
    <x v="0"/>
    <x v="2"/>
    <x v="0"/>
    <x v="213"/>
    <n v="68"/>
    <n v="280"/>
    <n v="0.15"/>
    <x v="0"/>
    <n v="19040"/>
    <n v="16184"/>
    <s v="Low"/>
  </r>
  <r>
    <x v="428"/>
    <s v="PKG-008"/>
    <x v="7"/>
    <x v="3"/>
    <x v="4"/>
    <x v="2"/>
    <x v="3"/>
    <x v="220"/>
    <n v="78"/>
    <n v="2800"/>
    <n v="7.0000000000000007E-2"/>
    <x v="1"/>
    <n v="218400"/>
    <n v="203112"/>
    <s v="Medium"/>
  </r>
  <r>
    <x v="429"/>
    <s v="PKG-010"/>
    <x v="9"/>
    <x v="2"/>
    <x v="4"/>
    <x v="0"/>
    <x v="0"/>
    <x v="210"/>
    <n v="146"/>
    <n v="750"/>
    <n v="0.1"/>
    <x v="1"/>
    <n v="109500"/>
    <n v="98550"/>
    <s v="Low"/>
  </r>
  <r>
    <x v="430"/>
    <s v="PKG-005"/>
    <x v="4"/>
    <x v="0"/>
    <x v="3"/>
    <x v="2"/>
    <x v="1"/>
    <x v="221"/>
    <n v="228"/>
    <n v="200"/>
    <n v="0.14000000000000001"/>
    <x v="1"/>
    <n v="45600"/>
    <n v="39216"/>
    <s v="Low"/>
  </r>
  <r>
    <x v="431"/>
    <s v="PKG-007"/>
    <x v="6"/>
    <x v="0"/>
    <x v="1"/>
    <x v="4"/>
    <x v="1"/>
    <x v="215"/>
    <n v="97"/>
    <n v="650"/>
    <n v="0.08"/>
    <x v="0"/>
    <n v="63050"/>
    <n v="58006"/>
    <s v="Low"/>
  </r>
  <r>
    <x v="432"/>
    <s v="PKG-002"/>
    <x v="1"/>
    <x v="1"/>
    <x v="2"/>
    <x v="0"/>
    <x v="5"/>
    <x v="214"/>
    <n v="194"/>
    <n v="350"/>
    <n v="0.11"/>
    <x v="1"/>
    <n v="67900"/>
    <n v="60431"/>
    <s v="Low"/>
  </r>
  <r>
    <x v="433"/>
    <s v="PKG-001"/>
    <x v="0"/>
    <x v="0"/>
    <x v="3"/>
    <x v="0"/>
    <x v="1"/>
    <x v="224"/>
    <n v="106"/>
    <n v="990"/>
    <n v="0.13"/>
    <x v="0"/>
    <n v="104940"/>
    <n v="91297.8"/>
    <s v="Low"/>
  </r>
  <r>
    <x v="434"/>
    <s v="PKG-004"/>
    <x v="3"/>
    <x v="0"/>
    <x v="4"/>
    <x v="1"/>
    <x v="1"/>
    <x v="233"/>
    <n v="49"/>
    <n v="1200"/>
    <n v="0.12"/>
    <x v="0"/>
    <n v="58800"/>
    <n v="51744"/>
    <s v="Low"/>
  </r>
  <r>
    <x v="435"/>
    <s v="PKG-010"/>
    <x v="9"/>
    <x v="2"/>
    <x v="3"/>
    <x v="4"/>
    <x v="1"/>
    <x v="234"/>
    <n v="128"/>
    <n v="750"/>
    <n v="0.15"/>
    <x v="0"/>
    <n v="96000"/>
    <n v="81600"/>
    <s v="Low"/>
  </r>
  <r>
    <x v="436"/>
    <s v="PKG-001"/>
    <x v="0"/>
    <x v="0"/>
    <x v="2"/>
    <x v="1"/>
    <x v="5"/>
    <x v="233"/>
    <n v="57"/>
    <n v="990"/>
    <n v="0.08"/>
    <x v="0"/>
    <n v="56430"/>
    <n v="51915.6"/>
    <s v="Low"/>
  </r>
  <r>
    <x v="437"/>
    <s v="PKG-003"/>
    <x v="2"/>
    <x v="1"/>
    <x v="3"/>
    <x v="4"/>
    <x v="4"/>
    <x v="235"/>
    <n v="121"/>
    <n v="420"/>
    <n v="0.11"/>
    <x v="0"/>
    <n v="50820"/>
    <n v="45229.8"/>
    <s v="Low"/>
  </r>
  <r>
    <x v="438"/>
    <s v="PKG-009"/>
    <x v="8"/>
    <x v="1"/>
    <x v="4"/>
    <x v="4"/>
    <x v="5"/>
    <x v="236"/>
    <n v="89"/>
    <n v="280"/>
    <n v="0.05"/>
    <x v="0"/>
    <n v="24920"/>
    <n v="23674"/>
    <s v="Low"/>
  </r>
  <r>
    <x v="439"/>
    <s v="PKG-007"/>
    <x v="6"/>
    <x v="0"/>
    <x v="3"/>
    <x v="0"/>
    <x v="1"/>
    <x v="237"/>
    <n v="54"/>
    <n v="650"/>
    <n v="0.1"/>
    <x v="0"/>
    <n v="35100"/>
    <n v="31590"/>
    <s v="Low"/>
  </r>
  <r>
    <x v="440"/>
    <s v="PKG-004"/>
    <x v="3"/>
    <x v="0"/>
    <x v="1"/>
    <x v="0"/>
    <x v="1"/>
    <x v="238"/>
    <n v="39"/>
    <n v="1200"/>
    <n v="0"/>
    <x v="0"/>
    <n v="46800"/>
    <n v="46800"/>
    <s v="Low"/>
  </r>
  <r>
    <x v="441"/>
    <s v="PKG-009"/>
    <x v="8"/>
    <x v="1"/>
    <x v="4"/>
    <x v="1"/>
    <x v="1"/>
    <x v="239"/>
    <n v="54"/>
    <n v="280"/>
    <n v="0.08"/>
    <x v="1"/>
    <n v="15120"/>
    <n v="13910.4"/>
    <s v="Low"/>
  </r>
  <r>
    <x v="442"/>
    <s v="PKG-009"/>
    <x v="8"/>
    <x v="1"/>
    <x v="2"/>
    <x v="2"/>
    <x v="1"/>
    <x v="240"/>
    <n v="215"/>
    <n v="280"/>
    <n v="0.03"/>
    <x v="0"/>
    <n v="60200"/>
    <n v="58394"/>
    <s v="Low"/>
  </r>
  <r>
    <x v="443"/>
    <s v="PKG-002"/>
    <x v="1"/>
    <x v="1"/>
    <x v="1"/>
    <x v="1"/>
    <x v="4"/>
    <x v="238"/>
    <n v="179"/>
    <n v="350"/>
    <n v="0.14000000000000001"/>
    <x v="0"/>
    <n v="62650"/>
    <n v="53879"/>
    <s v="Low"/>
  </r>
  <r>
    <x v="444"/>
    <s v="PKG-007"/>
    <x v="6"/>
    <x v="0"/>
    <x v="2"/>
    <x v="2"/>
    <x v="3"/>
    <x v="241"/>
    <n v="178"/>
    <n v="650"/>
    <n v="7.0000000000000007E-2"/>
    <x v="1"/>
    <n v="115700"/>
    <n v="107601"/>
    <s v="Medium"/>
  </r>
  <r>
    <x v="445"/>
    <s v="PKG-005"/>
    <x v="4"/>
    <x v="0"/>
    <x v="0"/>
    <x v="2"/>
    <x v="3"/>
    <x v="242"/>
    <n v="122"/>
    <n v="200"/>
    <n v="0.1"/>
    <x v="0"/>
    <n v="24400"/>
    <n v="21960"/>
    <s v="Low"/>
  </r>
  <r>
    <x v="446"/>
    <s v="PKG-009"/>
    <x v="8"/>
    <x v="1"/>
    <x v="2"/>
    <x v="2"/>
    <x v="3"/>
    <x v="243"/>
    <n v="102"/>
    <n v="280"/>
    <n v="7.0000000000000007E-2"/>
    <x v="1"/>
    <n v="28560"/>
    <n v="26560.799999999999"/>
    <s v="Low"/>
  </r>
  <r>
    <x v="447"/>
    <s v="PKG-007"/>
    <x v="6"/>
    <x v="0"/>
    <x v="4"/>
    <x v="4"/>
    <x v="1"/>
    <x v="244"/>
    <n v="92"/>
    <n v="650"/>
    <n v="0.03"/>
    <x v="0"/>
    <n v="59800"/>
    <n v="58006"/>
    <s v="Low"/>
  </r>
  <r>
    <x v="448"/>
    <s v="PKG-005"/>
    <x v="4"/>
    <x v="0"/>
    <x v="1"/>
    <x v="0"/>
    <x v="5"/>
    <x v="238"/>
    <n v="92"/>
    <n v="200"/>
    <n v="0.14000000000000001"/>
    <x v="0"/>
    <n v="18400"/>
    <n v="15824"/>
    <s v="Low"/>
  </r>
  <r>
    <x v="449"/>
    <s v="PKG-004"/>
    <x v="3"/>
    <x v="0"/>
    <x v="0"/>
    <x v="4"/>
    <x v="4"/>
    <x v="245"/>
    <n v="90"/>
    <n v="1200"/>
    <n v="0.08"/>
    <x v="1"/>
    <n v="108000"/>
    <n v="99360"/>
    <s v="Low"/>
  </r>
  <r>
    <x v="450"/>
    <s v="PKG-004"/>
    <x v="3"/>
    <x v="0"/>
    <x v="3"/>
    <x v="2"/>
    <x v="5"/>
    <x v="246"/>
    <n v="83"/>
    <n v="1200"/>
    <n v="0.03"/>
    <x v="1"/>
    <n v="99600"/>
    <n v="96612"/>
    <s v="Low"/>
  </r>
  <r>
    <x v="451"/>
    <s v="PKG-007"/>
    <x v="6"/>
    <x v="0"/>
    <x v="3"/>
    <x v="4"/>
    <x v="2"/>
    <x v="247"/>
    <n v="102"/>
    <n v="650"/>
    <n v="7.0000000000000007E-2"/>
    <x v="0"/>
    <n v="66300"/>
    <n v="61659"/>
    <s v="Low"/>
  </r>
  <r>
    <x v="452"/>
    <s v="PKG-009"/>
    <x v="8"/>
    <x v="1"/>
    <x v="4"/>
    <x v="3"/>
    <x v="3"/>
    <x v="246"/>
    <n v="72"/>
    <n v="280"/>
    <n v="0"/>
    <x v="0"/>
    <n v="20160"/>
    <n v="20160"/>
    <s v="Low"/>
  </r>
  <r>
    <x v="453"/>
    <s v="PKG-004"/>
    <x v="3"/>
    <x v="0"/>
    <x v="1"/>
    <x v="2"/>
    <x v="3"/>
    <x v="248"/>
    <n v="109"/>
    <n v="1200"/>
    <n v="0"/>
    <x v="1"/>
    <n v="130800"/>
    <n v="130800"/>
    <s v="Medium"/>
  </r>
  <r>
    <x v="454"/>
    <s v="PKG-007"/>
    <x v="6"/>
    <x v="0"/>
    <x v="0"/>
    <x v="2"/>
    <x v="3"/>
    <x v="249"/>
    <n v="187"/>
    <n v="650"/>
    <n v="0.08"/>
    <x v="0"/>
    <n v="121550"/>
    <n v="111826"/>
    <s v="Medium"/>
  </r>
  <r>
    <x v="455"/>
    <s v="PKG-004"/>
    <x v="3"/>
    <x v="0"/>
    <x v="4"/>
    <x v="0"/>
    <x v="3"/>
    <x v="245"/>
    <n v="75"/>
    <n v="1200"/>
    <n v="0"/>
    <x v="0"/>
    <n v="90000"/>
    <n v="90000"/>
    <s v="Low"/>
  </r>
  <r>
    <x v="456"/>
    <s v="PKG-003"/>
    <x v="2"/>
    <x v="1"/>
    <x v="1"/>
    <x v="3"/>
    <x v="1"/>
    <x v="233"/>
    <n v="53"/>
    <n v="420"/>
    <n v="0.1"/>
    <x v="0"/>
    <n v="22260"/>
    <n v="20034"/>
    <s v="Low"/>
  </r>
  <r>
    <x v="457"/>
    <s v="PKG-005"/>
    <x v="4"/>
    <x v="0"/>
    <x v="0"/>
    <x v="0"/>
    <x v="4"/>
    <x v="249"/>
    <n v="170"/>
    <n v="200"/>
    <n v="0"/>
    <x v="1"/>
    <n v="34000"/>
    <n v="34000"/>
    <s v="Low"/>
  </r>
  <r>
    <x v="458"/>
    <s v="PKG-003"/>
    <x v="2"/>
    <x v="1"/>
    <x v="4"/>
    <x v="4"/>
    <x v="4"/>
    <x v="250"/>
    <n v="153"/>
    <n v="420"/>
    <n v="0.05"/>
    <x v="0"/>
    <n v="64260"/>
    <n v="61047"/>
    <s v="Low"/>
  </r>
  <r>
    <x v="459"/>
    <s v="PKG-003"/>
    <x v="2"/>
    <x v="1"/>
    <x v="3"/>
    <x v="4"/>
    <x v="5"/>
    <x v="241"/>
    <n v="158"/>
    <n v="420"/>
    <n v="0.12"/>
    <x v="0"/>
    <n v="66360"/>
    <n v="58396.800000000003"/>
    <s v="Low"/>
  </r>
  <r>
    <x v="460"/>
    <s v="PKG-006"/>
    <x v="5"/>
    <x v="2"/>
    <x v="4"/>
    <x v="0"/>
    <x v="0"/>
    <x v="251"/>
    <n v="37"/>
    <n v="895"/>
    <n v="0.13"/>
    <x v="0"/>
    <n v="33115"/>
    <n v="28810.05"/>
    <s v="Low"/>
  </r>
  <r>
    <x v="461"/>
    <s v="PKG-004"/>
    <x v="3"/>
    <x v="0"/>
    <x v="4"/>
    <x v="4"/>
    <x v="1"/>
    <x v="252"/>
    <n v="136"/>
    <n v="1200"/>
    <n v="0"/>
    <x v="0"/>
    <n v="163200"/>
    <n v="163200"/>
    <s v="Medium"/>
  </r>
  <r>
    <x v="462"/>
    <s v="PKG-008"/>
    <x v="7"/>
    <x v="3"/>
    <x v="2"/>
    <x v="1"/>
    <x v="5"/>
    <x v="240"/>
    <n v="55"/>
    <n v="2800"/>
    <n v="0.1"/>
    <x v="1"/>
    <n v="154000"/>
    <n v="138600"/>
    <s v="Medium"/>
  </r>
  <r>
    <x v="463"/>
    <s v="PKG-003"/>
    <x v="2"/>
    <x v="1"/>
    <x v="1"/>
    <x v="1"/>
    <x v="0"/>
    <x v="241"/>
    <n v="43"/>
    <n v="420"/>
    <n v="0.1"/>
    <x v="0"/>
    <n v="18060"/>
    <n v="16254"/>
    <s v="Low"/>
  </r>
  <r>
    <x v="464"/>
    <s v="PKG-003"/>
    <x v="2"/>
    <x v="1"/>
    <x v="1"/>
    <x v="4"/>
    <x v="0"/>
    <x v="235"/>
    <n v="178"/>
    <n v="420"/>
    <n v="0"/>
    <x v="0"/>
    <n v="74760"/>
    <n v="74760"/>
    <s v="Low"/>
  </r>
  <r>
    <x v="465"/>
    <s v="PKG-006"/>
    <x v="5"/>
    <x v="2"/>
    <x v="3"/>
    <x v="2"/>
    <x v="0"/>
    <x v="246"/>
    <n v="143"/>
    <n v="895"/>
    <n v="0.13"/>
    <x v="0"/>
    <n v="127985"/>
    <n v="111346.95"/>
    <s v="Medium"/>
  </r>
  <r>
    <x v="466"/>
    <s v="PKG-006"/>
    <x v="5"/>
    <x v="2"/>
    <x v="0"/>
    <x v="0"/>
    <x v="2"/>
    <x v="240"/>
    <n v="150"/>
    <n v="895"/>
    <n v="0.15"/>
    <x v="0"/>
    <n v="134250"/>
    <n v="114112.5"/>
    <s v="Medium"/>
  </r>
  <r>
    <x v="467"/>
    <s v="PKG-009"/>
    <x v="8"/>
    <x v="1"/>
    <x v="1"/>
    <x v="1"/>
    <x v="3"/>
    <x v="252"/>
    <n v="96"/>
    <n v="280"/>
    <n v="0.14000000000000001"/>
    <x v="1"/>
    <n v="26880"/>
    <n v="23116.799999999999"/>
    <s v="Low"/>
  </r>
  <r>
    <x v="468"/>
    <s v="PKG-002"/>
    <x v="1"/>
    <x v="1"/>
    <x v="1"/>
    <x v="4"/>
    <x v="1"/>
    <x v="253"/>
    <n v="103"/>
    <n v="350"/>
    <n v="0.14000000000000001"/>
    <x v="0"/>
    <n v="36050"/>
    <n v="31003"/>
    <s v="Low"/>
  </r>
  <r>
    <x v="469"/>
    <s v="PKG-010"/>
    <x v="9"/>
    <x v="2"/>
    <x v="0"/>
    <x v="1"/>
    <x v="2"/>
    <x v="253"/>
    <n v="73"/>
    <n v="750"/>
    <n v="0.1"/>
    <x v="1"/>
    <n v="54750"/>
    <n v="49275"/>
    <s v="Low"/>
  </r>
  <r>
    <x v="470"/>
    <s v="PKG-008"/>
    <x v="7"/>
    <x v="3"/>
    <x v="4"/>
    <x v="3"/>
    <x v="0"/>
    <x v="239"/>
    <n v="41"/>
    <n v="2800"/>
    <n v="0"/>
    <x v="0"/>
    <n v="114800"/>
    <n v="114800"/>
    <s v="Medium"/>
  </r>
  <r>
    <x v="471"/>
    <s v="PKG-003"/>
    <x v="2"/>
    <x v="1"/>
    <x v="0"/>
    <x v="2"/>
    <x v="2"/>
    <x v="252"/>
    <n v="159"/>
    <n v="420"/>
    <n v="0.12"/>
    <x v="0"/>
    <n v="66780"/>
    <n v="58766.400000000001"/>
    <s v="Low"/>
  </r>
  <r>
    <x v="472"/>
    <s v="PKG-005"/>
    <x v="4"/>
    <x v="0"/>
    <x v="3"/>
    <x v="2"/>
    <x v="3"/>
    <x v="254"/>
    <n v="172"/>
    <n v="200"/>
    <n v="0.15"/>
    <x v="0"/>
    <n v="34400"/>
    <n v="29240"/>
    <s v="Low"/>
  </r>
  <r>
    <x v="473"/>
    <s v="PKG-001"/>
    <x v="0"/>
    <x v="0"/>
    <x v="1"/>
    <x v="4"/>
    <x v="2"/>
    <x v="255"/>
    <n v="82"/>
    <n v="990"/>
    <n v="0.14000000000000001"/>
    <x v="0"/>
    <n v="81180"/>
    <n v="69814.8"/>
    <s v="Low"/>
  </r>
  <r>
    <x v="474"/>
    <s v="PKG-010"/>
    <x v="9"/>
    <x v="2"/>
    <x v="3"/>
    <x v="1"/>
    <x v="5"/>
    <x v="255"/>
    <n v="135"/>
    <n v="750"/>
    <n v="0.1"/>
    <x v="0"/>
    <n v="101250"/>
    <n v="91125"/>
    <s v="Low"/>
  </r>
  <r>
    <x v="475"/>
    <s v="PKG-006"/>
    <x v="5"/>
    <x v="2"/>
    <x v="3"/>
    <x v="1"/>
    <x v="2"/>
    <x v="256"/>
    <n v="21"/>
    <n v="895"/>
    <n v="0.03"/>
    <x v="1"/>
    <n v="18795"/>
    <n v="18231.150000000001"/>
    <s v="Low"/>
  </r>
  <r>
    <x v="476"/>
    <s v="PKG-005"/>
    <x v="4"/>
    <x v="0"/>
    <x v="2"/>
    <x v="3"/>
    <x v="3"/>
    <x v="254"/>
    <n v="227"/>
    <n v="200"/>
    <n v="0.1"/>
    <x v="1"/>
    <n v="45400"/>
    <n v="40860"/>
    <s v="Low"/>
  </r>
  <r>
    <x v="477"/>
    <s v="PKG-010"/>
    <x v="9"/>
    <x v="2"/>
    <x v="1"/>
    <x v="0"/>
    <x v="4"/>
    <x v="241"/>
    <n v="119"/>
    <n v="750"/>
    <n v="0.15"/>
    <x v="0"/>
    <n v="89250"/>
    <n v="75862.5"/>
    <s v="Low"/>
  </r>
  <r>
    <x v="478"/>
    <s v="PKG-001"/>
    <x v="0"/>
    <x v="0"/>
    <x v="2"/>
    <x v="3"/>
    <x v="5"/>
    <x v="233"/>
    <n v="27"/>
    <n v="990"/>
    <n v="0.05"/>
    <x v="1"/>
    <n v="26730"/>
    <n v="25393.5"/>
    <s v="Low"/>
  </r>
  <r>
    <x v="479"/>
    <s v="PKG-001"/>
    <x v="0"/>
    <x v="0"/>
    <x v="3"/>
    <x v="2"/>
    <x v="4"/>
    <x v="247"/>
    <n v="100"/>
    <n v="990"/>
    <n v="0.03"/>
    <x v="0"/>
    <n v="99000"/>
    <n v="96030"/>
    <s v="Low"/>
  </r>
  <r>
    <x v="480"/>
    <s v="PKG-009"/>
    <x v="8"/>
    <x v="1"/>
    <x v="0"/>
    <x v="2"/>
    <x v="2"/>
    <x v="257"/>
    <n v="170"/>
    <n v="280"/>
    <n v="0.15"/>
    <x v="1"/>
    <n v="47600"/>
    <n v="40460"/>
    <s v="Low"/>
  </r>
  <r>
    <x v="481"/>
    <s v="PKG-005"/>
    <x v="4"/>
    <x v="0"/>
    <x v="1"/>
    <x v="2"/>
    <x v="2"/>
    <x v="237"/>
    <n v="232"/>
    <n v="200"/>
    <n v="0.05"/>
    <x v="0"/>
    <n v="46400"/>
    <n v="44080"/>
    <s v="Low"/>
  </r>
  <r>
    <x v="482"/>
    <s v="PKG-002"/>
    <x v="1"/>
    <x v="1"/>
    <x v="3"/>
    <x v="4"/>
    <x v="2"/>
    <x v="258"/>
    <n v="86"/>
    <n v="350"/>
    <n v="0.03"/>
    <x v="1"/>
    <n v="30100"/>
    <n v="29197"/>
    <s v="Low"/>
  </r>
  <r>
    <x v="483"/>
    <s v="PKG-007"/>
    <x v="6"/>
    <x v="0"/>
    <x v="1"/>
    <x v="4"/>
    <x v="5"/>
    <x v="259"/>
    <n v="168"/>
    <n v="650"/>
    <n v="0"/>
    <x v="0"/>
    <n v="109200"/>
    <n v="109200"/>
    <s v="Medium"/>
  </r>
  <r>
    <x v="484"/>
    <s v="PKG-001"/>
    <x v="0"/>
    <x v="0"/>
    <x v="3"/>
    <x v="4"/>
    <x v="5"/>
    <x v="233"/>
    <n v="117"/>
    <n v="990"/>
    <n v="0"/>
    <x v="1"/>
    <n v="115830"/>
    <n v="115830"/>
    <s v="Medium"/>
  </r>
  <r>
    <x v="485"/>
    <s v="PKG-006"/>
    <x v="5"/>
    <x v="2"/>
    <x v="3"/>
    <x v="4"/>
    <x v="3"/>
    <x v="235"/>
    <n v="116"/>
    <n v="895"/>
    <n v="0.13"/>
    <x v="0"/>
    <n v="103820"/>
    <n v="90323.4"/>
    <s v="Low"/>
  </r>
  <r>
    <x v="486"/>
    <s v="PKG-003"/>
    <x v="2"/>
    <x v="1"/>
    <x v="1"/>
    <x v="2"/>
    <x v="2"/>
    <x v="254"/>
    <n v="72"/>
    <n v="420"/>
    <n v="0"/>
    <x v="0"/>
    <n v="30240"/>
    <n v="30240"/>
    <s v="Low"/>
  </r>
  <r>
    <x v="487"/>
    <s v="PKG-008"/>
    <x v="7"/>
    <x v="3"/>
    <x v="2"/>
    <x v="4"/>
    <x v="0"/>
    <x v="249"/>
    <n v="61"/>
    <n v="2800"/>
    <n v="0.05"/>
    <x v="0"/>
    <n v="170800"/>
    <n v="162260"/>
    <s v="Medium"/>
  </r>
  <r>
    <x v="488"/>
    <s v="PKG-009"/>
    <x v="8"/>
    <x v="1"/>
    <x v="1"/>
    <x v="0"/>
    <x v="4"/>
    <x v="244"/>
    <n v="56"/>
    <n v="280"/>
    <n v="0.1"/>
    <x v="1"/>
    <n v="15680"/>
    <n v="14112"/>
    <s v="Low"/>
  </r>
  <r>
    <x v="489"/>
    <s v="PKG-008"/>
    <x v="7"/>
    <x v="3"/>
    <x v="4"/>
    <x v="3"/>
    <x v="3"/>
    <x v="243"/>
    <n v="21"/>
    <n v="2800"/>
    <n v="0.12"/>
    <x v="0"/>
    <n v="58800"/>
    <n v="51744"/>
    <s v="Low"/>
  </r>
  <r>
    <x v="490"/>
    <s v="PKG-001"/>
    <x v="0"/>
    <x v="0"/>
    <x v="3"/>
    <x v="3"/>
    <x v="4"/>
    <x v="258"/>
    <n v="81"/>
    <n v="990"/>
    <n v="0.12"/>
    <x v="0"/>
    <n v="80190"/>
    <n v="70567.199999999997"/>
    <s v="Low"/>
  </r>
  <r>
    <x v="491"/>
    <s v="PKG-005"/>
    <x v="4"/>
    <x v="0"/>
    <x v="3"/>
    <x v="1"/>
    <x v="4"/>
    <x v="239"/>
    <n v="49"/>
    <n v="200"/>
    <n v="0.05"/>
    <x v="0"/>
    <n v="9800"/>
    <n v="9310"/>
    <s v="Low"/>
  </r>
  <r>
    <x v="492"/>
    <s v="PKG-001"/>
    <x v="0"/>
    <x v="0"/>
    <x v="1"/>
    <x v="4"/>
    <x v="0"/>
    <x v="255"/>
    <n v="122"/>
    <n v="990"/>
    <n v="0.05"/>
    <x v="0"/>
    <n v="120780"/>
    <n v="114741"/>
    <s v="Medium"/>
  </r>
  <r>
    <x v="493"/>
    <s v="PKG-007"/>
    <x v="6"/>
    <x v="0"/>
    <x v="3"/>
    <x v="1"/>
    <x v="3"/>
    <x v="249"/>
    <n v="173"/>
    <n v="650"/>
    <n v="0.14000000000000001"/>
    <x v="1"/>
    <n v="112450"/>
    <n v="96707"/>
    <s v="Low"/>
  </r>
  <r>
    <x v="494"/>
    <s v="PKG-003"/>
    <x v="2"/>
    <x v="1"/>
    <x v="2"/>
    <x v="4"/>
    <x v="2"/>
    <x v="242"/>
    <n v="168"/>
    <n v="420"/>
    <n v="0.05"/>
    <x v="0"/>
    <n v="70560"/>
    <n v="67032"/>
    <s v="Low"/>
  </r>
  <r>
    <x v="495"/>
    <s v="PKG-007"/>
    <x v="6"/>
    <x v="0"/>
    <x v="0"/>
    <x v="4"/>
    <x v="4"/>
    <x v="245"/>
    <n v="194"/>
    <n v="650"/>
    <n v="0.11"/>
    <x v="1"/>
    <n v="126100"/>
    <n v="112229"/>
    <s v="Medium"/>
  </r>
  <r>
    <x v="496"/>
    <s v="PKG-007"/>
    <x v="6"/>
    <x v="0"/>
    <x v="4"/>
    <x v="2"/>
    <x v="3"/>
    <x v="234"/>
    <n v="96"/>
    <n v="650"/>
    <n v="7.0000000000000007E-2"/>
    <x v="1"/>
    <n v="62400"/>
    <n v="58032"/>
    <s v="Low"/>
  </r>
  <r>
    <x v="497"/>
    <s v="PKG-006"/>
    <x v="5"/>
    <x v="2"/>
    <x v="2"/>
    <x v="4"/>
    <x v="4"/>
    <x v="247"/>
    <n v="140"/>
    <n v="895"/>
    <n v="0.05"/>
    <x v="1"/>
    <n v="125300"/>
    <n v="119035"/>
    <s v="Medium"/>
  </r>
  <r>
    <x v="498"/>
    <s v="PKG-009"/>
    <x v="8"/>
    <x v="1"/>
    <x v="2"/>
    <x v="4"/>
    <x v="4"/>
    <x v="236"/>
    <n v="204"/>
    <n v="280"/>
    <n v="0.12"/>
    <x v="0"/>
    <n v="57120"/>
    <n v="50265.599999999999"/>
    <s v="Low"/>
  </r>
  <r>
    <x v="499"/>
    <s v="PKG-010"/>
    <x v="9"/>
    <x v="2"/>
    <x v="1"/>
    <x v="2"/>
    <x v="1"/>
    <x v="247"/>
    <n v="93"/>
    <n v="750"/>
    <n v="0.15"/>
    <x v="1"/>
    <n v="69750"/>
    <n v="59287.5"/>
    <s v="Low"/>
  </r>
  <r>
    <x v="500"/>
    <s v="PKG-006"/>
    <x v="5"/>
    <x v="2"/>
    <x v="3"/>
    <x v="1"/>
    <x v="3"/>
    <x v="233"/>
    <n v="54"/>
    <n v="895"/>
    <n v="0.08"/>
    <x v="1"/>
    <n v="48330"/>
    <n v="44463.6"/>
    <s v="Low"/>
  </r>
  <r>
    <x v="501"/>
    <s v="PKG-007"/>
    <x v="6"/>
    <x v="0"/>
    <x v="2"/>
    <x v="0"/>
    <x v="2"/>
    <x v="255"/>
    <n v="92"/>
    <n v="650"/>
    <n v="0.12"/>
    <x v="1"/>
    <n v="59800"/>
    <n v="52624"/>
    <s v="Low"/>
  </r>
  <r>
    <x v="502"/>
    <s v="PKG-008"/>
    <x v="7"/>
    <x v="3"/>
    <x v="2"/>
    <x v="4"/>
    <x v="0"/>
    <x v="236"/>
    <n v="46"/>
    <n v="2800"/>
    <n v="0.15"/>
    <x v="1"/>
    <n v="128800"/>
    <n v="109480"/>
    <s v="Medium"/>
  </r>
  <r>
    <x v="503"/>
    <s v="PKG-004"/>
    <x v="3"/>
    <x v="0"/>
    <x v="4"/>
    <x v="4"/>
    <x v="3"/>
    <x v="260"/>
    <n v="76"/>
    <n v="1200"/>
    <n v="0.03"/>
    <x v="0"/>
    <n v="91200"/>
    <n v="88464"/>
    <s v="Low"/>
  </r>
  <r>
    <x v="504"/>
    <s v="PKG-007"/>
    <x v="6"/>
    <x v="0"/>
    <x v="3"/>
    <x v="2"/>
    <x v="1"/>
    <x v="240"/>
    <n v="37"/>
    <n v="650"/>
    <n v="0.13"/>
    <x v="0"/>
    <n v="24050"/>
    <n v="20923.5"/>
    <s v="Low"/>
  </r>
  <r>
    <x v="505"/>
    <s v="PKG-009"/>
    <x v="8"/>
    <x v="1"/>
    <x v="0"/>
    <x v="3"/>
    <x v="2"/>
    <x v="235"/>
    <n v="46"/>
    <n v="280"/>
    <n v="0.13"/>
    <x v="0"/>
    <n v="12880"/>
    <n v="11205.6"/>
    <s v="Low"/>
  </r>
  <r>
    <x v="506"/>
    <s v="PKG-008"/>
    <x v="7"/>
    <x v="3"/>
    <x v="2"/>
    <x v="1"/>
    <x v="2"/>
    <x v="235"/>
    <n v="12"/>
    <n v="2800"/>
    <n v="7.0000000000000007E-2"/>
    <x v="1"/>
    <n v="33600"/>
    <n v="31248"/>
    <s v="Low"/>
  </r>
  <r>
    <x v="507"/>
    <s v="PKG-002"/>
    <x v="1"/>
    <x v="1"/>
    <x v="2"/>
    <x v="0"/>
    <x v="0"/>
    <x v="254"/>
    <n v="183"/>
    <n v="350"/>
    <n v="0.03"/>
    <x v="0"/>
    <n v="64050"/>
    <n v="62128.5"/>
    <s v="Low"/>
  </r>
  <r>
    <x v="508"/>
    <s v="PKG-010"/>
    <x v="9"/>
    <x v="2"/>
    <x v="1"/>
    <x v="2"/>
    <x v="0"/>
    <x v="242"/>
    <n v="126"/>
    <n v="750"/>
    <n v="0"/>
    <x v="0"/>
    <n v="94500"/>
    <n v="94500"/>
    <s v="Low"/>
  </r>
  <r>
    <x v="509"/>
    <s v="PKG-009"/>
    <x v="8"/>
    <x v="1"/>
    <x v="2"/>
    <x v="0"/>
    <x v="2"/>
    <x v="258"/>
    <n v="226"/>
    <n v="280"/>
    <n v="0.12"/>
    <x v="0"/>
    <n v="63280"/>
    <n v="55686.400000000001"/>
    <s v="Low"/>
  </r>
  <r>
    <x v="510"/>
    <s v="PKG-006"/>
    <x v="5"/>
    <x v="2"/>
    <x v="0"/>
    <x v="2"/>
    <x v="3"/>
    <x v="242"/>
    <n v="105"/>
    <n v="895"/>
    <n v="0.03"/>
    <x v="1"/>
    <n v="93975"/>
    <n v="91155.75"/>
    <s v="Low"/>
  </r>
  <r>
    <x v="511"/>
    <s v="PKG-008"/>
    <x v="7"/>
    <x v="3"/>
    <x v="1"/>
    <x v="3"/>
    <x v="5"/>
    <x v="261"/>
    <n v="82"/>
    <n v="2800"/>
    <n v="0"/>
    <x v="1"/>
    <n v="229600"/>
    <n v="229600"/>
    <s v="Medium"/>
  </r>
  <r>
    <x v="512"/>
    <s v="PKG-005"/>
    <x v="4"/>
    <x v="0"/>
    <x v="2"/>
    <x v="2"/>
    <x v="2"/>
    <x v="242"/>
    <n v="156"/>
    <n v="200"/>
    <n v="7.0000000000000007E-2"/>
    <x v="0"/>
    <n v="31200"/>
    <n v="29016"/>
    <s v="Low"/>
  </r>
  <r>
    <x v="513"/>
    <s v="PKG-007"/>
    <x v="6"/>
    <x v="0"/>
    <x v="2"/>
    <x v="1"/>
    <x v="2"/>
    <x v="251"/>
    <n v="148"/>
    <n v="650"/>
    <n v="0"/>
    <x v="0"/>
    <n v="96200"/>
    <n v="96200"/>
    <s v="Low"/>
  </r>
  <r>
    <x v="514"/>
    <s v="PKG-003"/>
    <x v="2"/>
    <x v="1"/>
    <x v="2"/>
    <x v="0"/>
    <x v="4"/>
    <x v="236"/>
    <n v="154"/>
    <n v="420"/>
    <n v="0.13"/>
    <x v="0"/>
    <n v="64680"/>
    <n v="56271.6"/>
    <s v="Low"/>
  </r>
  <r>
    <x v="515"/>
    <s v="PKG-001"/>
    <x v="0"/>
    <x v="0"/>
    <x v="1"/>
    <x v="4"/>
    <x v="1"/>
    <x v="262"/>
    <n v="103"/>
    <n v="990"/>
    <n v="0.12"/>
    <x v="0"/>
    <n v="101970"/>
    <n v="89733.6"/>
    <s v="Low"/>
  </r>
  <r>
    <x v="516"/>
    <s v="PKG-008"/>
    <x v="7"/>
    <x v="3"/>
    <x v="3"/>
    <x v="1"/>
    <x v="4"/>
    <x v="263"/>
    <n v="45"/>
    <n v="2800"/>
    <n v="0.11"/>
    <x v="1"/>
    <n v="126000"/>
    <n v="112140"/>
    <s v="Medium"/>
  </r>
  <r>
    <x v="517"/>
    <s v="PKG-007"/>
    <x v="6"/>
    <x v="0"/>
    <x v="0"/>
    <x v="2"/>
    <x v="1"/>
    <x v="264"/>
    <n v="94"/>
    <n v="650"/>
    <n v="0"/>
    <x v="1"/>
    <n v="61100"/>
    <n v="61100"/>
    <s v="Low"/>
  </r>
  <r>
    <x v="518"/>
    <s v="PKG-008"/>
    <x v="7"/>
    <x v="3"/>
    <x v="0"/>
    <x v="1"/>
    <x v="5"/>
    <x v="265"/>
    <n v="66"/>
    <n v="2800"/>
    <n v="0.11"/>
    <x v="0"/>
    <n v="184800"/>
    <n v="164472"/>
    <s v="Medium"/>
  </r>
  <r>
    <x v="519"/>
    <s v="PKG-002"/>
    <x v="1"/>
    <x v="1"/>
    <x v="1"/>
    <x v="2"/>
    <x v="5"/>
    <x v="266"/>
    <n v="138"/>
    <n v="350"/>
    <n v="0.11"/>
    <x v="0"/>
    <n v="48300"/>
    <n v="42987"/>
    <s v="Low"/>
  </r>
  <r>
    <x v="520"/>
    <s v="PKG-005"/>
    <x v="4"/>
    <x v="0"/>
    <x v="0"/>
    <x v="3"/>
    <x v="4"/>
    <x v="267"/>
    <n v="129"/>
    <n v="200"/>
    <n v="0"/>
    <x v="1"/>
    <n v="25800"/>
    <n v="25800"/>
    <s v="Low"/>
  </r>
  <r>
    <x v="521"/>
    <s v="PKG-004"/>
    <x v="3"/>
    <x v="0"/>
    <x v="0"/>
    <x v="0"/>
    <x v="2"/>
    <x v="268"/>
    <n v="59"/>
    <n v="1200"/>
    <n v="0.13"/>
    <x v="0"/>
    <n v="70800"/>
    <n v="61596"/>
    <s v="Low"/>
  </r>
  <r>
    <x v="522"/>
    <s v="PKG-007"/>
    <x v="6"/>
    <x v="0"/>
    <x v="1"/>
    <x v="4"/>
    <x v="1"/>
    <x v="269"/>
    <n v="172"/>
    <n v="650"/>
    <n v="0"/>
    <x v="0"/>
    <n v="111800"/>
    <n v="111800"/>
    <s v="Medium"/>
  </r>
  <r>
    <x v="523"/>
    <s v="PKG-003"/>
    <x v="2"/>
    <x v="1"/>
    <x v="4"/>
    <x v="0"/>
    <x v="5"/>
    <x v="270"/>
    <n v="57"/>
    <n v="420"/>
    <n v="0.12"/>
    <x v="1"/>
    <n v="23940"/>
    <n v="21067.200000000001"/>
    <s v="Low"/>
  </r>
  <r>
    <x v="524"/>
    <s v="PKG-010"/>
    <x v="9"/>
    <x v="2"/>
    <x v="0"/>
    <x v="0"/>
    <x v="5"/>
    <x v="267"/>
    <n v="38"/>
    <n v="750"/>
    <n v="0.13"/>
    <x v="0"/>
    <n v="28500"/>
    <n v="24795"/>
    <s v="Low"/>
  </r>
  <r>
    <x v="525"/>
    <s v="PKG-005"/>
    <x v="4"/>
    <x v="0"/>
    <x v="1"/>
    <x v="2"/>
    <x v="1"/>
    <x v="271"/>
    <n v="162"/>
    <n v="200"/>
    <n v="0.13"/>
    <x v="1"/>
    <n v="32400"/>
    <n v="28188"/>
    <s v="Low"/>
  </r>
  <r>
    <x v="526"/>
    <s v="PKG-007"/>
    <x v="6"/>
    <x v="0"/>
    <x v="2"/>
    <x v="3"/>
    <x v="5"/>
    <x v="272"/>
    <n v="51"/>
    <n v="650"/>
    <n v="0"/>
    <x v="0"/>
    <n v="33150"/>
    <n v="33150"/>
    <s v="Low"/>
  </r>
  <r>
    <x v="527"/>
    <s v="PKG-004"/>
    <x v="3"/>
    <x v="0"/>
    <x v="0"/>
    <x v="2"/>
    <x v="1"/>
    <x v="273"/>
    <n v="28"/>
    <n v="1200"/>
    <n v="0.11"/>
    <x v="0"/>
    <n v="33600"/>
    <n v="29904"/>
    <s v="Low"/>
  </r>
  <r>
    <x v="528"/>
    <s v="PKG-005"/>
    <x v="4"/>
    <x v="0"/>
    <x v="2"/>
    <x v="4"/>
    <x v="3"/>
    <x v="270"/>
    <n v="145"/>
    <n v="200"/>
    <n v="0.15"/>
    <x v="1"/>
    <n v="29000"/>
    <n v="24650"/>
    <s v="Low"/>
  </r>
  <r>
    <x v="529"/>
    <s v="PKG-010"/>
    <x v="9"/>
    <x v="2"/>
    <x v="2"/>
    <x v="1"/>
    <x v="4"/>
    <x v="274"/>
    <n v="84"/>
    <n v="750"/>
    <n v="0"/>
    <x v="0"/>
    <n v="63000"/>
    <n v="63000"/>
    <s v="Low"/>
  </r>
  <r>
    <x v="530"/>
    <s v="PKG-003"/>
    <x v="2"/>
    <x v="1"/>
    <x v="1"/>
    <x v="0"/>
    <x v="4"/>
    <x v="265"/>
    <n v="79"/>
    <n v="420"/>
    <n v="0"/>
    <x v="1"/>
    <n v="33180"/>
    <n v="33180"/>
    <s v="Low"/>
  </r>
  <r>
    <x v="531"/>
    <s v="PKG-004"/>
    <x v="3"/>
    <x v="0"/>
    <x v="1"/>
    <x v="1"/>
    <x v="1"/>
    <x v="275"/>
    <n v="56"/>
    <n v="1200"/>
    <n v="0.14000000000000001"/>
    <x v="1"/>
    <n v="67200"/>
    <n v="57792"/>
    <s v="Low"/>
  </r>
  <r>
    <x v="532"/>
    <s v="PKG-008"/>
    <x v="7"/>
    <x v="3"/>
    <x v="4"/>
    <x v="0"/>
    <x v="2"/>
    <x v="269"/>
    <n v="62"/>
    <n v="2800"/>
    <n v="0.1"/>
    <x v="0"/>
    <n v="173600"/>
    <n v="156240"/>
    <s v="Medium"/>
  </r>
  <r>
    <x v="533"/>
    <s v="PKG-003"/>
    <x v="2"/>
    <x v="1"/>
    <x v="2"/>
    <x v="4"/>
    <x v="4"/>
    <x v="276"/>
    <n v="190"/>
    <n v="420"/>
    <n v="0.11"/>
    <x v="0"/>
    <n v="79800"/>
    <n v="71022"/>
    <s v="Low"/>
  </r>
  <r>
    <x v="534"/>
    <s v="PKG-007"/>
    <x v="6"/>
    <x v="0"/>
    <x v="4"/>
    <x v="2"/>
    <x v="5"/>
    <x v="262"/>
    <n v="102"/>
    <n v="650"/>
    <n v="0.05"/>
    <x v="0"/>
    <n v="66300"/>
    <n v="62985"/>
    <s v="Low"/>
  </r>
  <r>
    <x v="535"/>
    <s v="PKG-004"/>
    <x v="3"/>
    <x v="0"/>
    <x v="3"/>
    <x v="4"/>
    <x v="0"/>
    <x v="277"/>
    <n v="53"/>
    <n v="1200"/>
    <n v="0.13"/>
    <x v="1"/>
    <n v="63600"/>
    <n v="55332"/>
    <s v="Low"/>
  </r>
  <r>
    <x v="536"/>
    <s v="PKG-008"/>
    <x v="7"/>
    <x v="3"/>
    <x v="2"/>
    <x v="1"/>
    <x v="4"/>
    <x v="277"/>
    <n v="91"/>
    <n v="2800"/>
    <n v="0.1"/>
    <x v="0"/>
    <n v="254800"/>
    <n v="229320"/>
    <s v="Medium"/>
  </r>
  <r>
    <x v="537"/>
    <s v="PKG-006"/>
    <x v="5"/>
    <x v="2"/>
    <x v="1"/>
    <x v="4"/>
    <x v="3"/>
    <x v="276"/>
    <n v="134"/>
    <n v="895"/>
    <n v="0.1"/>
    <x v="0"/>
    <n v="119930"/>
    <n v="107937"/>
    <s v="Medium"/>
  </r>
  <r>
    <x v="538"/>
    <s v="PKG-005"/>
    <x v="4"/>
    <x v="0"/>
    <x v="4"/>
    <x v="3"/>
    <x v="1"/>
    <x v="270"/>
    <n v="74"/>
    <n v="200"/>
    <n v="0.03"/>
    <x v="1"/>
    <n v="14800"/>
    <n v="14356"/>
    <s v="Low"/>
  </r>
  <r>
    <x v="539"/>
    <s v="PKG-001"/>
    <x v="0"/>
    <x v="0"/>
    <x v="0"/>
    <x v="0"/>
    <x v="2"/>
    <x v="268"/>
    <n v="20"/>
    <n v="990"/>
    <n v="7.0000000000000007E-2"/>
    <x v="0"/>
    <n v="19800"/>
    <n v="18414"/>
    <s v="Low"/>
  </r>
  <r>
    <x v="540"/>
    <s v="PKG-010"/>
    <x v="9"/>
    <x v="2"/>
    <x v="3"/>
    <x v="1"/>
    <x v="5"/>
    <x v="262"/>
    <n v="82"/>
    <n v="750"/>
    <n v="0.15"/>
    <x v="0"/>
    <n v="61500"/>
    <n v="52275"/>
    <s v="Low"/>
  </r>
  <r>
    <x v="541"/>
    <s v="PKG-003"/>
    <x v="2"/>
    <x v="1"/>
    <x v="0"/>
    <x v="2"/>
    <x v="5"/>
    <x v="278"/>
    <n v="138"/>
    <n v="420"/>
    <n v="0.12"/>
    <x v="1"/>
    <n v="57960"/>
    <n v="51004.800000000003"/>
    <s v="Low"/>
  </r>
  <r>
    <x v="542"/>
    <s v="PKG-005"/>
    <x v="4"/>
    <x v="0"/>
    <x v="0"/>
    <x v="2"/>
    <x v="0"/>
    <x v="262"/>
    <n v="174"/>
    <n v="200"/>
    <n v="0.03"/>
    <x v="1"/>
    <n v="34800"/>
    <n v="33756"/>
    <s v="Low"/>
  </r>
  <r>
    <x v="543"/>
    <s v="PKG-003"/>
    <x v="2"/>
    <x v="1"/>
    <x v="0"/>
    <x v="1"/>
    <x v="5"/>
    <x v="274"/>
    <n v="52"/>
    <n v="420"/>
    <n v="0"/>
    <x v="0"/>
    <n v="21840"/>
    <n v="21840"/>
    <s v="Low"/>
  </r>
  <r>
    <x v="544"/>
    <s v="PKG-008"/>
    <x v="7"/>
    <x v="3"/>
    <x v="2"/>
    <x v="4"/>
    <x v="3"/>
    <x v="279"/>
    <n v="10"/>
    <n v="2800"/>
    <n v="0"/>
    <x v="0"/>
    <n v="28000"/>
    <n v="28000"/>
    <s v="Low"/>
  </r>
  <r>
    <x v="545"/>
    <s v="PKG-002"/>
    <x v="1"/>
    <x v="1"/>
    <x v="2"/>
    <x v="1"/>
    <x v="4"/>
    <x v="262"/>
    <n v="95"/>
    <n v="350"/>
    <n v="0"/>
    <x v="0"/>
    <n v="33250"/>
    <n v="33250"/>
    <s v="Low"/>
  </r>
  <r>
    <x v="546"/>
    <s v="PKG-002"/>
    <x v="1"/>
    <x v="1"/>
    <x v="1"/>
    <x v="2"/>
    <x v="1"/>
    <x v="280"/>
    <n v="120"/>
    <n v="350"/>
    <n v="0"/>
    <x v="1"/>
    <n v="42000"/>
    <n v="42000"/>
    <s v="Low"/>
  </r>
  <r>
    <x v="547"/>
    <s v="PKG-003"/>
    <x v="2"/>
    <x v="1"/>
    <x v="3"/>
    <x v="2"/>
    <x v="5"/>
    <x v="262"/>
    <n v="91"/>
    <n v="420"/>
    <n v="0"/>
    <x v="1"/>
    <n v="38220"/>
    <n v="38220"/>
    <s v="Low"/>
  </r>
  <r>
    <x v="548"/>
    <s v="PKG-003"/>
    <x v="2"/>
    <x v="1"/>
    <x v="0"/>
    <x v="4"/>
    <x v="4"/>
    <x v="269"/>
    <n v="177"/>
    <n v="420"/>
    <n v="0.1"/>
    <x v="1"/>
    <n v="74340"/>
    <n v="66906"/>
    <s v="Low"/>
  </r>
  <r>
    <x v="549"/>
    <s v="PKG-001"/>
    <x v="0"/>
    <x v="0"/>
    <x v="3"/>
    <x v="3"/>
    <x v="5"/>
    <x v="263"/>
    <n v="118"/>
    <n v="990"/>
    <n v="0.14000000000000001"/>
    <x v="0"/>
    <n v="116820"/>
    <n v="100465.2"/>
    <s v="Medium"/>
  </r>
  <r>
    <x v="550"/>
    <s v="PKG-005"/>
    <x v="4"/>
    <x v="0"/>
    <x v="3"/>
    <x v="0"/>
    <x v="3"/>
    <x v="271"/>
    <n v="215"/>
    <n v="200"/>
    <n v="7.0000000000000007E-2"/>
    <x v="1"/>
    <n v="43000"/>
    <n v="39990"/>
    <s v="Low"/>
  </r>
  <r>
    <x v="551"/>
    <s v="PKG-006"/>
    <x v="5"/>
    <x v="2"/>
    <x v="2"/>
    <x v="4"/>
    <x v="3"/>
    <x v="263"/>
    <n v="41"/>
    <n v="895"/>
    <n v="0.12"/>
    <x v="1"/>
    <n v="36695"/>
    <n v="32291.599999999999"/>
    <s v="Low"/>
  </r>
  <r>
    <x v="552"/>
    <s v="PKG-004"/>
    <x v="3"/>
    <x v="0"/>
    <x v="4"/>
    <x v="0"/>
    <x v="2"/>
    <x v="272"/>
    <n v="87"/>
    <n v="1200"/>
    <n v="0"/>
    <x v="0"/>
    <n v="104400"/>
    <n v="104400"/>
    <s v="Medium"/>
  </r>
  <r>
    <x v="553"/>
    <s v="PKG-006"/>
    <x v="5"/>
    <x v="2"/>
    <x v="1"/>
    <x v="2"/>
    <x v="1"/>
    <x v="267"/>
    <n v="75"/>
    <n v="895"/>
    <n v="0.15"/>
    <x v="0"/>
    <n v="67125"/>
    <n v="57056.25"/>
    <s v="Low"/>
  </r>
  <r>
    <x v="554"/>
    <s v="PKG-006"/>
    <x v="5"/>
    <x v="2"/>
    <x v="3"/>
    <x v="3"/>
    <x v="2"/>
    <x v="277"/>
    <n v="33"/>
    <n v="895"/>
    <n v="0.11"/>
    <x v="0"/>
    <n v="29535"/>
    <n v="26286.15"/>
    <s v="Low"/>
  </r>
  <r>
    <x v="555"/>
    <s v="PKG-010"/>
    <x v="9"/>
    <x v="2"/>
    <x v="1"/>
    <x v="1"/>
    <x v="3"/>
    <x v="266"/>
    <n v="112"/>
    <n v="750"/>
    <n v="0.12"/>
    <x v="1"/>
    <n v="84000"/>
    <n v="73920"/>
    <s v="Low"/>
  </r>
  <r>
    <x v="556"/>
    <s v="PKG-008"/>
    <x v="7"/>
    <x v="3"/>
    <x v="2"/>
    <x v="2"/>
    <x v="0"/>
    <x v="272"/>
    <n v="26"/>
    <n v="2800"/>
    <n v="0.13"/>
    <x v="1"/>
    <n v="72800"/>
    <n v="63336"/>
    <s v="Low"/>
  </r>
  <r>
    <x v="557"/>
    <s v="PKG-001"/>
    <x v="0"/>
    <x v="0"/>
    <x v="1"/>
    <x v="2"/>
    <x v="1"/>
    <x v="265"/>
    <n v="98"/>
    <n v="990"/>
    <n v="0.13"/>
    <x v="0"/>
    <n v="97020"/>
    <n v="84407.4"/>
    <s v="Low"/>
  </r>
  <r>
    <x v="558"/>
    <s v="PKG-009"/>
    <x v="8"/>
    <x v="1"/>
    <x v="3"/>
    <x v="3"/>
    <x v="2"/>
    <x v="281"/>
    <n v="166"/>
    <n v="280"/>
    <n v="0.08"/>
    <x v="1"/>
    <n v="46480"/>
    <n v="42761.599999999999"/>
    <s v="Low"/>
  </r>
  <r>
    <x v="559"/>
    <s v="PKG-010"/>
    <x v="9"/>
    <x v="2"/>
    <x v="2"/>
    <x v="0"/>
    <x v="4"/>
    <x v="271"/>
    <n v="105"/>
    <n v="750"/>
    <n v="0.1"/>
    <x v="0"/>
    <n v="78750"/>
    <n v="70875"/>
    <s v="Low"/>
  </r>
  <r>
    <x v="560"/>
    <s v="PKG-001"/>
    <x v="0"/>
    <x v="0"/>
    <x v="4"/>
    <x v="2"/>
    <x v="3"/>
    <x v="274"/>
    <n v="20"/>
    <n v="990"/>
    <n v="0"/>
    <x v="0"/>
    <n v="19800"/>
    <n v="19800"/>
    <s v="Low"/>
  </r>
  <r>
    <x v="561"/>
    <s v="PKG-001"/>
    <x v="0"/>
    <x v="0"/>
    <x v="4"/>
    <x v="3"/>
    <x v="0"/>
    <x v="277"/>
    <n v="30"/>
    <n v="990"/>
    <n v="0.05"/>
    <x v="1"/>
    <n v="29700"/>
    <n v="28215"/>
    <s v="Low"/>
  </r>
  <r>
    <x v="562"/>
    <s v="PKG-006"/>
    <x v="5"/>
    <x v="2"/>
    <x v="2"/>
    <x v="3"/>
    <x v="0"/>
    <x v="282"/>
    <n v="129"/>
    <n v="895"/>
    <n v="0.13"/>
    <x v="0"/>
    <n v="115455"/>
    <n v="100445.85"/>
    <s v="Medium"/>
  </r>
  <r>
    <x v="563"/>
    <s v="PKG-001"/>
    <x v="0"/>
    <x v="0"/>
    <x v="3"/>
    <x v="1"/>
    <x v="0"/>
    <x v="265"/>
    <n v="37"/>
    <n v="990"/>
    <n v="0"/>
    <x v="1"/>
    <n v="36630"/>
    <n v="36630"/>
    <s v="Low"/>
  </r>
  <r>
    <x v="564"/>
    <s v="PKG-006"/>
    <x v="5"/>
    <x v="2"/>
    <x v="0"/>
    <x v="0"/>
    <x v="4"/>
    <x v="262"/>
    <n v="111"/>
    <n v="895"/>
    <n v="0.14000000000000001"/>
    <x v="0"/>
    <n v="99345"/>
    <n v="85436.7"/>
    <s v="Low"/>
  </r>
  <r>
    <x v="565"/>
    <s v="PKG-006"/>
    <x v="5"/>
    <x v="2"/>
    <x v="0"/>
    <x v="3"/>
    <x v="5"/>
    <x v="273"/>
    <n v="65"/>
    <n v="895"/>
    <n v="0"/>
    <x v="1"/>
    <n v="58175"/>
    <n v="58175"/>
    <s v="Low"/>
  </r>
  <r>
    <x v="566"/>
    <s v="PKG-003"/>
    <x v="2"/>
    <x v="1"/>
    <x v="2"/>
    <x v="0"/>
    <x v="4"/>
    <x v="276"/>
    <n v="157"/>
    <n v="420"/>
    <n v="0.11"/>
    <x v="0"/>
    <n v="65940"/>
    <n v="58686.6"/>
    <s v="Low"/>
  </r>
  <r>
    <x v="567"/>
    <s v="PKG-006"/>
    <x v="5"/>
    <x v="2"/>
    <x v="1"/>
    <x v="0"/>
    <x v="0"/>
    <x v="270"/>
    <n v="147"/>
    <n v="895"/>
    <n v="7.0000000000000007E-2"/>
    <x v="0"/>
    <n v="131565"/>
    <n v="122355.45"/>
    <s v="Medium"/>
  </r>
  <r>
    <x v="568"/>
    <s v="PKG-003"/>
    <x v="2"/>
    <x v="1"/>
    <x v="2"/>
    <x v="4"/>
    <x v="1"/>
    <x v="283"/>
    <n v="80"/>
    <n v="420"/>
    <n v="0.14000000000000001"/>
    <x v="0"/>
    <n v="33600"/>
    <n v="28896"/>
    <s v="Low"/>
  </r>
  <r>
    <x v="569"/>
    <s v="PKG-007"/>
    <x v="6"/>
    <x v="0"/>
    <x v="2"/>
    <x v="0"/>
    <x v="5"/>
    <x v="262"/>
    <n v="60"/>
    <n v="650"/>
    <n v="0.05"/>
    <x v="0"/>
    <n v="39000"/>
    <n v="37050"/>
    <s v="Low"/>
  </r>
  <r>
    <x v="570"/>
    <s v="PKG-009"/>
    <x v="8"/>
    <x v="1"/>
    <x v="4"/>
    <x v="2"/>
    <x v="1"/>
    <x v="264"/>
    <n v="177"/>
    <n v="280"/>
    <n v="0.13"/>
    <x v="0"/>
    <n v="49560"/>
    <n v="43117.2"/>
    <s v="Low"/>
  </r>
  <r>
    <x v="571"/>
    <s v="PKG-009"/>
    <x v="8"/>
    <x v="1"/>
    <x v="2"/>
    <x v="3"/>
    <x v="0"/>
    <x v="268"/>
    <n v="92"/>
    <n v="280"/>
    <n v="0"/>
    <x v="1"/>
    <n v="25760"/>
    <n v="25760"/>
    <s v="Low"/>
  </r>
  <r>
    <x v="572"/>
    <s v="PKG-010"/>
    <x v="9"/>
    <x v="2"/>
    <x v="3"/>
    <x v="3"/>
    <x v="1"/>
    <x v="284"/>
    <n v="64"/>
    <n v="750"/>
    <n v="0"/>
    <x v="0"/>
    <n v="48000"/>
    <n v="48000"/>
    <s v="Low"/>
  </r>
  <r>
    <x v="573"/>
    <s v="PKG-008"/>
    <x v="7"/>
    <x v="3"/>
    <x v="2"/>
    <x v="4"/>
    <x v="5"/>
    <x v="285"/>
    <n v="26"/>
    <n v="2800"/>
    <n v="0.08"/>
    <x v="0"/>
    <n v="72800"/>
    <n v="66976"/>
    <s v="Low"/>
  </r>
  <r>
    <x v="574"/>
    <s v="PKG-010"/>
    <x v="9"/>
    <x v="2"/>
    <x v="0"/>
    <x v="4"/>
    <x v="2"/>
    <x v="266"/>
    <n v="145"/>
    <n v="750"/>
    <n v="0.11"/>
    <x v="0"/>
    <n v="108750"/>
    <n v="96787.5"/>
    <s v="Low"/>
  </r>
  <r>
    <x v="575"/>
    <s v="PKG-003"/>
    <x v="2"/>
    <x v="1"/>
    <x v="0"/>
    <x v="3"/>
    <x v="0"/>
    <x v="270"/>
    <n v="129"/>
    <n v="420"/>
    <n v="0"/>
    <x v="0"/>
    <n v="54180"/>
    <n v="54180"/>
    <s v="Low"/>
  </r>
  <r>
    <x v="576"/>
    <s v="PKG-008"/>
    <x v="7"/>
    <x v="3"/>
    <x v="0"/>
    <x v="0"/>
    <x v="3"/>
    <x v="279"/>
    <n v="65"/>
    <n v="2800"/>
    <n v="0"/>
    <x v="0"/>
    <n v="182000"/>
    <n v="182000"/>
    <s v="Medium"/>
  </r>
  <r>
    <x v="577"/>
    <s v="PKG-002"/>
    <x v="1"/>
    <x v="1"/>
    <x v="2"/>
    <x v="3"/>
    <x v="3"/>
    <x v="286"/>
    <n v="31"/>
    <n v="350"/>
    <n v="7.0000000000000007E-2"/>
    <x v="0"/>
    <n v="10850"/>
    <n v="10090.5"/>
    <s v="Low"/>
  </r>
  <r>
    <x v="578"/>
    <s v="PKG-006"/>
    <x v="5"/>
    <x v="2"/>
    <x v="0"/>
    <x v="1"/>
    <x v="2"/>
    <x v="266"/>
    <n v="132"/>
    <n v="895"/>
    <n v="7.0000000000000007E-2"/>
    <x v="0"/>
    <n v="118140"/>
    <n v="109870.2"/>
    <s v="Medium"/>
  </r>
  <r>
    <x v="579"/>
    <s v="PKG-006"/>
    <x v="5"/>
    <x v="2"/>
    <x v="0"/>
    <x v="1"/>
    <x v="0"/>
    <x v="287"/>
    <n v="20"/>
    <n v="895"/>
    <n v="0.12"/>
    <x v="1"/>
    <n v="17900"/>
    <n v="15752"/>
    <s v="Low"/>
  </r>
  <r>
    <x v="580"/>
    <s v="PKG-004"/>
    <x v="3"/>
    <x v="0"/>
    <x v="0"/>
    <x v="0"/>
    <x v="0"/>
    <x v="288"/>
    <n v="6"/>
    <n v="1200"/>
    <n v="0"/>
    <x v="1"/>
    <n v="7200"/>
    <n v="7200"/>
    <s v="Low"/>
  </r>
  <r>
    <x v="581"/>
    <s v="PKG-007"/>
    <x v="6"/>
    <x v="0"/>
    <x v="2"/>
    <x v="3"/>
    <x v="0"/>
    <x v="289"/>
    <n v="29"/>
    <n v="650"/>
    <n v="0.08"/>
    <x v="0"/>
    <n v="18850"/>
    <n v="17342"/>
    <s v="Low"/>
  </r>
  <r>
    <x v="582"/>
    <s v="PKG-001"/>
    <x v="0"/>
    <x v="0"/>
    <x v="1"/>
    <x v="4"/>
    <x v="2"/>
    <x v="290"/>
    <n v="28"/>
    <n v="990"/>
    <n v="0.03"/>
    <x v="0"/>
    <n v="27720"/>
    <n v="26888.400000000001"/>
    <s v="Low"/>
  </r>
  <r>
    <x v="583"/>
    <s v="PKG-002"/>
    <x v="1"/>
    <x v="1"/>
    <x v="3"/>
    <x v="1"/>
    <x v="5"/>
    <x v="291"/>
    <n v="47"/>
    <n v="350"/>
    <n v="0"/>
    <x v="0"/>
    <n v="16450"/>
    <n v="16450"/>
    <s v="Low"/>
  </r>
  <r>
    <x v="584"/>
    <s v="PKG-002"/>
    <x v="1"/>
    <x v="1"/>
    <x v="0"/>
    <x v="4"/>
    <x v="2"/>
    <x v="292"/>
    <n v="13"/>
    <n v="350"/>
    <n v="7.0000000000000007E-2"/>
    <x v="0"/>
    <n v="4550"/>
    <n v="4231.5"/>
    <s v="Low"/>
  </r>
  <r>
    <x v="585"/>
    <s v="PKG-006"/>
    <x v="5"/>
    <x v="2"/>
    <x v="2"/>
    <x v="2"/>
    <x v="2"/>
    <x v="293"/>
    <n v="37"/>
    <n v="895"/>
    <n v="7.0000000000000007E-2"/>
    <x v="0"/>
    <n v="33115"/>
    <n v="30796.95"/>
    <s v="Low"/>
  </r>
  <r>
    <x v="586"/>
    <s v="PKG-008"/>
    <x v="7"/>
    <x v="3"/>
    <x v="2"/>
    <x v="0"/>
    <x v="5"/>
    <x v="294"/>
    <n v="30"/>
    <n v="2800"/>
    <n v="0"/>
    <x v="0"/>
    <n v="84000"/>
    <n v="84000"/>
    <s v="Low"/>
  </r>
  <r>
    <x v="587"/>
    <s v="PKG-001"/>
    <x v="0"/>
    <x v="0"/>
    <x v="4"/>
    <x v="4"/>
    <x v="0"/>
    <x v="295"/>
    <n v="40"/>
    <n v="990"/>
    <n v="0.14000000000000001"/>
    <x v="0"/>
    <n v="39600"/>
    <n v="34056"/>
    <s v="Low"/>
  </r>
  <r>
    <x v="588"/>
    <s v="PKG-009"/>
    <x v="8"/>
    <x v="1"/>
    <x v="2"/>
    <x v="4"/>
    <x v="0"/>
    <x v="296"/>
    <n v="64"/>
    <n v="280"/>
    <n v="0.12"/>
    <x v="1"/>
    <n v="17920"/>
    <n v="15769.6"/>
    <s v="Low"/>
  </r>
  <r>
    <x v="589"/>
    <s v="PKG-001"/>
    <x v="0"/>
    <x v="0"/>
    <x v="2"/>
    <x v="4"/>
    <x v="5"/>
    <x v="293"/>
    <n v="20"/>
    <n v="990"/>
    <n v="0.14000000000000001"/>
    <x v="1"/>
    <n v="19800"/>
    <n v="17028"/>
    <s v="Low"/>
  </r>
  <r>
    <x v="590"/>
    <s v="PKG-004"/>
    <x v="3"/>
    <x v="0"/>
    <x v="4"/>
    <x v="2"/>
    <x v="3"/>
    <x v="297"/>
    <n v="21"/>
    <n v="1200"/>
    <n v="0.08"/>
    <x v="0"/>
    <n v="25200"/>
    <n v="23184"/>
    <s v="Low"/>
  </r>
  <r>
    <x v="591"/>
    <s v="PKG-008"/>
    <x v="7"/>
    <x v="3"/>
    <x v="3"/>
    <x v="3"/>
    <x v="2"/>
    <x v="298"/>
    <n v="30"/>
    <n v="2800"/>
    <n v="0.12"/>
    <x v="1"/>
    <n v="84000"/>
    <n v="73920"/>
    <s v="Low"/>
  </r>
  <r>
    <x v="592"/>
    <s v="PKG-010"/>
    <x v="9"/>
    <x v="2"/>
    <x v="0"/>
    <x v="0"/>
    <x v="4"/>
    <x v="288"/>
    <n v="13"/>
    <n v="750"/>
    <n v="0.11"/>
    <x v="1"/>
    <n v="9750"/>
    <n v="8677.5"/>
    <s v="Low"/>
  </r>
  <r>
    <x v="593"/>
    <s v="PKG-009"/>
    <x v="8"/>
    <x v="1"/>
    <x v="0"/>
    <x v="4"/>
    <x v="0"/>
    <x v="299"/>
    <n v="41"/>
    <n v="280"/>
    <n v="0.1"/>
    <x v="0"/>
    <n v="11480"/>
    <n v="10332"/>
    <s v="Low"/>
  </r>
  <r>
    <x v="594"/>
    <s v="PKG-001"/>
    <x v="0"/>
    <x v="0"/>
    <x v="4"/>
    <x v="1"/>
    <x v="2"/>
    <x v="300"/>
    <n v="25"/>
    <n v="990"/>
    <n v="0.11"/>
    <x v="0"/>
    <n v="24750"/>
    <n v="22027.5"/>
    <s v="Low"/>
  </r>
  <r>
    <x v="595"/>
    <s v="PKG-004"/>
    <x v="3"/>
    <x v="0"/>
    <x v="0"/>
    <x v="2"/>
    <x v="4"/>
    <x v="300"/>
    <n v="43"/>
    <n v="1200"/>
    <n v="0"/>
    <x v="1"/>
    <n v="51600"/>
    <n v="51600"/>
    <s v="Low"/>
  </r>
  <r>
    <x v="596"/>
    <s v="PKG-010"/>
    <x v="9"/>
    <x v="2"/>
    <x v="0"/>
    <x v="3"/>
    <x v="5"/>
    <x v="301"/>
    <n v="28"/>
    <n v="750"/>
    <n v="0.12"/>
    <x v="1"/>
    <n v="21000"/>
    <n v="18480"/>
    <s v="Low"/>
  </r>
  <r>
    <x v="597"/>
    <s v="PKG-001"/>
    <x v="0"/>
    <x v="0"/>
    <x v="3"/>
    <x v="2"/>
    <x v="3"/>
    <x v="302"/>
    <n v="14"/>
    <n v="990"/>
    <n v="0.12"/>
    <x v="1"/>
    <n v="13860"/>
    <n v="12196.8"/>
    <s v="Low"/>
  </r>
  <r>
    <x v="598"/>
    <s v="PKG-009"/>
    <x v="8"/>
    <x v="1"/>
    <x v="2"/>
    <x v="0"/>
    <x v="5"/>
    <x v="300"/>
    <n v="42"/>
    <n v="280"/>
    <n v="0.08"/>
    <x v="0"/>
    <n v="11760"/>
    <n v="10819.2"/>
    <s v="Low"/>
  </r>
  <r>
    <x v="599"/>
    <s v="PKG-001"/>
    <x v="0"/>
    <x v="0"/>
    <x v="0"/>
    <x v="2"/>
    <x v="5"/>
    <x v="300"/>
    <n v="32"/>
    <n v="990"/>
    <n v="0"/>
    <x v="1"/>
    <n v="31680"/>
    <n v="31680"/>
    <s v="Low"/>
  </r>
  <r>
    <x v="600"/>
    <s v="PKG-002"/>
    <x v="1"/>
    <x v="1"/>
    <x v="1"/>
    <x v="2"/>
    <x v="4"/>
    <x v="296"/>
    <n v="63"/>
    <n v="350"/>
    <n v="0.15"/>
    <x v="1"/>
    <n v="22050"/>
    <n v="18742.5"/>
    <s v="Low"/>
  </r>
  <r>
    <x v="601"/>
    <s v="PKG-006"/>
    <x v="5"/>
    <x v="2"/>
    <x v="1"/>
    <x v="2"/>
    <x v="2"/>
    <x v="298"/>
    <n v="48"/>
    <n v="895"/>
    <n v="0.1"/>
    <x v="0"/>
    <n v="42960"/>
    <n v="38664"/>
    <s v="Low"/>
  </r>
  <r>
    <x v="602"/>
    <s v="PKG-006"/>
    <x v="5"/>
    <x v="2"/>
    <x v="2"/>
    <x v="1"/>
    <x v="1"/>
    <x v="291"/>
    <n v="14"/>
    <n v="895"/>
    <n v="0"/>
    <x v="0"/>
    <n v="12530"/>
    <n v="12530"/>
    <s v="Low"/>
  </r>
  <r>
    <x v="603"/>
    <s v="PKG-004"/>
    <x v="3"/>
    <x v="0"/>
    <x v="1"/>
    <x v="0"/>
    <x v="0"/>
    <x v="303"/>
    <n v="19"/>
    <n v="1200"/>
    <n v="0.12"/>
    <x v="0"/>
    <n v="22800"/>
    <n v="20064"/>
    <s v="Low"/>
  </r>
  <r>
    <x v="604"/>
    <s v="PKG-004"/>
    <x v="3"/>
    <x v="0"/>
    <x v="0"/>
    <x v="4"/>
    <x v="4"/>
    <x v="304"/>
    <n v="30"/>
    <n v="1200"/>
    <n v="7.0000000000000007E-2"/>
    <x v="0"/>
    <n v="36000"/>
    <n v="33480"/>
    <s v="Low"/>
  </r>
  <r>
    <x v="605"/>
    <s v="PKG-003"/>
    <x v="2"/>
    <x v="1"/>
    <x v="1"/>
    <x v="0"/>
    <x v="4"/>
    <x v="291"/>
    <n v="63"/>
    <n v="420"/>
    <n v="0.11"/>
    <x v="0"/>
    <n v="26460"/>
    <n v="23549.4"/>
    <s v="Low"/>
  </r>
  <r>
    <x v="606"/>
    <s v="PKG-004"/>
    <x v="3"/>
    <x v="0"/>
    <x v="4"/>
    <x v="3"/>
    <x v="5"/>
    <x v="305"/>
    <n v="15"/>
    <n v="1200"/>
    <n v="0"/>
    <x v="1"/>
    <n v="18000"/>
    <n v="18000"/>
    <s v="Low"/>
  </r>
  <r>
    <x v="607"/>
    <s v="PKG-008"/>
    <x v="7"/>
    <x v="3"/>
    <x v="2"/>
    <x v="3"/>
    <x v="5"/>
    <x v="306"/>
    <n v="9"/>
    <n v="2800"/>
    <n v="0.13"/>
    <x v="0"/>
    <n v="25200"/>
    <n v="21924"/>
    <s v="Low"/>
  </r>
  <r>
    <x v="608"/>
    <s v="PKG-007"/>
    <x v="6"/>
    <x v="0"/>
    <x v="3"/>
    <x v="4"/>
    <x v="1"/>
    <x v="307"/>
    <n v="66"/>
    <n v="650"/>
    <n v="0.15"/>
    <x v="0"/>
    <n v="42900"/>
    <n v="36465"/>
    <s v="Low"/>
  </r>
  <r>
    <x v="609"/>
    <s v="PKG-008"/>
    <x v="7"/>
    <x v="3"/>
    <x v="2"/>
    <x v="1"/>
    <x v="2"/>
    <x v="303"/>
    <n v="20"/>
    <n v="2800"/>
    <n v="7.0000000000000007E-2"/>
    <x v="1"/>
    <n v="56000"/>
    <n v="52080"/>
    <s v="Low"/>
  </r>
  <r>
    <x v="610"/>
    <s v="PKG-010"/>
    <x v="9"/>
    <x v="2"/>
    <x v="2"/>
    <x v="1"/>
    <x v="4"/>
    <x v="308"/>
    <n v="35"/>
    <n v="750"/>
    <n v="0"/>
    <x v="1"/>
    <n v="26250"/>
    <n v="26250"/>
    <s v="Low"/>
  </r>
  <r>
    <x v="611"/>
    <s v="PKG-009"/>
    <x v="8"/>
    <x v="1"/>
    <x v="2"/>
    <x v="1"/>
    <x v="3"/>
    <x v="300"/>
    <n v="70"/>
    <n v="280"/>
    <n v="7.0000000000000007E-2"/>
    <x v="0"/>
    <n v="19600"/>
    <n v="18228"/>
    <s v="Low"/>
  </r>
  <r>
    <x v="612"/>
    <s v="PKG-003"/>
    <x v="2"/>
    <x v="1"/>
    <x v="0"/>
    <x v="0"/>
    <x v="1"/>
    <x v="299"/>
    <n v="57"/>
    <n v="420"/>
    <n v="0.11"/>
    <x v="0"/>
    <n v="23940"/>
    <n v="21306.6"/>
    <s v="Low"/>
  </r>
  <r>
    <x v="613"/>
    <s v="PKG-009"/>
    <x v="8"/>
    <x v="1"/>
    <x v="1"/>
    <x v="4"/>
    <x v="3"/>
    <x v="307"/>
    <n v="45"/>
    <n v="280"/>
    <n v="0.03"/>
    <x v="0"/>
    <n v="12600"/>
    <n v="12222"/>
    <s v="Low"/>
  </r>
  <r>
    <x v="614"/>
    <s v="PKG-010"/>
    <x v="9"/>
    <x v="2"/>
    <x v="1"/>
    <x v="0"/>
    <x v="5"/>
    <x v="308"/>
    <n v="39"/>
    <n v="750"/>
    <n v="0.12"/>
    <x v="0"/>
    <n v="29250"/>
    <n v="25740"/>
    <s v="Low"/>
  </r>
  <r>
    <x v="615"/>
    <s v="PKG-005"/>
    <x v="4"/>
    <x v="0"/>
    <x v="0"/>
    <x v="3"/>
    <x v="3"/>
    <x v="308"/>
    <n v="38"/>
    <n v="200"/>
    <n v="0.13"/>
    <x v="0"/>
    <n v="7600"/>
    <n v="6612"/>
    <s v="Low"/>
  </r>
  <r>
    <x v="616"/>
    <s v="PKG-010"/>
    <x v="9"/>
    <x v="2"/>
    <x v="2"/>
    <x v="0"/>
    <x v="0"/>
    <x v="308"/>
    <n v="21"/>
    <n v="750"/>
    <n v="0.15"/>
    <x v="1"/>
    <n v="15750"/>
    <n v="13387.5"/>
    <s v="Low"/>
  </r>
  <r>
    <x v="617"/>
    <s v="PKG-010"/>
    <x v="9"/>
    <x v="2"/>
    <x v="4"/>
    <x v="4"/>
    <x v="2"/>
    <x v="309"/>
    <n v="32"/>
    <n v="750"/>
    <n v="0.14000000000000001"/>
    <x v="0"/>
    <n v="24000"/>
    <n v="20640"/>
    <s v="Low"/>
  </r>
  <r>
    <x v="618"/>
    <s v="PKG-008"/>
    <x v="7"/>
    <x v="3"/>
    <x v="0"/>
    <x v="2"/>
    <x v="1"/>
    <x v="301"/>
    <n v="12"/>
    <n v="2800"/>
    <n v="7.0000000000000007E-2"/>
    <x v="1"/>
    <n v="33600"/>
    <n v="31248"/>
    <s v="Low"/>
  </r>
  <r>
    <x v="619"/>
    <s v="PKG-002"/>
    <x v="1"/>
    <x v="1"/>
    <x v="0"/>
    <x v="1"/>
    <x v="1"/>
    <x v="291"/>
    <n v="24"/>
    <n v="350"/>
    <n v="0"/>
    <x v="0"/>
    <n v="8400"/>
    <n v="8400"/>
    <s v="Low"/>
  </r>
  <r>
    <x v="620"/>
    <s v="PKG-010"/>
    <x v="9"/>
    <x v="2"/>
    <x v="2"/>
    <x v="4"/>
    <x v="3"/>
    <x v="306"/>
    <n v="27"/>
    <n v="750"/>
    <n v="0.11"/>
    <x v="1"/>
    <n v="20250"/>
    <n v="18022.5"/>
    <s v="Low"/>
  </r>
  <r>
    <x v="621"/>
    <s v="PKG-001"/>
    <x v="0"/>
    <x v="0"/>
    <x v="4"/>
    <x v="0"/>
    <x v="0"/>
    <x v="302"/>
    <n v="19"/>
    <n v="990"/>
    <n v="0.05"/>
    <x v="1"/>
    <n v="18810"/>
    <n v="17869.5"/>
    <s v="Low"/>
  </r>
  <r>
    <x v="622"/>
    <s v="PKG-003"/>
    <x v="2"/>
    <x v="1"/>
    <x v="1"/>
    <x v="1"/>
    <x v="1"/>
    <x v="310"/>
    <n v="118"/>
    <n v="420"/>
    <n v="0.15"/>
    <x v="1"/>
    <n v="49560"/>
    <n v="42126"/>
    <s v="Low"/>
  </r>
  <r>
    <x v="623"/>
    <s v="PKG-004"/>
    <x v="3"/>
    <x v="0"/>
    <x v="4"/>
    <x v="4"/>
    <x v="4"/>
    <x v="302"/>
    <n v="36"/>
    <n v="1200"/>
    <n v="0.12"/>
    <x v="0"/>
    <n v="43200"/>
    <n v="38016"/>
    <s v="Low"/>
  </r>
  <r>
    <x v="624"/>
    <s v="PKG-006"/>
    <x v="5"/>
    <x v="2"/>
    <x v="4"/>
    <x v="0"/>
    <x v="4"/>
    <x v="311"/>
    <n v="280"/>
    <n v="895"/>
    <n v="0.03"/>
    <x v="0"/>
    <n v="250600"/>
    <n v="243082"/>
    <s v="Medium"/>
  </r>
  <r>
    <x v="625"/>
    <s v="PKG-004"/>
    <x v="3"/>
    <x v="0"/>
    <x v="1"/>
    <x v="2"/>
    <x v="3"/>
    <x v="302"/>
    <n v="27"/>
    <n v="1200"/>
    <n v="0.15"/>
    <x v="1"/>
    <n v="32400"/>
    <n v="27540"/>
    <s v="Low"/>
  </r>
  <r>
    <x v="626"/>
    <s v="PKG-007"/>
    <x v="6"/>
    <x v="0"/>
    <x v="1"/>
    <x v="2"/>
    <x v="3"/>
    <x v="311"/>
    <n v="399"/>
    <n v="650"/>
    <n v="0.03"/>
    <x v="1"/>
    <n v="259350"/>
    <n v="251569.5"/>
    <s v="Medium"/>
  </r>
  <r>
    <x v="627"/>
    <s v="PKG-004"/>
    <x v="3"/>
    <x v="0"/>
    <x v="2"/>
    <x v="2"/>
    <x v="2"/>
    <x v="309"/>
    <n v="9"/>
    <n v="1200"/>
    <n v="0.03"/>
    <x v="1"/>
    <n v="10800"/>
    <n v="10476"/>
    <s v="Low"/>
  </r>
  <r>
    <x v="628"/>
    <s v="PKG-007"/>
    <x v="6"/>
    <x v="0"/>
    <x v="4"/>
    <x v="2"/>
    <x v="0"/>
    <x v="311"/>
    <n v="416"/>
    <n v="650"/>
    <n v="0.11"/>
    <x v="0"/>
    <n v="270400"/>
    <n v="240656"/>
    <s v="Medium"/>
  </r>
  <r>
    <x v="629"/>
    <s v="PKG-009"/>
    <x v="8"/>
    <x v="1"/>
    <x v="3"/>
    <x v="1"/>
    <x v="3"/>
    <x v="312"/>
    <n v="16"/>
    <n v="280"/>
    <n v="0.14000000000000001"/>
    <x v="0"/>
    <n v="4480"/>
    <n v="3852.8"/>
    <s v="Low"/>
  </r>
  <r>
    <x v="630"/>
    <s v="PKG-001"/>
    <x v="0"/>
    <x v="0"/>
    <x v="4"/>
    <x v="0"/>
    <x v="3"/>
    <x v="313"/>
    <n v="134"/>
    <n v="990"/>
    <n v="7.0000000000000007E-2"/>
    <x v="0"/>
    <n v="132660"/>
    <n v="123373.8"/>
    <s v="Medium"/>
  </r>
  <r>
    <x v="631"/>
    <s v="PKG-003"/>
    <x v="2"/>
    <x v="1"/>
    <x v="4"/>
    <x v="3"/>
    <x v="2"/>
    <x v="314"/>
    <n v="64"/>
    <n v="420"/>
    <n v="0.1"/>
    <x v="0"/>
    <n v="26880"/>
    <n v="24192"/>
    <s v="Low"/>
  </r>
  <r>
    <x v="632"/>
    <s v="PKG-006"/>
    <x v="5"/>
    <x v="2"/>
    <x v="3"/>
    <x v="4"/>
    <x v="1"/>
    <x v="313"/>
    <n v="340"/>
    <n v="895"/>
    <n v="0.1"/>
    <x v="0"/>
    <n v="304300"/>
    <n v="273870"/>
    <s v="Medium"/>
  </r>
  <r>
    <x v="633"/>
    <s v="PKG-004"/>
    <x v="3"/>
    <x v="0"/>
    <x v="1"/>
    <x v="4"/>
    <x v="2"/>
    <x v="314"/>
    <n v="22"/>
    <n v="1200"/>
    <n v="0.14000000000000001"/>
    <x v="0"/>
    <n v="26400"/>
    <n v="22704"/>
    <s v="Low"/>
  </r>
  <r>
    <x v="634"/>
    <s v="PKG-003"/>
    <x v="2"/>
    <x v="1"/>
    <x v="1"/>
    <x v="3"/>
    <x v="4"/>
    <x v="315"/>
    <n v="140"/>
    <n v="420"/>
    <n v="0.11"/>
    <x v="0"/>
    <n v="58800"/>
    <n v="52332"/>
    <s v="Low"/>
  </r>
  <r>
    <x v="635"/>
    <s v="PKG-008"/>
    <x v="7"/>
    <x v="3"/>
    <x v="2"/>
    <x v="1"/>
    <x v="1"/>
    <x v="295"/>
    <n v="10"/>
    <n v="2800"/>
    <n v="0"/>
    <x v="0"/>
    <n v="28000"/>
    <n v="28000"/>
    <s v="Low"/>
  </r>
  <r>
    <x v="636"/>
    <s v="PKG-001"/>
    <x v="0"/>
    <x v="0"/>
    <x v="0"/>
    <x v="1"/>
    <x v="3"/>
    <x v="315"/>
    <n v="380"/>
    <n v="990"/>
    <n v="0.08"/>
    <x v="1"/>
    <n v="376200"/>
    <n v="346104"/>
    <s v="Medium"/>
  </r>
  <r>
    <x v="637"/>
    <s v="PKG-008"/>
    <x v="7"/>
    <x v="3"/>
    <x v="4"/>
    <x v="1"/>
    <x v="4"/>
    <x v="287"/>
    <n v="11"/>
    <n v="2800"/>
    <n v="0"/>
    <x v="0"/>
    <n v="30800"/>
    <n v="30800"/>
    <s v="Low"/>
  </r>
  <r>
    <x v="638"/>
    <s v="PKG-005"/>
    <x v="4"/>
    <x v="0"/>
    <x v="0"/>
    <x v="1"/>
    <x v="2"/>
    <x v="315"/>
    <n v="396"/>
    <n v="200"/>
    <n v="0"/>
    <x v="0"/>
    <n v="79200"/>
    <n v="79200"/>
    <s v="Low"/>
  </r>
  <r>
    <x v="639"/>
    <s v="PKG-005"/>
    <x v="4"/>
    <x v="0"/>
    <x v="3"/>
    <x v="3"/>
    <x v="1"/>
    <x v="309"/>
    <n v="66"/>
    <n v="200"/>
    <n v="0"/>
    <x v="0"/>
    <n v="13200"/>
    <n v="13200"/>
    <s v="Low"/>
  </r>
  <r>
    <x v="640"/>
    <s v="PKG-009"/>
    <x v="8"/>
    <x v="1"/>
    <x v="0"/>
    <x v="1"/>
    <x v="3"/>
    <x v="316"/>
    <n v="211"/>
    <n v="280"/>
    <n v="0.11"/>
    <x v="0"/>
    <n v="59080"/>
    <n v="52581.2"/>
    <s v="Low"/>
  </r>
  <r>
    <x v="641"/>
    <s v="PKG-008"/>
    <x v="7"/>
    <x v="3"/>
    <x v="1"/>
    <x v="2"/>
    <x v="1"/>
    <x v="304"/>
    <n v="13"/>
    <n v="2800"/>
    <n v="0.12"/>
    <x v="0"/>
    <n v="36400"/>
    <n v="32032"/>
    <s v="Low"/>
  </r>
  <r>
    <x v="642"/>
    <s v="PKG-004"/>
    <x v="3"/>
    <x v="0"/>
    <x v="3"/>
    <x v="0"/>
    <x v="1"/>
    <x v="317"/>
    <n v="397"/>
    <n v="1200"/>
    <n v="0.12"/>
    <x v="0"/>
    <n v="476400"/>
    <n v="419232"/>
    <s v="High"/>
  </r>
  <r>
    <x v="643"/>
    <s v="PKG-006"/>
    <x v="5"/>
    <x v="2"/>
    <x v="1"/>
    <x v="0"/>
    <x v="5"/>
    <x v="318"/>
    <n v="30"/>
    <n v="895"/>
    <n v="0"/>
    <x v="1"/>
    <n v="26850"/>
    <n v="26850"/>
    <s v="Low"/>
  </r>
  <r>
    <x v="644"/>
    <s v="PKG-002"/>
    <x v="1"/>
    <x v="1"/>
    <x v="3"/>
    <x v="0"/>
    <x v="0"/>
    <x v="317"/>
    <n v="110"/>
    <n v="350"/>
    <n v="0"/>
    <x v="1"/>
    <n v="38500"/>
    <n v="38500"/>
    <s v="Low"/>
  </r>
  <r>
    <x v="645"/>
    <s v="PKG-005"/>
    <x v="4"/>
    <x v="0"/>
    <x v="4"/>
    <x v="2"/>
    <x v="1"/>
    <x v="319"/>
    <n v="58"/>
    <n v="200"/>
    <n v="0.03"/>
    <x v="0"/>
    <n v="11600"/>
    <n v="11252"/>
    <s v="Low"/>
  </r>
  <r>
    <x v="646"/>
    <s v="PKG-010"/>
    <x v="9"/>
    <x v="2"/>
    <x v="3"/>
    <x v="1"/>
    <x v="1"/>
    <x v="317"/>
    <n v="317"/>
    <n v="750"/>
    <n v="7.0000000000000007E-2"/>
    <x v="0"/>
    <n v="237750"/>
    <n v="221107.5"/>
    <s v="Medium"/>
  </r>
  <r>
    <x v="647"/>
    <s v="PKG-005"/>
    <x v="4"/>
    <x v="0"/>
    <x v="2"/>
    <x v="1"/>
    <x v="3"/>
    <x v="297"/>
    <n v="41"/>
    <n v="200"/>
    <n v="0.03"/>
    <x v="0"/>
    <n v="8200"/>
    <n v="7954"/>
    <s v="Low"/>
  </r>
  <r>
    <x v="648"/>
    <s v="PKG-009"/>
    <x v="8"/>
    <x v="1"/>
    <x v="0"/>
    <x v="2"/>
    <x v="1"/>
    <x v="320"/>
    <n v="427"/>
    <n v="280"/>
    <n v="0"/>
    <x v="0"/>
    <n v="119560"/>
    <n v="119560"/>
    <s v="Medium"/>
  </r>
  <r>
    <x v="649"/>
    <s v="PKG-001"/>
    <x v="0"/>
    <x v="0"/>
    <x v="2"/>
    <x v="3"/>
    <x v="5"/>
    <x v="301"/>
    <n v="16"/>
    <n v="990"/>
    <n v="0.05"/>
    <x v="0"/>
    <n v="15840"/>
    <n v="15048"/>
    <s v="Low"/>
  </r>
  <r>
    <x v="650"/>
    <s v="PKG-001"/>
    <x v="0"/>
    <x v="0"/>
    <x v="0"/>
    <x v="2"/>
    <x v="1"/>
    <x v="320"/>
    <n v="223"/>
    <n v="990"/>
    <n v="0.08"/>
    <x v="1"/>
    <n v="220770"/>
    <n v="203108.4"/>
    <s v="Medium"/>
  </r>
  <r>
    <x v="651"/>
    <s v="PKG-010"/>
    <x v="9"/>
    <x v="2"/>
    <x v="4"/>
    <x v="0"/>
    <x v="0"/>
    <x v="312"/>
    <n v="17"/>
    <n v="750"/>
    <n v="0"/>
    <x v="0"/>
    <n v="12750"/>
    <n v="12750"/>
    <s v="Low"/>
  </r>
  <r>
    <x v="652"/>
    <s v="PKG-009"/>
    <x v="8"/>
    <x v="1"/>
    <x v="3"/>
    <x v="3"/>
    <x v="2"/>
    <x v="320"/>
    <n v="353"/>
    <n v="280"/>
    <n v="0"/>
    <x v="1"/>
    <n v="98840"/>
    <n v="98840"/>
    <s v="Low"/>
  </r>
  <r>
    <x v="653"/>
    <s v="PKG-007"/>
    <x v="6"/>
    <x v="0"/>
    <x v="2"/>
    <x v="1"/>
    <x v="1"/>
    <x v="294"/>
    <n v="30"/>
    <n v="650"/>
    <n v="0"/>
    <x v="0"/>
    <n v="19500"/>
    <n v="19500"/>
    <s v="Low"/>
  </r>
  <r>
    <x v="654"/>
    <s v="PKG-009"/>
    <x v="8"/>
    <x v="1"/>
    <x v="3"/>
    <x v="1"/>
    <x v="2"/>
    <x v="321"/>
    <n v="415"/>
    <n v="280"/>
    <n v="0.03"/>
    <x v="0"/>
    <n v="116200"/>
    <n v="112714"/>
    <s v="Medium"/>
  </r>
  <r>
    <x v="655"/>
    <s v="PKG-010"/>
    <x v="9"/>
    <x v="2"/>
    <x v="1"/>
    <x v="2"/>
    <x v="1"/>
    <x v="309"/>
    <n v="22"/>
    <n v="750"/>
    <n v="0.12"/>
    <x v="1"/>
    <n v="16500"/>
    <n v="14520"/>
    <s v="Low"/>
  </r>
  <r>
    <x v="656"/>
    <s v="PKG-004"/>
    <x v="3"/>
    <x v="0"/>
    <x v="2"/>
    <x v="1"/>
    <x v="5"/>
    <x v="321"/>
    <n v="375"/>
    <n v="1200"/>
    <n v="0.14000000000000001"/>
    <x v="1"/>
    <n v="450000"/>
    <n v="387000"/>
    <s v="High"/>
  </r>
  <r>
    <x v="657"/>
    <s v="PKG-005"/>
    <x v="4"/>
    <x v="0"/>
    <x v="3"/>
    <x v="1"/>
    <x v="4"/>
    <x v="318"/>
    <n v="60"/>
    <n v="200"/>
    <n v="0.05"/>
    <x v="1"/>
    <n v="12000"/>
    <n v="11400"/>
    <s v="Low"/>
  </r>
  <r>
    <x v="658"/>
    <s v="PKG-003"/>
    <x v="2"/>
    <x v="1"/>
    <x v="0"/>
    <x v="3"/>
    <x v="3"/>
    <x v="321"/>
    <n v="181"/>
    <n v="420"/>
    <n v="0"/>
    <x v="0"/>
    <n v="76020"/>
    <n v="76020"/>
    <s v="Low"/>
  </r>
  <r>
    <x v="659"/>
    <s v="PKG-006"/>
    <x v="5"/>
    <x v="2"/>
    <x v="2"/>
    <x v="0"/>
    <x v="0"/>
    <x v="291"/>
    <n v="25"/>
    <n v="895"/>
    <n v="7.0000000000000007E-2"/>
    <x v="0"/>
    <n v="22375"/>
    <n v="20808.75"/>
    <s v="Low"/>
  </r>
  <r>
    <x v="660"/>
    <s v="PKG-009"/>
    <x v="8"/>
    <x v="1"/>
    <x v="3"/>
    <x v="4"/>
    <x v="1"/>
    <x v="322"/>
    <n v="211"/>
    <n v="280"/>
    <n v="0.08"/>
    <x v="0"/>
    <n v="59080"/>
    <n v="54353.599999999999"/>
    <s v="Low"/>
  </r>
  <r>
    <x v="661"/>
    <s v="PKG-003"/>
    <x v="2"/>
    <x v="1"/>
    <x v="0"/>
    <x v="1"/>
    <x v="2"/>
    <x v="318"/>
    <n v="31"/>
    <n v="420"/>
    <n v="0"/>
    <x v="0"/>
    <n v="13020"/>
    <n v="13020"/>
    <s v="Low"/>
  </r>
  <r>
    <x v="662"/>
    <s v="PKG-005"/>
    <x v="4"/>
    <x v="0"/>
    <x v="4"/>
    <x v="1"/>
    <x v="2"/>
    <x v="322"/>
    <n v="274"/>
    <n v="200"/>
    <n v="0.13"/>
    <x v="0"/>
    <n v="54800"/>
    <n v="47676"/>
    <s v="Low"/>
  </r>
  <r>
    <x v="663"/>
    <s v="PKG-001"/>
    <x v="0"/>
    <x v="0"/>
    <x v="0"/>
    <x v="2"/>
    <x v="4"/>
    <x v="294"/>
    <n v="45"/>
    <n v="990"/>
    <n v="0.1"/>
    <x v="1"/>
    <n v="44550"/>
    <n v="40095"/>
    <s v="Low"/>
  </r>
  <r>
    <x v="664"/>
    <s v="PKG-009"/>
    <x v="8"/>
    <x v="1"/>
    <x v="4"/>
    <x v="3"/>
    <x v="1"/>
    <x v="322"/>
    <n v="274"/>
    <n v="280"/>
    <n v="7.0000000000000007E-2"/>
    <x v="0"/>
    <n v="76720"/>
    <n v="71349.600000000006"/>
    <s v="Low"/>
  </r>
  <r>
    <x v="665"/>
    <s v="PKG-002"/>
    <x v="1"/>
    <x v="1"/>
    <x v="2"/>
    <x v="4"/>
    <x v="4"/>
    <x v="312"/>
    <n v="13"/>
    <n v="350"/>
    <n v="0.05"/>
    <x v="0"/>
    <n v="4550"/>
    <n v="4322.5"/>
    <s v="Low"/>
  </r>
  <r>
    <x v="666"/>
    <s v="PKG-007"/>
    <x v="6"/>
    <x v="0"/>
    <x v="2"/>
    <x v="1"/>
    <x v="5"/>
    <x v="323"/>
    <n v="391"/>
    <n v="650"/>
    <n v="0"/>
    <x v="0"/>
    <n v="254150"/>
    <n v="254150"/>
    <s v="Medium"/>
  </r>
  <r>
    <x v="667"/>
    <s v="PKG-004"/>
    <x v="3"/>
    <x v="0"/>
    <x v="1"/>
    <x v="3"/>
    <x v="0"/>
    <x v="318"/>
    <n v="35"/>
    <n v="1200"/>
    <n v="0"/>
    <x v="1"/>
    <n v="42000"/>
    <n v="42000"/>
    <s v="Low"/>
  </r>
  <r>
    <x v="668"/>
    <s v="PKG-005"/>
    <x v="4"/>
    <x v="0"/>
    <x v="1"/>
    <x v="3"/>
    <x v="2"/>
    <x v="324"/>
    <n v="416"/>
    <n v="200"/>
    <n v="0.08"/>
    <x v="1"/>
    <n v="83200"/>
    <n v="76544"/>
    <s v="Low"/>
  </r>
  <r>
    <x v="669"/>
    <s v="PKG-006"/>
    <x v="5"/>
    <x v="2"/>
    <x v="0"/>
    <x v="4"/>
    <x v="0"/>
    <x v="319"/>
    <n v="36"/>
    <n v="895"/>
    <n v="0.03"/>
    <x v="0"/>
    <n v="32220"/>
    <n v="31253.4"/>
    <s v="Low"/>
  </r>
  <r>
    <x v="670"/>
    <s v="PKG-003"/>
    <x v="2"/>
    <x v="1"/>
    <x v="4"/>
    <x v="2"/>
    <x v="5"/>
    <x v="325"/>
    <n v="432"/>
    <n v="420"/>
    <n v="0"/>
    <x v="0"/>
    <n v="181440"/>
    <n v="181440"/>
    <s v="Medium"/>
  </r>
  <r>
    <x v="671"/>
    <s v="PKG-002"/>
    <x v="1"/>
    <x v="1"/>
    <x v="2"/>
    <x v="4"/>
    <x v="2"/>
    <x v="308"/>
    <n v="17"/>
    <n v="350"/>
    <n v="0"/>
    <x v="1"/>
    <n v="5950"/>
    <n v="5950"/>
    <s v="Low"/>
  </r>
  <r>
    <x v="672"/>
    <s v="PKG-009"/>
    <x v="8"/>
    <x v="1"/>
    <x v="1"/>
    <x v="2"/>
    <x v="5"/>
    <x v="325"/>
    <n v="458"/>
    <n v="280"/>
    <n v="0.08"/>
    <x v="0"/>
    <n v="128240"/>
    <n v="117980.8"/>
    <s v="Medium"/>
  </r>
  <r>
    <x v="673"/>
    <s v="PKG-003"/>
    <x v="2"/>
    <x v="1"/>
    <x v="1"/>
    <x v="4"/>
    <x v="5"/>
    <x v="305"/>
    <n v="24"/>
    <n v="420"/>
    <n v="0"/>
    <x v="0"/>
    <n v="10080"/>
    <n v="10080"/>
    <s v="Low"/>
  </r>
  <r>
    <x v="674"/>
    <s v="PKG-007"/>
    <x v="6"/>
    <x v="0"/>
    <x v="4"/>
    <x v="2"/>
    <x v="1"/>
    <x v="326"/>
    <n v="428"/>
    <n v="650"/>
    <n v="0"/>
    <x v="0"/>
    <n v="278200"/>
    <n v="278200"/>
    <s v="Medium"/>
  </r>
  <r>
    <x v="675"/>
    <s v="PKG-002"/>
    <x v="1"/>
    <x v="1"/>
    <x v="2"/>
    <x v="0"/>
    <x v="4"/>
    <x v="294"/>
    <n v="41"/>
    <n v="350"/>
    <n v="0.03"/>
    <x v="0"/>
    <n v="14350"/>
    <n v="13919.5"/>
    <s v="Low"/>
  </r>
  <r>
    <x v="676"/>
    <s v="PKG-009"/>
    <x v="8"/>
    <x v="1"/>
    <x v="0"/>
    <x v="4"/>
    <x v="0"/>
    <x v="326"/>
    <n v="109"/>
    <n v="280"/>
    <n v="0.08"/>
    <x v="1"/>
    <n v="30520"/>
    <n v="28078.400000000001"/>
    <s v="Low"/>
  </r>
  <r>
    <x v="677"/>
    <s v="PKG-002"/>
    <x v="1"/>
    <x v="1"/>
    <x v="2"/>
    <x v="3"/>
    <x v="0"/>
    <x v="290"/>
    <n v="10"/>
    <n v="350"/>
    <n v="7.0000000000000007E-2"/>
    <x v="1"/>
    <n v="3500"/>
    <n v="3255"/>
    <s v="Low"/>
  </r>
  <r>
    <x v="678"/>
    <s v="PKG-007"/>
    <x v="6"/>
    <x v="0"/>
    <x v="4"/>
    <x v="4"/>
    <x v="2"/>
    <x v="327"/>
    <n v="149"/>
    <n v="650"/>
    <n v="0.15"/>
    <x v="1"/>
    <n v="96850"/>
    <n v="82322.5"/>
    <s v="Low"/>
  </r>
  <r>
    <x v="679"/>
    <s v="PKG-004"/>
    <x v="3"/>
    <x v="0"/>
    <x v="3"/>
    <x v="2"/>
    <x v="1"/>
    <x v="290"/>
    <n v="7"/>
    <n v="1200"/>
    <n v="0"/>
    <x v="0"/>
    <n v="8400"/>
    <n v="8400"/>
    <s v="Low"/>
  </r>
  <r>
    <x v="680"/>
    <s v="PKG-009"/>
    <x v="8"/>
    <x v="1"/>
    <x v="3"/>
    <x v="3"/>
    <x v="1"/>
    <x v="327"/>
    <n v="215"/>
    <n v="280"/>
    <n v="0.1"/>
    <x v="1"/>
    <n v="60200"/>
    <n v="54180"/>
    <s v="Low"/>
  </r>
  <r>
    <x v="681"/>
    <s v="PKG-010"/>
    <x v="9"/>
    <x v="2"/>
    <x v="1"/>
    <x v="3"/>
    <x v="1"/>
    <x v="287"/>
    <n v="43"/>
    <n v="750"/>
    <n v="0.1"/>
    <x v="1"/>
    <n v="32250"/>
    <n v="29025"/>
    <s v="Low"/>
  </r>
  <r>
    <x v="682"/>
    <s v="PKG-009"/>
    <x v="8"/>
    <x v="1"/>
    <x v="3"/>
    <x v="3"/>
    <x v="3"/>
    <x v="327"/>
    <n v="367"/>
    <n v="280"/>
    <n v="0.14000000000000001"/>
    <x v="1"/>
    <n v="102760"/>
    <n v="88373.6"/>
    <s v="Low"/>
  </r>
  <r>
    <x v="683"/>
    <s v="PKG-009"/>
    <x v="8"/>
    <x v="1"/>
    <x v="4"/>
    <x v="0"/>
    <x v="1"/>
    <x v="292"/>
    <n v="76"/>
    <n v="280"/>
    <n v="0"/>
    <x v="1"/>
    <n v="21280"/>
    <n v="21280"/>
    <s v="Low"/>
  </r>
  <r>
    <x v="684"/>
    <s v="PKG-003"/>
    <x v="2"/>
    <x v="1"/>
    <x v="4"/>
    <x v="3"/>
    <x v="1"/>
    <x v="328"/>
    <n v="295"/>
    <n v="420"/>
    <n v="0.12"/>
    <x v="0"/>
    <n v="123900"/>
    <n v="109032"/>
    <s v="Medium"/>
  </r>
  <r>
    <x v="685"/>
    <s v="PKG-010"/>
    <x v="9"/>
    <x v="2"/>
    <x v="1"/>
    <x v="4"/>
    <x v="2"/>
    <x v="290"/>
    <n v="46"/>
    <n v="750"/>
    <n v="0"/>
    <x v="0"/>
    <n v="34500"/>
    <n v="34500"/>
    <s v="Low"/>
  </r>
  <r>
    <x v="686"/>
    <s v="PKG-005"/>
    <x v="4"/>
    <x v="0"/>
    <x v="1"/>
    <x v="0"/>
    <x v="4"/>
    <x v="329"/>
    <n v="202"/>
    <n v="200"/>
    <n v="0.1"/>
    <x v="0"/>
    <n v="40400"/>
    <n v="36360"/>
    <s v="Low"/>
  </r>
  <r>
    <x v="687"/>
    <s v="PKG-001"/>
    <x v="0"/>
    <x v="0"/>
    <x v="0"/>
    <x v="4"/>
    <x v="1"/>
    <x v="295"/>
    <n v="25"/>
    <n v="990"/>
    <n v="0.14000000000000001"/>
    <x v="0"/>
    <n v="24750"/>
    <n v="21285"/>
    <s v="Low"/>
  </r>
  <r>
    <x v="688"/>
    <s v="PKG-002"/>
    <x v="1"/>
    <x v="1"/>
    <x v="3"/>
    <x v="0"/>
    <x v="2"/>
    <x v="329"/>
    <n v="385"/>
    <n v="350"/>
    <n v="0.14000000000000001"/>
    <x v="1"/>
    <n v="134750"/>
    <n v="115885"/>
    <s v="Medium"/>
  </r>
  <r>
    <x v="689"/>
    <s v="PKG-007"/>
    <x v="6"/>
    <x v="0"/>
    <x v="2"/>
    <x v="0"/>
    <x v="4"/>
    <x v="329"/>
    <n v="213"/>
    <n v="650"/>
    <n v="0.08"/>
    <x v="1"/>
    <n v="138450"/>
    <n v="127374"/>
    <s v="Medium"/>
  </r>
  <r>
    <x v="690"/>
    <s v="PKG-004"/>
    <x v="3"/>
    <x v="0"/>
    <x v="0"/>
    <x v="2"/>
    <x v="4"/>
    <x v="330"/>
    <n v="147"/>
    <n v="1200"/>
    <n v="0.11"/>
    <x v="0"/>
    <n v="176400"/>
    <n v="156996"/>
    <s v="Medium"/>
  </r>
  <r>
    <x v="691"/>
    <s v="PKG-002"/>
    <x v="1"/>
    <x v="1"/>
    <x v="3"/>
    <x v="0"/>
    <x v="5"/>
    <x v="330"/>
    <n v="446"/>
    <n v="350"/>
    <n v="0.08"/>
    <x v="1"/>
    <n v="156100"/>
    <n v="143612"/>
    <s v="Medium"/>
  </r>
  <r>
    <x v="692"/>
    <s v="PKG-002"/>
    <x v="1"/>
    <x v="1"/>
    <x v="3"/>
    <x v="1"/>
    <x v="2"/>
    <x v="330"/>
    <n v="191"/>
    <n v="350"/>
    <n v="0.13"/>
    <x v="0"/>
    <n v="66850"/>
    <n v="58159.5"/>
    <s v="Low"/>
  </r>
  <r>
    <x v="693"/>
    <s v="PKG-002"/>
    <x v="1"/>
    <x v="1"/>
    <x v="4"/>
    <x v="1"/>
    <x v="5"/>
    <x v="331"/>
    <n v="231"/>
    <n v="350"/>
    <n v="0.13"/>
    <x v="0"/>
    <n v="80850"/>
    <n v="70339.5"/>
    <s v="Low"/>
  </r>
  <r>
    <x v="694"/>
    <s v="PKG-006"/>
    <x v="5"/>
    <x v="2"/>
    <x v="0"/>
    <x v="1"/>
    <x v="1"/>
    <x v="331"/>
    <n v="106"/>
    <n v="895"/>
    <n v="0.11"/>
    <x v="1"/>
    <n v="94870"/>
    <n v="84434.3"/>
    <s v="Low"/>
  </r>
  <r>
    <x v="695"/>
    <s v="PKG-007"/>
    <x v="6"/>
    <x v="0"/>
    <x v="1"/>
    <x v="2"/>
    <x v="5"/>
    <x v="332"/>
    <n v="168"/>
    <n v="650"/>
    <n v="0.12"/>
    <x v="0"/>
    <n v="109200"/>
    <n v="96096"/>
    <s v="Low"/>
  </r>
  <r>
    <x v="696"/>
    <s v="PKG-010"/>
    <x v="9"/>
    <x v="2"/>
    <x v="1"/>
    <x v="2"/>
    <x v="0"/>
    <x v="332"/>
    <n v="205"/>
    <n v="750"/>
    <n v="0.15"/>
    <x v="0"/>
    <n v="153750"/>
    <n v="130687.5"/>
    <s v="Medium"/>
  </r>
  <r>
    <x v="697"/>
    <s v="PKG-002"/>
    <x v="1"/>
    <x v="1"/>
    <x v="1"/>
    <x v="0"/>
    <x v="1"/>
    <x v="332"/>
    <n v="304"/>
    <n v="350"/>
    <n v="0.13"/>
    <x v="0"/>
    <n v="106400"/>
    <n v="92568"/>
    <s v="Low"/>
  </r>
  <r>
    <x v="698"/>
    <s v="PKG-001"/>
    <x v="0"/>
    <x v="0"/>
    <x v="3"/>
    <x v="0"/>
    <x v="1"/>
    <x v="333"/>
    <n v="320"/>
    <n v="990"/>
    <n v="0.1"/>
    <x v="0"/>
    <n v="316800"/>
    <n v="285120"/>
    <s v="Medium"/>
  </r>
  <r>
    <x v="699"/>
    <s v="PKG-007"/>
    <x v="6"/>
    <x v="0"/>
    <x v="0"/>
    <x v="1"/>
    <x v="1"/>
    <x v="333"/>
    <n v="446"/>
    <n v="650"/>
    <n v="0.1"/>
    <x v="0"/>
    <n v="289900"/>
    <n v="260910"/>
    <s v="Medium"/>
  </r>
  <r>
    <x v="700"/>
    <s v="PKG-004"/>
    <x v="3"/>
    <x v="0"/>
    <x v="0"/>
    <x v="4"/>
    <x v="3"/>
    <x v="333"/>
    <n v="40"/>
    <n v="1200"/>
    <n v="0.05"/>
    <x v="0"/>
    <n v="48000"/>
    <n v="45600"/>
    <s v="Low"/>
  </r>
  <r>
    <x v="701"/>
    <s v="PKG-006"/>
    <x v="5"/>
    <x v="2"/>
    <x v="2"/>
    <x v="0"/>
    <x v="3"/>
    <x v="334"/>
    <n v="248"/>
    <n v="895"/>
    <n v="0.15"/>
    <x v="1"/>
    <n v="221960"/>
    <n v="188666"/>
    <s v="Medium"/>
  </r>
  <r>
    <x v="702"/>
    <s v="PKG-007"/>
    <x v="6"/>
    <x v="0"/>
    <x v="2"/>
    <x v="2"/>
    <x v="5"/>
    <x v="335"/>
    <n v="217"/>
    <n v="650"/>
    <n v="0.15"/>
    <x v="0"/>
    <n v="141050"/>
    <n v="119892.5"/>
    <s v="Medium"/>
  </r>
  <r>
    <x v="703"/>
    <s v="PKG-007"/>
    <x v="6"/>
    <x v="0"/>
    <x v="4"/>
    <x v="1"/>
    <x v="5"/>
    <x v="336"/>
    <n v="395"/>
    <n v="650"/>
    <n v="0"/>
    <x v="0"/>
    <n v="256750"/>
    <n v="256750"/>
    <s v="Medium"/>
  </r>
  <r>
    <x v="704"/>
    <s v="PKG-010"/>
    <x v="9"/>
    <x v="2"/>
    <x v="3"/>
    <x v="3"/>
    <x v="4"/>
    <x v="336"/>
    <n v="396"/>
    <n v="750"/>
    <n v="0.15"/>
    <x v="1"/>
    <n v="297000"/>
    <n v="252450"/>
    <s v="Medium"/>
  </r>
  <r>
    <x v="705"/>
    <s v="PKG-006"/>
    <x v="5"/>
    <x v="2"/>
    <x v="0"/>
    <x v="1"/>
    <x v="1"/>
    <x v="336"/>
    <n v="361"/>
    <n v="895"/>
    <n v="0.05"/>
    <x v="1"/>
    <n v="323095"/>
    <n v="306940.25"/>
    <s v="Medium"/>
  </r>
  <r>
    <x v="706"/>
    <s v="PKG-005"/>
    <x v="4"/>
    <x v="0"/>
    <x v="4"/>
    <x v="0"/>
    <x v="1"/>
    <x v="337"/>
    <n v="147"/>
    <n v="200"/>
    <n v="0"/>
    <x v="0"/>
    <n v="29400"/>
    <n v="29400"/>
    <s v="Low"/>
  </r>
  <r>
    <x v="707"/>
    <s v="PKG-001"/>
    <x v="0"/>
    <x v="0"/>
    <x v="2"/>
    <x v="1"/>
    <x v="4"/>
    <x v="337"/>
    <n v="250"/>
    <n v="990"/>
    <n v="0"/>
    <x v="1"/>
    <n v="247500"/>
    <n v="247500"/>
    <s v="Medium"/>
  </r>
  <r>
    <x v="708"/>
    <s v="PKG-006"/>
    <x v="5"/>
    <x v="2"/>
    <x v="3"/>
    <x v="0"/>
    <x v="1"/>
    <x v="338"/>
    <n v="331"/>
    <n v="895"/>
    <n v="0.03"/>
    <x v="1"/>
    <n v="296245"/>
    <n v="287357.65000000002"/>
    <s v="Medium"/>
  </r>
  <r>
    <x v="709"/>
    <s v="PKG-002"/>
    <x v="1"/>
    <x v="1"/>
    <x v="4"/>
    <x v="0"/>
    <x v="2"/>
    <x v="338"/>
    <n v="307"/>
    <n v="350"/>
    <n v="0"/>
    <x v="1"/>
    <n v="107450"/>
    <n v="107450"/>
    <s v="Medium"/>
  </r>
  <r>
    <x v="710"/>
    <s v="PKG-006"/>
    <x v="5"/>
    <x v="2"/>
    <x v="1"/>
    <x v="0"/>
    <x v="3"/>
    <x v="338"/>
    <n v="343"/>
    <n v="895"/>
    <n v="0.03"/>
    <x v="0"/>
    <n v="306985"/>
    <n v="297775.45"/>
    <s v="Medium"/>
  </r>
  <r>
    <x v="711"/>
    <s v="PKG-005"/>
    <x v="4"/>
    <x v="0"/>
    <x v="1"/>
    <x v="1"/>
    <x v="5"/>
    <x v="339"/>
    <n v="211"/>
    <n v="200"/>
    <n v="0"/>
    <x v="0"/>
    <n v="42200"/>
    <n v="42200"/>
    <s v="Low"/>
  </r>
  <r>
    <x v="712"/>
    <s v="PKG-006"/>
    <x v="5"/>
    <x v="2"/>
    <x v="4"/>
    <x v="0"/>
    <x v="1"/>
    <x v="340"/>
    <n v="153"/>
    <n v="895"/>
    <n v="0.11"/>
    <x v="1"/>
    <n v="136935"/>
    <n v="121872.15"/>
    <s v="Medium"/>
  </r>
  <r>
    <x v="713"/>
    <s v="PKG-008"/>
    <x v="7"/>
    <x v="3"/>
    <x v="3"/>
    <x v="4"/>
    <x v="4"/>
    <x v="340"/>
    <n v="52"/>
    <n v="2800"/>
    <n v="0.03"/>
    <x v="1"/>
    <n v="145600"/>
    <n v="141232"/>
    <s v="Medium"/>
  </r>
  <r>
    <x v="714"/>
    <s v="PKG-008"/>
    <x v="7"/>
    <x v="3"/>
    <x v="2"/>
    <x v="3"/>
    <x v="1"/>
    <x v="340"/>
    <n v="64"/>
    <n v="2800"/>
    <n v="0.15"/>
    <x v="0"/>
    <n v="179200"/>
    <n v="152320"/>
    <s v="Medium"/>
  </r>
  <r>
    <x v="715"/>
    <s v="PKG-005"/>
    <x v="4"/>
    <x v="0"/>
    <x v="2"/>
    <x v="1"/>
    <x v="0"/>
    <x v="341"/>
    <n v="419"/>
    <n v="200"/>
    <n v="0.05"/>
    <x v="1"/>
    <n v="83800"/>
    <n v="79610"/>
    <s v="Low"/>
  </r>
  <r>
    <x v="716"/>
    <s v="PKG-010"/>
    <x v="9"/>
    <x v="2"/>
    <x v="2"/>
    <x v="0"/>
    <x v="4"/>
    <x v="341"/>
    <n v="301"/>
    <n v="750"/>
    <n v="0.05"/>
    <x v="1"/>
    <n v="225750"/>
    <n v="214462.5"/>
    <s v="Medium"/>
  </r>
  <r>
    <x v="717"/>
    <s v="PKG-004"/>
    <x v="3"/>
    <x v="0"/>
    <x v="1"/>
    <x v="2"/>
    <x v="3"/>
    <x v="341"/>
    <n v="102"/>
    <n v="1200"/>
    <n v="0.14000000000000001"/>
    <x v="1"/>
    <n v="122400"/>
    <n v="105264"/>
    <s v="Medium"/>
  </r>
  <r>
    <x v="718"/>
    <s v="PKG-010"/>
    <x v="9"/>
    <x v="2"/>
    <x v="0"/>
    <x v="2"/>
    <x v="1"/>
    <x v="342"/>
    <n v="102"/>
    <n v="750"/>
    <n v="0.12"/>
    <x v="1"/>
    <n v="76500"/>
    <n v="67320"/>
    <s v="Low"/>
  </r>
  <r>
    <x v="719"/>
    <s v="PKG-001"/>
    <x v="0"/>
    <x v="0"/>
    <x v="2"/>
    <x v="3"/>
    <x v="1"/>
    <x v="343"/>
    <n v="305"/>
    <n v="990"/>
    <n v="0"/>
    <x v="0"/>
    <n v="301950"/>
    <n v="301950"/>
    <s v="Medium"/>
  </r>
  <r>
    <x v="720"/>
    <s v="PKG-001"/>
    <x v="0"/>
    <x v="0"/>
    <x v="1"/>
    <x v="1"/>
    <x v="1"/>
    <x v="343"/>
    <n v="205"/>
    <n v="990"/>
    <n v="0.12"/>
    <x v="1"/>
    <n v="202950"/>
    <n v="178596"/>
    <s v="Medium"/>
  </r>
  <r>
    <x v="721"/>
    <s v="PKG-010"/>
    <x v="9"/>
    <x v="2"/>
    <x v="0"/>
    <x v="3"/>
    <x v="0"/>
    <x v="343"/>
    <n v="366"/>
    <n v="750"/>
    <n v="0.08"/>
    <x v="1"/>
    <n v="274500"/>
    <n v="252540"/>
    <s v="Medium"/>
  </r>
  <r>
    <x v="722"/>
    <s v="PKG-008"/>
    <x v="7"/>
    <x v="3"/>
    <x v="3"/>
    <x v="3"/>
    <x v="4"/>
    <x v="344"/>
    <n v="207"/>
    <n v="2800"/>
    <n v="0.15"/>
    <x v="0"/>
    <n v="579600"/>
    <n v="492660"/>
    <s v="High"/>
  </r>
  <r>
    <x v="723"/>
    <s v="PKG-007"/>
    <x v="6"/>
    <x v="0"/>
    <x v="2"/>
    <x v="2"/>
    <x v="0"/>
    <x v="344"/>
    <n v="189"/>
    <n v="650"/>
    <n v="0.11"/>
    <x v="1"/>
    <n v="122850"/>
    <n v="109336.5"/>
    <s v="Medium"/>
  </r>
  <r>
    <x v="724"/>
    <s v="PKG-010"/>
    <x v="9"/>
    <x v="2"/>
    <x v="1"/>
    <x v="2"/>
    <x v="2"/>
    <x v="344"/>
    <n v="347"/>
    <n v="750"/>
    <n v="0"/>
    <x v="1"/>
    <n v="260250"/>
    <n v="260250"/>
    <s v="Medium"/>
  </r>
  <r>
    <x v="725"/>
    <s v="PKG-007"/>
    <x v="6"/>
    <x v="0"/>
    <x v="1"/>
    <x v="3"/>
    <x v="5"/>
    <x v="345"/>
    <n v="277"/>
    <n v="650"/>
    <n v="0.11"/>
    <x v="1"/>
    <n v="180050"/>
    <n v="160244.5"/>
    <s v="Medium"/>
  </r>
  <r>
    <x v="726"/>
    <s v="PKG-008"/>
    <x v="7"/>
    <x v="3"/>
    <x v="0"/>
    <x v="3"/>
    <x v="0"/>
    <x v="345"/>
    <n v="24"/>
    <n v="2800"/>
    <n v="0.05"/>
    <x v="0"/>
    <n v="67200"/>
    <n v="63840"/>
    <s v="Low"/>
  </r>
  <r>
    <x v="727"/>
    <s v="PKG-009"/>
    <x v="8"/>
    <x v="1"/>
    <x v="3"/>
    <x v="3"/>
    <x v="2"/>
    <x v="346"/>
    <n v="340"/>
    <n v="280"/>
    <n v="0.03"/>
    <x v="0"/>
    <n v="95200"/>
    <n v="92344"/>
    <s v="Low"/>
  </r>
  <r>
    <x v="728"/>
    <s v="PKG-006"/>
    <x v="5"/>
    <x v="2"/>
    <x v="0"/>
    <x v="2"/>
    <x v="3"/>
    <x v="346"/>
    <n v="136"/>
    <n v="895"/>
    <n v="0"/>
    <x v="0"/>
    <n v="121720"/>
    <n v="121720"/>
    <s v="Medium"/>
  </r>
  <r>
    <x v="729"/>
    <s v="PKG-003"/>
    <x v="2"/>
    <x v="1"/>
    <x v="3"/>
    <x v="2"/>
    <x v="4"/>
    <x v="346"/>
    <n v="93"/>
    <n v="420"/>
    <n v="0.14000000000000001"/>
    <x v="1"/>
    <n v="39060"/>
    <n v="33591.599999999999"/>
    <s v="Low"/>
  </r>
  <r>
    <x v="730"/>
    <s v="PKG-007"/>
    <x v="6"/>
    <x v="0"/>
    <x v="3"/>
    <x v="1"/>
    <x v="3"/>
    <x v="347"/>
    <n v="389"/>
    <n v="650"/>
    <n v="0.13"/>
    <x v="0"/>
    <n v="252850"/>
    <n v="219979.5"/>
    <s v="Medium"/>
  </r>
  <r>
    <x v="731"/>
    <s v="PKG-001"/>
    <x v="0"/>
    <x v="0"/>
    <x v="0"/>
    <x v="2"/>
    <x v="1"/>
    <x v="347"/>
    <n v="134"/>
    <n v="990"/>
    <n v="0.13"/>
    <x v="0"/>
    <n v="132660"/>
    <n v="115414.2"/>
    <s v="Medium"/>
  </r>
  <r>
    <x v="732"/>
    <s v="PKG-009"/>
    <x v="8"/>
    <x v="1"/>
    <x v="2"/>
    <x v="1"/>
    <x v="1"/>
    <x v="348"/>
    <n v="499"/>
    <n v="280"/>
    <n v="0.15"/>
    <x v="0"/>
    <n v="139720"/>
    <n v="118762"/>
    <s v="Medium"/>
  </r>
  <r>
    <x v="733"/>
    <s v="PKG-010"/>
    <x v="9"/>
    <x v="2"/>
    <x v="3"/>
    <x v="0"/>
    <x v="2"/>
    <x v="348"/>
    <n v="124"/>
    <n v="750"/>
    <n v="0.15"/>
    <x v="0"/>
    <n v="93000"/>
    <n v="79050"/>
    <s v="Low"/>
  </r>
  <r>
    <x v="734"/>
    <s v="PKG-007"/>
    <x v="6"/>
    <x v="0"/>
    <x v="0"/>
    <x v="2"/>
    <x v="4"/>
    <x v="348"/>
    <n v="205"/>
    <n v="650"/>
    <n v="0.05"/>
    <x v="0"/>
    <n v="133250"/>
    <n v="126587.5"/>
    <s v="Medium"/>
  </r>
  <r>
    <x v="735"/>
    <s v="PKG-008"/>
    <x v="7"/>
    <x v="3"/>
    <x v="0"/>
    <x v="0"/>
    <x v="5"/>
    <x v="349"/>
    <n v="324"/>
    <n v="2800"/>
    <n v="0"/>
    <x v="1"/>
    <n v="907200"/>
    <n v="907200"/>
    <s v="High"/>
  </r>
  <r>
    <x v="736"/>
    <s v="PKG-004"/>
    <x v="3"/>
    <x v="0"/>
    <x v="2"/>
    <x v="4"/>
    <x v="3"/>
    <x v="349"/>
    <n v="141"/>
    <n v="1200"/>
    <n v="0.15"/>
    <x v="0"/>
    <n v="169200"/>
    <n v="143820"/>
    <s v="Medium"/>
  </r>
  <r>
    <x v="737"/>
    <s v="PKG-009"/>
    <x v="8"/>
    <x v="1"/>
    <x v="2"/>
    <x v="4"/>
    <x v="2"/>
    <x v="349"/>
    <n v="404"/>
    <n v="280"/>
    <n v="0"/>
    <x v="0"/>
    <n v="113120"/>
    <n v="113120"/>
    <s v="Medium"/>
  </r>
  <r>
    <x v="738"/>
    <s v="PKG-002"/>
    <x v="1"/>
    <x v="1"/>
    <x v="4"/>
    <x v="1"/>
    <x v="4"/>
    <x v="350"/>
    <n v="231"/>
    <n v="350"/>
    <n v="0.12"/>
    <x v="0"/>
    <n v="80850"/>
    <n v="71148"/>
    <s v="Low"/>
  </r>
  <r>
    <x v="739"/>
    <s v="PKG-003"/>
    <x v="2"/>
    <x v="1"/>
    <x v="3"/>
    <x v="1"/>
    <x v="4"/>
    <x v="350"/>
    <n v="50"/>
    <n v="420"/>
    <n v="7.0000000000000007E-2"/>
    <x v="0"/>
    <n v="21000"/>
    <n v="19530"/>
    <s v="Low"/>
  </r>
  <r>
    <x v="740"/>
    <s v="PKG-006"/>
    <x v="5"/>
    <x v="2"/>
    <x v="0"/>
    <x v="0"/>
    <x v="3"/>
    <x v="351"/>
    <n v="75"/>
    <n v="895"/>
    <n v="0.08"/>
    <x v="0"/>
    <n v="67125"/>
    <n v="61755"/>
    <s v="Low"/>
  </r>
  <r>
    <x v="741"/>
    <s v="PKG-001"/>
    <x v="0"/>
    <x v="0"/>
    <x v="1"/>
    <x v="0"/>
    <x v="1"/>
    <x v="351"/>
    <n v="182"/>
    <n v="990"/>
    <n v="0.03"/>
    <x v="1"/>
    <n v="180180"/>
    <n v="174774.6"/>
    <s v="Medium"/>
  </r>
  <r>
    <x v="742"/>
    <s v="PKG-008"/>
    <x v="7"/>
    <x v="3"/>
    <x v="2"/>
    <x v="1"/>
    <x v="4"/>
    <x v="351"/>
    <n v="361"/>
    <n v="2800"/>
    <n v="0.13"/>
    <x v="1"/>
    <n v="1010800"/>
    <n v="879396"/>
    <s v="High"/>
  </r>
  <r>
    <x v="743"/>
    <s v="PKG-004"/>
    <x v="3"/>
    <x v="0"/>
    <x v="1"/>
    <x v="2"/>
    <x v="3"/>
    <x v="352"/>
    <n v="201"/>
    <n v="1200"/>
    <n v="0.11"/>
    <x v="1"/>
    <n v="241200"/>
    <n v="214668"/>
    <s v="Medium"/>
  </r>
  <r>
    <x v="744"/>
    <s v="PKG-007"/>
    <x v="6"/>
    <x v="0"/>
    <x v="2"/>
    <x v="3"/>
    <x v="4"/>
    <x v="352"/>
    <n v="365"/>
    <n v="650"/>
    <n v="7.0000000000000007E-2"/>
    <x v="1"/>
    <n v="237250"/>
    <n v="220642.5"/>
    <s v="Medium"/>
  </r>
  <r>
    <x v="745"/>
    <s v="PKG-007"/>
    <x v="6"/>
    <x v="0"/>
    <x v="4"/>
    <x v="1"/>
    <x v="1"/>
    <x v="353"/>
    <n v="371"/>
    <n v="650"/>
    <n v="0.11"/>
    <x v="0"/>
    <n v="241150"/>
    <n v="214623.5"/>
    <s v="Medium"/>
  </r>
  <r>
    <x v="746"/>
    <s v="PKG-008"/>
    <x v="7"/>
    <x v="3"/>
    <x v="1"/>
    <x v="4"/>
    <x v="2"/>
    <x v="353"/>
    <n v="300"/>
    <n v="2800"/>
    <n v="0"/>
    <x v="0"/>
    <n v="840000"/>
    <n v="840000"/>
    <s v="High"/>
  </r>
  <r>
    <x v="747"/>
    <s v="PKG-009"/>
    <x v="8"/>
    <x v="1"/>
    <x v="4"/>
    <x v="2"/>
    <x v="0"/>
    <x v="353"/>
    <n v="88"/>
    <n v="280"/>
    <n v="0.12"/>
    <x v="0"/>
    <n v="24640"/>
    <n v="21683.200000000001"/>
    <s v="Low"/>
  </r>
  <r>
    <x v="748"/>
    <s v="PKG-001"/>
    <x v="0"/>
    <x v="0"/>
    <x v="2"/>
    <x v="4"/>
    <x v="2"/>
    <x v="354"/>
    <n v="215"/>
    <n v="990"/>
    <n v="0"/>
    <x v="0"/>
    <n v="212850"/>
    <n v="212850"/>
    <s v="Medium"/>
  </r>
  <r>
    <x v="749"/>
    <s v="PKG-007"/>
    <x v="6"/>
    <x v="0"/>
    <x v="0"/>
    <x v="4"/>
    <x v="2"/>
    <x v="354"/>
    <n v="66"/>
    <n v="650"/>
    <n v="0.13"/>
    <x v="0"/>
    <n v="42900"/>
    <n v="37323"/>
    <s v="Low"/>
  </r>
  <r>
    <x v="750"/>
    <s v="PKG-005"/>
    <x v="4"/>
    <x v="0"/>
    <x v="1"/>
    <x v="0"/>
    <x v="1"/>
    <x v="354"/>
    <n v="401"/>
    <n v="200"/>
    <n v="0"/>
    <x v="0"/>
    <n v="80200"/>
    <n v="80200"/>
    <s v="Low"/>
  </r>
  <r>
    <x v="751"/>
    <s v="PKG-006"/>
    <x v="5"/>
    <x v="2"/>
    <x v="3"/>
    <x v="2"/>
    <x v="4"/>
    <x v="355"/>
    <n v="358"/>
    <n v="895"/>
    <n v="0.08"/>
    <x v="1"/>
    <n v="320410"/>
    <n v="294777.2"/>
    <s v="Medium"/>
  </r>
  <r>
    <x v="752"/>
    <s v="PKG-010"/>
    <x v="9"/>
    <x v="2"/>
    <x v="2"/>
    <x v="1"/>
    <x v="0"/>
    <x v="355"/>
    <n v="164"/>
    <n v="750"/>
    <n v="0.13"/>
    <x v="1"/>
    <n v="123000"/>
    <n v="107010"/>
    <s v="Medium"/>
  </r>
  <r>
    <x v="753"/>
    <s v="PKG-001"/>
    <x v="0"/>
    <x v="0"/>
    <x v="3"/>
    <x v="2"/>
    <x v="4"/>
    <x v="355"/>
    <n v="151"/>
    <n v="990"/>
    <n v="0.12"/>
    <x v="1"/>
    <n v="149490"/>
    <n v="131551.20000000001"/>
    <s v="Medium"/>
  </r>
  <r>
    <x v="754"/>
    <s v="PKG-003"/>
    <x v="2"/>
    <x v="1"/>
    <x v="2"/>
    <x v="3"/>
    <x v="1"/>
    <x v="356"/>
    <n v="119"/>
    <n v="420"/>
    <n v="0.13"/>
    <x v="0"/>
    <n v="49980"/>
    <n v="43482.6"/>
    <s v="Low"/>
  </r>
  <r>
    <x v="755"/>
    <s v="PKG-009"/>
    <x v="8"/>
    <x v="1"/>
    <x v="2"/>
    <x v="0"/>
    <x v="4"/>
    <x v="356"/>
    <n v="340"/>
    <n v="280"/>
    <n v="0.11"/>
    <x v="1"/>
    <n v="95200"/>
    <n v="84728"/>
    <s v="Low"/>
  </r>
  <r>
    <x v="756"/>
    <s v="PKG-003"/>
    <x v="2"/>
    <x v="1"/>
    <x v="4"/>
    <x v="4"/>
    <x v="1"/>
    <x v="356"/>
    <n v="185"/>
    <n v="420"/>
    <n v="0.05"/>
    <x v="0"/>
    <n v="77700"/>
    <n v="73815"/>
    <s v="Low"/>
  </r>
  <r>
    <x v="757"/>
    <s v="PKG-009"/>
    <x v="8"/>
    <x v="1"/>
    <x v="2"/>
    <x v="0"/>
    <x v="3"/>
    <x v="357"/>
    <n v="196"/>
    <n v="280"/>
    <n v="0.1"/>
    <x v="0"/>
    <n v="54880"/>
    <n v="49392"/>
    <s v="Low"/>
  </r>
  <r>
    <x v="758"/>
    <s v="PKG-004"/>
    <x v="3"/>
    <x v="0"/>
    <x v="4"/>
    <x v="0"/>
    <x v="1"/>
    <x v="358"/>
    <n v="262"/>
    <n v="1200"/>
    <n v="0.15"/>
    <x v="0"/>
    <n v="314400"/>
    <n v="267240"/>
    <s v="Medium"/>
  </r>
  <r>
    <x v="759"/>
    <s v="PKG-010"/>
    <x v="9"/>
    <x v="2"/>
    <x v="4"/>
    <x v="1"/>
    <x v="5"/>
    <x v="358"/>
    <n v="211"/>
    <n v="750"/>
    <n v="0.15"/>
    <x v="0"/>
    <n v="158250"/>
    <n v="134512.5"/>
    <s v="Medium"/>
  </r>
  <r>
    <x v="760"/>
    <s v="PKG-001"/>
    <x v="0"/>
    <x v="0"/>
    <x v="1"/>
    <x v="0"/>
    <x v="3"/>
    <x v="359"/>
    <n v="133"/>
    <n v="990"/>
    <n v="0.13"/>
    <x v="0"/>
    <n v="131670"/>
    <n v="114552.9"/>
    <s v="Medium"/>
  </r>
  <r>
    <x v="761"/>
    <s v="PKG-005"/>
    <x v="4"/>
    <x v="0"/>
    <x v="0"/>
    <x v="1"/>
    <x v="5"/>
    <x v="359"/>
    <n v="102"/>
    <n v="200"/>
    <n v="0.12"/>
    <x v="1"/>
    <n v="20400"/>
    <n v="17952"/>
    <s v="Low"/>
  </r>
  <r>
    <x v="762"/>
    <s v="PKG-010"/>
    <x v="9"/>
    <x v="2"/>
    <x v="3"/>
    <x v="1"/>
    <x v="1"/>
    <x v="359"/>
    <n v="311"/>
    <n v="750"/>
    <n v="0.1"/>
    <x v="1"/>
    <n v="233250"/>
    <n v="209925"/>
    <s v="Medium"/>
  </r>
  <r>
    <x v="763"/>
    <s v="PKG-008"/>
    <x v="7"/>
    <x v="3"/>
    <x v="0"/>
    <x v="2"/>
    <x v="0"/>
    <x v="360"/>
    <n v="335"/>
    <n v="2800"/>
    <n v="0"/>
    <x v="0"/>
    <n v="938000"/>
    <n v="938000"/>
    <s v="High"/>
  </r>
  <r>
    <x v="764"/>
    <s v="PKG-006"/>
    <x v="5"/>
    <x v="2"/>
    <x v="2"/>
    <x v="3"/>
    <x v="1"/>
    <x v="360"/>
    <n v="175"/>
    <n v="895"/>
    <n v="0.12"/>
    <x v="1"/>
    <n v="156625"/>
    <n v="137830"/>
    <s v="Medium"/>
  </r>
  <r>
    <x v="765"/>
    <s v="PKG-007"/>
    <x v="6"/>
    <x v="0"/>
    <x v="0"/>
    <x v="2"/>
    <x v="4"/>
    <x v="361"/>
    <n v="240"/>
    <n v="650"/>
    <n v="0.11"/>
    <x v="0"/>
    <n v="156000"/>
    <n v="138840"/>
    <s v="Medium"/>
  </r>
  <r>
    <x v="766"/>
    <s v="PKG-007"/>
    <x v="6"/>
    <x v="0"/>
    <x v="2"/>
    <x v="1"/>
    <x v="4"/>
    <x v="361"/>
    <n v="180"/>
    <n v="650"/>
    <n v="0.1"/>
    <x v="0"/>
    <n v="117000"/>
    <n v="105300"/>
    <s v="Medium"/>
  </r>
  <r>
    <x v="767"/>
    <s v="PKG-004"/>
    <x v="3"/>
    <x v="0"/>
    <x v="3"/>
    <x v="2"/>
    <x v="4"/>
    <x v="361"/>
    <n v="185"/>
    <n v="1200"/>
    <n v="0.1"/>
    <x v="1"/>
    <n v="222000"/>
    <n v="199800"/>
    <s v="Medium"/>
  </r>
  <r>
    <x v="768"/>
    <s v="PKG-008"/>
    <x v="7"/>
    <x v="3"/>
    <x v="1"/>
    <x v="1"/>
    <x v="5"/>
    <x v="362"/>
    <n v="379"/>
    <n v="2800"/>
    <n v="0"/>
    <x v="1"/>
    <n v="1061200"/>
    <n v="1061200"/>
    <s v="High"/>
  </r>
  <r>
    <x v="769"/>
    <s v="PKG-009"/>
    <x v="8"/>
    <x v="1"/>
    <x v="2"/>
    <x v="2"/>
    <x v="2"/>
    <x v="362"/>
    <n v="281"/>
    <n v="280"/>
    <n v="7.0000000000000007E-2"/>
    <x v="0"/>
    <n v="78680"/>
    <n v="73172.399999999994"/>
    <s v="Low"/>
  </r>
  <r>
    <x v="770"/>
    <s v="PKG-009"/>
    <x v="8"/>
    <x v="1"/>
    <x v="2"/>
    <x v="1"/>
    <x v="0"/>
    <x v="362"/>
    <n v="159"/>
    <n v="280"/>
    <n v="0.11"/>
    <x v="0"/>
    <n v="44520"/>
    <n v="39622.800000000003"/>
    <s v="Low"/>
  </r>
  <r>
    <x v="771"/>
    <s v="PKG-007"/>
    <x v="6"/>
    <x v="0"/>
    <x v="1"/>
    <x v="2"/>
    <x v="4"/>
    <x v="363"/>
    <n v="122"/>
    <n v="650"/>
    <n v="0.14000000000000001"/>
    <x v="0"/>
    <n v="79300"/>
    <n v="68198"/>
    <s v="Low"/>
  </r>
  <r>
    <x v="772"/>
    <s v="PKG-006"/>
    <x v="5"/>
    <x v="2"/>
    <x v="4"/>
    <x v="4"/>
    <x v="1"/>
    <x v="363"/>
    <n v="269"/>
    <n v="895"/>
    <n v="0.03"/>
    <x v="0"/>
    <n v="240755"/>
    <n v="233532.35"/>
    <s v="Medium"/>
  </r>
  <r>
    <x v="773"/>
    <s v="PKG-008"/>
    <x v="7"/>
    <x v="3"/>
    <x v="3"/>
    <x v="2"/>
    <x v="3"/>
    <x v="363"/>
    <n v="287"/>
    <n v="2800"/>
    <n v="7.0000000000000007E-2"/>
    <x v="1"/>
    <n v="803600"/>
    <n v="747348"/>
    <s v="High"/>
  </r>
  <r>
    <x v="774"/>
    <s v="PKG-007"/>
    <x v="6"/>
    <x v="0"/>
    <x v="1"/>
    <x v="3"/>
    <x v="1"/>
    <x v="364"/>
    <n v="175"/>
    <n v="650"/>
    <n v="0.14000000000000001"/>
    <x v="0"/>
    <n v="113750"/>
    <n v="97825"/>
    <s v="Low"/>
  </r>
  <r>
    <x v="775"/>
    <s v="PKG-004"/>
    <x v="3"/>
    <x v="0"/>
    <x v="1"/>
    <x v="0"/>
    <x v="5"/>
    <x v="365"/>
    <n v="58"/>
    <n v="1200"/>
    <n v="0"/>
    <x v="0"/>
    <n v="69600"/>
    <n v="69600"/>
    <s v="Low"/>
  </r>
  <r>
    <x v="776"/>
    <s v="PKG-004"/>
    <x v="3"/>
    <x v="0"/>
    <x v="2"/>
    <x v="3"/>
    <x v="2"/>
    <x v="365"/>
    <n v="288"/>
    <n v="1200"/>
    <n v="0"/>
    <x v="0"/>
    <n v="345600"/>
    <n v="345600"/>
    <s v="Medium"/>
  </r>
  <r>
    <x v="777"/>
    <s v="PKG-007"/>
    <x v="6"/>
    <x v="0"/>
    <x v="3"/>
    <x v="4"/>
    <x v="5"/>
    <x v="365"/>
    <n v="272"/>
    <n v="650"/>
    <n v="7.0000000000000007E-2"/>
    <x v="1"/>
    <n v="176800"/>
    <n v="164424"/>
    <s v="Medium"/>
  </r>
  <r>
    <x v="778"/>
    <s v="PKG-007"/>
    <x v="6"/>
    <x v="0"/>
    <x v="1"/>
    <x v="3"/>
    <x v="4"/>
    <x v="366"/>
    <n v="241"/>
    <n v="650"/>
    <n v="0.14000000000000001"/>
    <x v="0"/>
    <n v="156650"/>
    <n v="134719"/>
    <s v="Medium"/>
  </r>
  <r>
    <x v="779"/>
    <s v="PKG-010"/>
    <x v="9"/>
    <x v="2"/>
    <x v="3"/>
    <x v="3"/>
    <x v="1"/>
    <x v="366"/>
    <n v="262"/>
    <n v="750"/>
    <n v="0.13"/>
    <x v="0"/>
    <n v="196500"/>
    <n v="170955"/>
    <s v="Medium"/>
  </r>
  <r>
    <x v="780"/>
    <s v="PKG-006"/>
    <x v="5"/>
    <x v="2"/>
    <x v="2"/>
    <x v="4"/>
    <x v="3"/>
    <x v="366"/>
    <n v="344"/>
    <n v="895"/>
    <n v="0.1"/>
    <x v="0"/>
    <n v="307880"/>
    <n v="277092"/>
    <s v="Medium"/>
  </r>
  <r>
    <x v="781"/>
    <s v="PKG-010"/>
    <x v="9"/>
    <x v="2"/>
    <x v="3"/>
    <x v="1"/>
    <x v="0"/>
    <x v="367"/>
    <n v="206"/>
    <n v="750"/>
    <n v="0.1"/>
    <x v="1"/>
    <n v="154500"/>
    <n v="139050"/>
    <s v="Medium"/>
  </r>
  <r>
    <x v="782"/>
    <s v="PKG-010"/>
    <x v="9"/>
    <x v="2"/>
    <x v="0"/>
    <x v="1"/>
    <x v="1"/>
    <x v="368"/>
    <n v="92"/>
    <n v="750"/>
    <n v="0.11"/>
    <x v="0"/>
    <n v="69000"/>
    <n v="61410"/>
    <s v="Low"/>
  </r>
  <r>
    <x v="783"/>
    <s v="PKG-008"/>
    <x v="7"/>
    <x v="3"/>
    <x v="0"/>
    <x v="0"/>
    <x v="1"/>
    <x v="369"/>
    <n v="316"/>
    <n v="2800"/>
    <n v="0.14000000000000001"/>
    <x v="1"/>
    <n v="884800"/>
    <n v="760928"/>
    <s v="High"/>
  </r>
  <r>
    <x v="784"/>
    <s v="PKG-008"/>
    <x v="7"/>
    <x v="3"/>
    <x v="2"/>
    <x v="0"/>
    <x v="2"/>
    <x v="370"/>
    <n v="376"/>
    <n v="2800"/>
    <n v="0"/>
    <x v="0"/>
    <n v="1052800"/>
    <n v="1052800"/>
    <s v="High"/>
  </r>
  <r>
    <x v="785"/>
    <s v="PKG-008"/>
    <x v="7"/>
    <x v="3"/>
    <x v="0"/>
    <x v="1"/>
    <x v="1"/>
    <x v="370"/>
    <n v="323"/>
    <n v="2800"/>
    <n v="0.03"/>
    <x v="1"/>
    <n v="904400"/>
    <n v="877268"/>
    <s v="High"/>
  </r>
  <r>
    <x v="786"/>
    <s v="PKG-008"/>
    <x v="7"/>
    <x v="3"/>
    <x v="1"/>
    <x v="3"/>
    <x v="2"/>
    <x v="370"/>
    <n v="258"/>
    <n v="2800"/>
    <n v="7.0000000000000007E-2"/>
    <x v="0"/>
    <n v="722400"/>
    <n v="671832"/>
    <s v="High"/>
  </r>
  <r>
    <x v="787"/>
    <s v="PKG-010"/>
    <x v="9"/>
    <x v="2"/>
    <x v="1"/>
    <x v="2"/>
    <x v="0"/>
    <x v="371"/>
    <n v="360"/>
    <n v="750"/>
    <n v="0.1"/>
    <x v="1"/>
    <n v="270000"/>
    <n v="243000"/>
    <s v="Medium"/>
  </r>
  <r>
    <x v="788"/>
    <s v="PKG-006"/>
    <x v="5"/>
    <x v="2"/>
    <x v="0"/>
    <x v="1"/>
    <x v="3"/>
    <x v="371"/>
    <n v="174"/>
    <n v="895"/>
    <n v="0.15"/>
    <x v="0"/>
    <n v="155730"/>
    <n v="132370.5"/>
    <s v="Medium"/>
  </r>
  <r>
    <x v="789"/>
    <s v="PKG-002"/>
    <x v="1"/>
    <x v="1"/>
    <x v="3"/>
    <x v="2"/>
    <x v="5"/>
    <x v="372"/>
    <n v="204"/>
    <n v="350"/>
    <n v="0.15"/>
    <x v="0"/>
    <n v="71400"/>
    <n v="60690"/>
    <s v="Low"/>
  </r>
  <r>
    <x v="790"/>
    <s v="PKG-007"/>
    <x v="6"/>
    <x v="0"/>
    <x v="0"/>
    <x v="3"/>
    <x v="0"/>
    <x v="372"/>
    <n v="180"/>
    <n v="650"/>
    <n v="0.11"/>
    <x v="0"/>
    <n v="117000"/>
    <n v="104130"/>
    <s v="Medium"/>
  </r>
  <r>
    <x v="791"/>
    <s v="PKG-010"/>
    <x v="9"/>
    <x v="2"/>
    <x v="0"/>
    <x v="3"/>
    <x v="5"/>
    <x v="373"/>
    <n v="221"/>
    <n v="750"/>
    <n v="0.14000000000000001"/>
    <x v="0"/>
    <n v="165750"/>
    <n v="142545"/>
    <s v="Medium"/>
  </r>
  <r>
    <x v="792"/>
    <s v="PKG-002"/>
    <x v="1"/>
    <x v="1"/>
    <x v="2"/>
    <x v="2"/>
    <x v="4"/>
    <x v="374"/>
    <n v="223"/>
    <n v="350"/>
    <n v="0.13"/>
    <x v="1"/>
    <n v="78050"/>
    <n v="67903.5"/>
    <s v="Low"/>
  </r>
  <r>
    <x v="793"/>
    <s v="PKG-004"/>
    <x v="3"/>
    <x v="0"/>
    <x v="2"/>
    <x v="3"/>
    <x v="1"/>
    <x v="374"/>
    <n v="338"/>
    <n v="1200"/>
    <n v="0.03"/>
    <x v="0"/>
    <n v="405600"/>
    <n v="393432"/>
    <s v="High"/>
  </r>
  <r>
    <x v="794"/>
    <s v="PKG-010"/>
    <x v="9"/>
    <x v="2"/>
    <x v="0"/>
    <x v="0"/>
    <x v="5"/>
    <x v="375"/>
    <n v="276"/>
    <n v="750"/>
    <n v="0"/>
    <x v="0"/>
    <n v="207000"/>
    <n v="207000"/>
    <s v="Medium"/>
  </r>
  <r>
    <x v="795"/>
    <s v="PKG-007"/>
    <x v="6"/>
    <x v="0"/>
    <x v="0"/>
    <x v="2"/>
    <x v="3"/>
    <x v="375"/>
    <n v="214"/>
    <n v="650"/>
    <n v="0.03"/>
    <x v="0"/>
    <n v="139100"/>
    <n v="134927"/>
    <s v="Medium"/>
  </r>
  <r>
    <x v="796"/>
    <s v="PKG-001"/>
    <x v="0"/>
    <x v="0"/>
    <x v="1"/>
    <x v="4"/>
    <x v="2"/>
    <x v="375"/>
    <n v="317"/>
    <n v="990"/>
    <n v="0.08"/>
    <x v="1"/>
    <n v="313830"/>
    <n v="288723.59999999998"/>
    <s v="Medium"/>
  </r>
  <r>
    <x v="797"/>
    <s v="PKG-009"/>
    <x v="8"/>
    <x v="1"/>
    <x v="2"/>
    <x v="1"/>
    <x v="3"/>
    <x v="376"/>
    <n v="217"/>
    <n v="280"/>
    <n v="0.1"/>
    <x v="0"/>
    <n v="60760"/>
    <n v="54684"/>
    <s v="Low"/>
  </r>
  <r>
    <x v="798"/>
    <s v="PKG-002"/>
    <x v="1"/>
    <x v="1"/>
    <x v="4"/>
    <x v="0"/>
    <x v="5"/>
    <x v="376"/>
    <n v="81"/>
    <n v="350"/>
    <n v="0"/>
    <x v="1"/>
    <n v="28350"/>
    <n v="28350"/>
    <s v="Low"/>
  </r>
  <r>
    <x v="799"/>
    <s v="PKG-005"/>
    <x v="4"/>
    <x v="0"/>
    <x v="0"/>
    <x v="1"/>
    <x v="2"/>
    <x v="377"/>
    <n v="413"/>
    <n v="200"/>
    <n v="7.0000000000000007E-2"/>
    <x v="0"/>
    <n v="82600"/>
    <n v="76818"/>
    <s v="Low"/>
  </r>
  <r>
    <x v="800"/>
    <s v="PKG-003"/>
    <x v="2"/>
    <x v="1"/>
    <x v="1"/>
    <x v="0"/>
    <x v="1"/>
    <x v="377"/>
    <n v="179"/>
    <n v="420"/>
    <n v="0.08"/>
    <x v="0"/>
    <n v="75180"/>
    <n v="69165.600000000006"/>
    <s v="Low"/>
  </r>
  <r>
    <x v="801"/>
    <s v="PKG-009"/>
    <x v="8"/>
    <x v="1"/>
    <x v="0"/>
    <x v="4"/>
    <x v="1"/>
    <x v="377"/>
    <n v="80"/>
    <n v="280"/>
    <n v="0.13"/>
    <x v="0"/>
    <n v="22400"/>
    <n v="19488"/>
    <s v="Low"/>
  </r>
  <r>
    <x v="802"/>
    <s v="PKG-005"/>
    <x v="4"/>
    <x v="0"/>
    <x v="2"/>
    <x v="1"/>
    <x v="4"/>
    <x v="378"/>
    <n v="477"/>
    <n v="200"/>
    <n v="0.03"/>
    <x v="1"/>
    <n v="95400"/>
    <n v="92538"/>
    <s v="Low"/>
  </r>
  <r>
    <x v="803"/>
    <s v="PKG-006"/>
    <x v="5"/>
    <x v="2"/>
    <x v="2"/>
    <x v="3"/>
    <x v="1"/>
    <x v="379"/>
    <n v="258"/>
    <n v="895"/>
    <n v="0.03"/>
    <x v="0"/>
    <n v="230910"/>
    <n v="223982.7"/>
    <s v="Medium"/>
  </r>
  <r>
    <x v="804"/>
    <s v="PKG-003"/>
    <x v="2"/>
    <x v="1"/>
    <x v="0"/>
    <x v="1"/>
    <x v="2"/>
    <x v="379"/>
    <n v="289"/>
    <n v="420"/>
    <n v="0.15"/>
    <x v="0"/>
    <n v="121380"/>
    <n v="103173"/>
    <s v="Medium"/>
  </r>
  <r>
    <x v="805"/>
    <s v="PKG-001"/>
    <x v="0"/>
    <x v="0"/>
    <x v="0"/>
    <x v="1"/>
    <x v="2"/>
    <x v="380"/>
    <n v="253"/>
    <n v="990"/>
    <n v="0"/>
    <x v="1"/>
    <n v="250470"/>
    <n v="250470"/>
    <s v="Medium"/>
  </r>
  <r>
    <x v="806"/>
    <s v="PKG-002"/>
    <x v="1"/>
    <x v="1"/>
    <x v="1"/>
    <x v="0"/>
    <x v="0"/>
    <x v="380"/>
    <n v="88"/>
    <n v="350"/>
    <n v="0"/>
    <x v="1"/>
    <n v="30800"/>
    <n v="30800"/>
    <s v="Low"/>
  </r>
  <r>
    <x v="807"/>
    <s v="PKG-010"/>
    <x v="9"/>
    <x v="2"/>
    <x v="2"/>
    <x v="2"/>
    <x v="1"/>
    <x v="381"/>
    <n v="257"/>
    <n v="750"/>
    <n v="0.08"/>
    <x v="0"/>
    <n v="192750"/>
    <n v="177330"/>
    <s v="Medium"/>
  </r>
  <r>
    <x v="808"/>
    <s v="PKG-005"/>
    <x v="4"/>
    <x v="0"/>
    <x v="3"/>
    <x v="1"/>
    <x v="4"/>
    <x v="381"/>
    <n v="317"/>
    <n v="200"/>
    <n v="7.0000000000000007E-2"/>
    <x v="0"/>
    <n v="63400"/>
    <n v="58962"/>
    <s v="Low"/>
  </r>
  <r>
    <x v="809"/>
    <s v="PKG-004"/>
    <x v="3"/>
    <x v="0"/>
    <x v="2"/>
    <x v="2"/>
    <x v="4"/>
    <x v="381"/>
    <n v="51"/>
    <n v="1200"/>
    <n v="0.13"/>
    <x v="1"/>
    <n v="61200"/>
    <n v="53244"/>
    <s v="Low"/>
  </r>
  <r>
    <x v="810"/>
    <s v="PKG-004"/>
    <x v="3"/>
    <x v="0"/>
    <x v="1"/>
    <x v="4"/>
    <x v="3"/>
    <x v="382"/>
    <n v="86"/>
    <n v="1200"/>
    <n v="0.05"/>
    <x v="0"/>
    <n v="103200"/>
    <n v="98040"/>
    <s v="Low"/>
  </r>
  <r>
    <x v="811"/>
    <s v="PKG-003"/>
    <x v="2"/>
    <x v="1"/>
    <x v="0"/>
    <x v="1"/>
    <x v="3"/>
    <x v="383"/>
    <n v="111"/>
    <n v="420"/>
    <n v="0.15"/>
    <x v="0"/>
    <n v="46620"/>
    <n v="39627"/>
    <s v="Low"/>
  </r>
  <r>
    <x v="812"/>
    <s v="PKG-003"/>
    <x v="2"/>
    <x v="1"/>
    <x v="1"/>
    <x v="3"/>
    <x v="0"/>
    <x v="383"/>
    <n v="351"/>
    <n v="420"/>
    <n v="0.05"/>
    <x v="1"/>
    <n v="147420"/>
    <n v="140049"/>
    <s v="Medium"/>
  </r>
  <r>
    <x v="813"/>
    <s v="PKG-009"/>
    <x v="8"/>
    <x v="1"/>
    <x v="4"/>
    <x v="0"/>
    <x v="5"/>
    <x v="384"/>
    <n v="395"/>
    <n v="280"/>
    <n v="0.1"/>
    <x v="0"/>
    <n v="110600"/>
    <n v="99540"/>
    <s v="Low"/>
  </r>
  <r>
    <x v="814"/>
    <s v="PKG-003"/>
    <x v="2"/>
    <x v="1"/>
    <x v="4"/>
    <x v="2"/>
    <x v="4"/>
    <x v="385"/>
    <n v="275"/>
    <n v="420"/>
    <n v="0"/>
    <x v="0"/>
    <n v="115500"/>
    <n v="115500"/>
    <s v="Medium"/>
  </r>
  <r>
    <x v="815"/>
    <s v="PKG-005"/>
    <x v="4"/>
    <x v="0"/>
    <x v="2"/>
    <x v="3"/>
    <x v="1"/>
    <x v="386"/>
    <n v="485"/>
    <n v="200"/>
    <n v="0.11"/>
    <x v="0"/>
    <n v="97000"/>
    <n v="86330"/>
    <s v="Low"/>
  </r>
  <r>
    <x v="816"/>
    <s v="PKG-002"/>
    <x v="1"/>
    <x v="1"/>
    <x v="1"/>
    <x v="0"/>
    <x v="5"/>
    <x v="386"/>
    <n v="85"/>
    <n v="350"/>
    <n v="0"/>
    <x v="0"/>
    <n v="29750"/>
    <n v="29750"/>
    <s v="Low"/>
  </r>
  <r>
    <x v="817"/>
    <s v="PKG-006"/>
    <x v="5"/>
    <x v="2"/>
    <x v="4"/>
    <x v="4"/>
    <x v="3"/>
    <x v="387"/>
    <n v="367"/>
    <n v="895"/>
    <n v="0.05"/>
    <x v="0"/>
    <n v="328465"/>
    <n v="312041.75"/>
    <s v="Medium"/>
  </r>
  <r>
    <x v="818"/>
    <s v="PKG-003"/>
    <x v="2"/>
    <x v="1"/>
    <x v="1"/>
    <x v="2"/>
    <x v="4"/>
    <x v="387"/>
    <n v="76"/>
    <n v="420"/>
    <n v="0"/>
    <x v="0"/>
    <n v="31920"/>
    <n v="31920"/>
    <s v="Low"/>
  </r>
  <r>
    <x v="819"/>
    <s v="PKG-008"/>
    <x v="7"/>
    <x v="3"/>
    <x v="2"/>
    <x v="2"/>
    <x v="1"/>
    <x v="387"/>
    <n v="94"/>
    <n v="2800"/>
    <n v="0.13"/>
    <x v="0"/>
    <n v="263200"/>
    <n v="228984"/>
    <s v="Medium"/>
  </r>
  <r>
    <x v="820"/>
    <s v="PKG-009"/>
    <x v="8"/>
    <x v="1"/>
    <x v="1"/>
    <x v="2"/>
    <x v="2"/>
    <x v="388"/>
    <n v="424"/>
    <n v="280"/>
    <n v="0.03"/>
    <x v="1"/>
    <n v="118720"/>
    <n v="115158.39999999999"/>
    <s v="Medium"/>
  </r>
  <r>
    <x v="821"/>
    <s v="PKG-006"/>
    <x v="5"/>
    <x v="2"/>
    <x v="0"/>
    <x v="3"/>
    <x v="5"/>
    <x v="389"/>
    <n v="323"/>
    <n v="895"/>
    <n v="0"/>
    <x v="0"/>
    <n v="289085"/>
    <n v="289085"/>
    <s v="Medium"/>
  </r>
  <r>
    <x v="822"/>
    <s v="PKG-005"/>
    <x v="4"/>
    <x v="0"/>
    <x v="1"/>
    <x v="1"/>
    <x v="4"/>
    <x v="390"/>
    <n v="235"/>
    <n v="200"/>
    <n v="0.15"/>
    <x v="1"/>
    <n v="47000"/>
    <n v="39950"/>
    <s v="Low"/>
  </r>
  <r>
    <x v="823"/>
    <s v="PKG-005"/>
    <x v="4"/>
    <x v="0"/>
    <x v="0"/>
    <x v="2"/>
    <x v="0"/>
    <x v="390"/>
    <n v="474"/>
    <n v="200"/>
    <n v="0.08"/>
    <x v="0"/>
    <n v="94800"/>
    <n v="87216"/>
    <s v="Low"/>
  </r>
  <r>
    <x v="824"/>
    <s v="PKG-007"/>
    <x v="6"/>
    <x v="0"/>
    <x v="2"/>
    <x v="4"/>
    <x v="0"/>
    <x v="390"/>
    <n v="121"/>
    <n v="650"/>
    <n v="0.08"/>
    <x v="0"/>
    <n v="78650"/>
    <n v="72358"/>
    <s v="Low"/>
  </r>
  <r>
    <x v="825"/>
    <s v="PKG-007"/>
    <x v="6"/>
    <x v="0"/>
    <x v="4"/>
    <x v="2"/>
    <x v="1"/>
    <x v="391"/>
    <n v="129"/>
    <n v="650"/>
    <n v="0"/>
    <x v="0"/>
    <n v="83850"/>
    <n v="83850"/>
    <s v="Low"/>
  </r>
  <r>
    <x v="826"/>
    <s v="PKG-002"/>
    <x v="1"/>
    <x v="1"/>
    <x v="0"/>
    <x v="4"/>
    <x v="3"/>
    <x v="391"/>
    <n v="206"/>
    <n v="350"/>
    <n v="0.13"/>
    <x v="0"/>
    <n v="72100"/>
    <n v="62727"/>
    <s v="Low"/>
  </r>
  <r>
    <x v="827"/>
    <s v="PKG-010"/>
    <x v="9"/>
    <x v="2"/>
    <x v="4"/>
    <x v="4"/>
    <x v="5"/>
    <x v="391"/>
    <n v="279"/>
    <n v="750"/>
    <n v="0"/>
    <x v="0"/>
    <n v="209250"/>
    <n v="209250"/>
    <s v="Medium"/>
  </r>
  <r>
    <x v="828"/>
    <s v="PKG-009"/>
    <x v="8"/>
    <x v="1"/>
    <x v="4"/>
    <x v="2"/>
    <x v="1"/>
    <x v="392"/>
    <n v="256"/>
    <n v="280"/>
    <n v="7.0000000000000007E-2"/>
    <x v="1"/>
    <n v="71680"/>
    <n v="66662.399999999994"/>
    <s v="Low"/>
  </r>
  <r>
    <x v="829"/>
    <s v="PKG-007"/>
    <x v="6"/>
    <x v="0"/>
    <x v="0"/>
    <x v="1"/>
    <x v="5"/>
    <x v="393"/>
    <n v="174"/>
    <n v="650"/>
    <n v="0.14000000000000001"/>
    <x v="1"/>
    <n v="113100"/>
    <n v="97266"/>
    <s v="Low"/>
  </r>
  <r>
    <x v="830"/>
    <s v="PKG-006"/>
    <x v="5"/>
    <x v="2"/>
    <x v="1"/>
    <x v="4"/>
    <x v="3"/>
    <x v="393"/>
    <n v="52"/>
    <n v="895"/>
    <n v="0.05"/>
    <x v="1"/>
    <n v="46540"/>
    <n v="44213"/>
    <s v="Low"/>
  </r>
  <r>
    <x v="831"/>
    <s v="PKG-005"/>
    <x v="4"/>
    <x v="0"/>
    <x v="2"/>
    <x v="0"/>
    <x v="1"/>
    <x v="394"/>
    <n v="185"/>
    <n v="200"/>
    <n v="0.12"/>
    <x v="1"/>
    <n v="37000"/>
    <n v="32560"/>
    <s v="Low"/>
  </r>
  <r>
    <x v="832"/>
    <s v="PKG-004"/>
    <x v="3"/>
    <x v="0"/>
    <x v="4"/>
    <x v="3"/>
    <x v="5"/>
    <x v="394"/>
    <n v="349"/>
    <n v="1200"/>
    <n v="0"/>
    <x v="1"/>
    <n v="418800"/>
    <n v="418800"/>
    <s v="High"/>
  </r>
  <r>
    <x v="833"/>
    <s v="PKG-005"/>
    <x v="4"/>
    <x v="0"/>
    <x v="2"/>
    <x v="0"/>
    <x v="0"/>
    <x v="394"/>
    <n v="115"/>
    <n v="200"/>
    <n v="7.0000000000000007E-2"/>
    <x v="0"/>
    <n v="23000"/>
    <n v="21390"/>
    <s v="Low"/>
  </r>
  <r>
    <x v="834"/>
    <s v="PKG-010"/>
    <x v="9"/>
    <x v="2"/>
    <x v="0"/>
    <x v="3"/>
    <x v="1"/>
    <x v="395"/>
    <n v="292"/>
    <n v="750"/>
    <n v="0.05"/>
    <x v="0"/>
    <n v="219000"/>
    <n v="208050"/>
    <s v="Medium"/>
  </r>
  <r>
    <x v="835"/>
    <s v="PKG-009"/>
    <x v="8"/>
    <x v="1"/>
    <x v="2"/>
    <x v="4"/>
    <x v="3"/>
    <x v="395"/>
    <n v="381"/>
    <n v="280"/>
    <n v="0.12"/>
    <x v="1"/>
    <n v="106680"/>
    <n v="93878.399999999994"/>
    <s v="Low"/>
  </r>
  <r>
    <x v="836"/>
    <s v="PKG-002"/>
    <x v="1"/>
    <x v="1"/>
    <x v="1"/>
    <x v="1"/>
    <x v="1"/>
    <x v="395"/>
    <n v="258"/>
    <n v="350"/>
    <n v="0.1"/>
    <x v="0"/>
    <n v="90300"/>
    <n v="81270"/>
    <s v="Low"/>
  </r>
  <r>
    <x v="837"/>
    <s v="PKG-007"/>
    <x v="6"/>
    <x v="0"/>
    <x v="2"/>
    <x v="0"/>
    <x v="4"/>
    <x v="396"/>
    <n v="313"/>
    <n v="650"/>
    <n v="0"/>
    <x v="1"/>
    <n v="203450"/>
    <n v="203450"/>
    <s v="Medium"/>
  </r>
  <r>
    <x v="838"/>
    <s v="PKG-006"/>
    <x v="5"/>
    <x v="2"/>
    <x v="4"/>
    <x v="0"/>
    <x v="3"/>
    <x v="396"/>
    <n v="377"/>
    <n v="895"/>
    <n v="0.08"/>
    <x v="0"/>
    <n v="337415"/>
    <n v="310421.8"/>
    <s v="Medium"/>
  </r>
  <r>
    <x v="839"/>
    <s v="PKG-007"/>
    <x v="6"/>
    <x v="0"/>
    <x v="0"/>
    <x v="3"/>
    <x v="4"/>
    <x v="396"/>
    <n v="370"/>
    <n v="650"/>
    <n v="0.08"/>
    <x v="0"/>
    <n v="240500"/>
    <n v="221260"/>
    <s v="Medium"/>
  </r>
  <r>
    <x v="840"/>
    <s v="PKG-004"/>
    <x v="3"/>
    <x v="0"/>
    <x v="1"/>
    <x v="1"/>
    <x v="2"/>
    <x v="397"/>
    <n v="226"/>
    <n v="1200"/>
    <n v="0.13"/>
    <x v="0"/>
    <n v="271200"/>
    <n v="235944"/>
    <s v="Medium"/>
  </r>
  <r>
    <x v="841"/>
    <s v="PKG-004"/>
    <x v="3"/>
    <x v="0"/>
    <x v="0"/>
    <x v="4"/>
    <x v="4"/>
    <x v="398"/>
    <n v="354"/>
    <n v="1200"/>
    <n v="0.1"/>
    <x v="1"/>
    <n v="424800"/>
    <n v="382320"/>
    <s v="High"/>
  </r>
  <r>
    <x v="842"/>
    <s v="PKG-002"/>
    <x v="1"/>
    <x v="1"/>
    <x v="4"/>
    <x v="3"/>
    <x v="5"/>
    <x v="398"/>
    <n v="118"/>
    <n v="350"/>
    <n v="0"/>
    <x v="0"/>
    <n v="41300"/>
    <n v="41300"/>
    <s v="Low"/>
  </r>
  <r>
    <x v="843"/>
    <s v="PKG-002"/>
    <x v="1"/>
    <x v="1"/>
    <x v="2"/>
    <x v="0"/>
    <x v="1"/>
    <x v="399"/>
    <n v="291"/>
    <n v="350"/>
    <n v="0.05"/>
    <x v="0"/>
    <n v="101850"/>
    <n v="96757.5"/>
    <s v="Low"/>
  </r>
  <r>
    <x v="844"/>
    <s v="PKG-004"/>
    <x v="3"/>
    <x v="0"/>
    <x v="1"/>
    <x v="0"/>
    <x v="0"/>
    <x v="400"/>
    <n v="328"/>
    <n v="1200"/>
    <n v="0.11"/>
    <x v="1"/>
    <n v="393600"/>
    <n v="350304"/>
    <s v="High"/>
  </r>
  <r>
    <x v="845"/>
    <s v="PKG-010"/>
    <x v="9"/>
    <x v="2"/>
    <x v="2"/>
    <x v="4"/>
    <x v="2"/>
    <x v="400"/>
    <n v="267"/>
    <n v="750"/>
    <n v="0"/>
    <x v="0"/>
    <n v="200250"/>
    <n v="200250"/>
    <s v="Medium"/>
  </r>
  <r>
    <x v="846"/>
    <s v="PKG-008"/>
    <x v="7"/>
    <x v="3"/>
    <x v="3"/>
    <x v="1"/>
    <x v="1"/>
    <x v="400"/>
    <n v="162"/>
    <n v="2800"/>
    <n v="0.13"/>
    <x v="0"/>
    <n v="453600"/>
    <n v="394632"/>
    <s v="High"/>
  </r>
  <r>
    <x v="847"/>
    <s v="PKG-006"/>
    <x v="5"/>
    <x v="2"/>
    <x v="4"/>
    <x v="4"/>
    <x v="4"/>
    <x v="401"/>
    <n v="232"/>
    <n v="895"/>
    <n v="0"/>
    <x v="1"/>
    <n v="207640"/>
    <n v="207640"/>
    <s v="Medium"/>
  </r>
  <r>
    <x v="848"/>
    <s v="PKG-009"/>
    <x v="8"/>
    <x v="1"/>
    <x v="3"/>
    <x v="4"/>
    <x v="1"/>
    <x v="401"/>
    <n v="190"/>
    <n v="280"/>
    <n v="0"/>
    <x v="0"/>
    <n v="53200"/>
    <n v="53200"/>
    <s v="Low"/>
  </r>
  <r>
    <x v="849"/>
    <s v="PKG-002"/>
    <x v="1"/>
    <x v="1"/>
    <x v="4"/>
    <x v="0"/>
    <x v="3"/>
    <x v="402"/>
    <n v="414"/>
    <n v="350"/>
    <n v="0.12"/>
    <x v="0"/>
    <n v="144900"/>
    <n v="127512"/>
    <s v="Medium"/>
  </r>
  <r>
    <x v="850"/>
    <s v="PKG-010"/>
    <x v="9"/>
    <x v="2"/>
    <x v="0"/>
    <x v="4"/>
    <x v="1"/>
    <x v="403"/>
    <n v="230"/>
    <n v="750"/>
    <n v="0.03"/>
    <x v="0"/>
    <n v="172500"/>
    <n v="167325"/>
    <s v="Medium"/>
  </r>
  <r>
    <x v="851"/>
    <s v="PKG-003"/>
    <x v="2"/>
    <x v="1"/>
    <x v="1"/>
    <x v="1"/>
    <x v="0"/>
    <x v="403"/>
    <n v="181"/>
    <n v="420"/>
    <n v="0.05"/>
    <x v="1"/>
    <n v="76020"/>
    <n v="72219"/>
    <s v="Low"/>
  </r>
  <r>
    <x v="852"/>
    <s v="PKG-009"/>
    <x v="8"/>
    <x v="1"/>
    <x v="3"/>
    <x v="3"/>
    <x v="4"/>
    <x v="403"/>
    <n v="238"/>
    <n v="280"/>
    <n v="0"/>
    <x v="0"/>
    <n v="66640"/>
    <n v="66640"/>
    <s v="Low"/>
  </r>
  <r>
    <x v="853"/>
    <s v="PKG-010"/>
    <x v="9"/>
    <x v="2"/>
    <x v="0"/>
    <x v="2"/>
    <x v="1"/>
    <x v="404"/>
    <n v="360"/>
    <n v="750"/>
    <n v="0.15"/>
    <x v="1"/>
    <n v="270000"/>
    <n v="229500"/>
    <s v="Medium"/>
  </r>
  <r>
    <x v="854"/>
    <s v="PKG-001"/>
    <x v="0"/>
    <x v="0"/>
    <x v="1"/>
    <x v="3"/>
    <x v="4"/>
    <x v="404"/>
    <n v="34"/>
    <n v="990"/>
    <n v="7.0000000000000007E-2"/>
    <x v="0"/>
    <n v="33660"/>
    <n v="31303.8"/>
    <s v="Low"/>
  </r>
  <r>
    <x v="855"/>
    <s v="PKG-008"/>
    <x v="7"/>
    <x v="3"/>
    <x v="3"/>
    <x v="2"/>
    <x v="1"/>
    <x v="404"/>
    <n v="49"/>
    <n v="2800"/>
    <n v="7.0000000000000007E-2"/>
    <x v="0"/>
    <n v="137200"/>
    <n v="127596"/>
    <s v="Medium"/>
  </r>
  <r>
    <x v="856"/>
    <s v="PKG-008"/>
    <x v="7"/>
    <x v="3"/>
    <x v="0"/>
    <x v="4"/>
    <x v="2"/>
    <x v="405"/>
    <n v="220"/>
    <n v="2800"/>
    <n v="0"/>
    <x v="1"/>
    <n v="616000"/>
    <n v="616000"/>
    <s v="High"/>
  </r>
  <r>
    <x v="857"/>
    <s v="PKG-010"/>
    <x v="9"/>
    <x v="2"/>
    <x v="2"/>
    <x v="1"/>
    <x v="5"/>
    <x v="405"/>
    <n v="69"/>
    <n v="750"/>
    <n v="0.03"/>
    <x v="0"/>
    <n v="51750"/>
    <n v="50197.5"/>
    <s v="Low"/>
  </r>
  <r>
    <x v="858"/>
    <s v="PKG-003"/>
    <x v="2"/>
    <x v="1"/>
    <x v="4"/>
    <x v="0"/>
    <x v="4"/>
    <x v="405"/>
    <n v="273"/>
    <n v="420"/>
    <n v="0.11"/>
    <x v="1"/>
    <n v="114660"/>
    <n v="102047.4"/>
    <s v="Medium"/>
  </r>
  <r>
    <x v="859"/>
    <s v="PKG-010"/>
    <x v="9"/>
    <x v="2"/>
    <x v="3"/>
    <x v="1"/>
    <x v="1"/>
    <x v="406"/>
    <n v="99"/>
    <n v="750"/>
    <n v="7.0000000000000007E-2"/>
    <x v="0"/>
    <n v="74250"/>
    <n v="69052.5"/>
    <s v="Low"/>
  </r>
  <r>
    <x v="860"/>
    <s v="PKG-004"/>
    <x v="3"/>
    <x v="0"/>
    <x v="4"/>
    <x v="2"/>
    <x v="3"/>
    <x v="406"/>
    <n v="66"/>
    <n v="1200"/>
    <n v="0.03"/>
    <x v="0"/>
    <n v="79200"/>
    <n v="76824"/>
    <s v="Low"/>
  </r>
  <r>
    <x v="861"/>
    <s v="PKG-010"/>
    <x v="9"/>
    <x v="2"/>
    <x v="3"/>
    <x v="1"/>
    <x v="2"/>
    <x v="406"/>
    <n v="358"/>
    <n v="750"/>
    <n v="0.14000000000000001"/>
    <x v="0"/>
    <n v="268500"/>
    <n v="230910"/>
    <s v="Medium"/>
  </r>
  <r>
    <x v="862"/>
    <s v="PKG-005"/>
    <x v="4"/>
    <x v="0"/>
    <x v="0"/>
    <x v="4"/>
    <x v="0"/>
    <x v="407"/>
    <n v="162"/>
    <n v="200"/>
    <n v="0.12"/>
    <x v="1"/>
    <n v="32400"/>
    <n v="28512"/>
    <s v="Low"/>
  </r>
  <r>
    <x v="863"/>
    <s v="PKG-009"/>
    <x v="8"/>
    <x v="1"/>
    <x v="2"/>
    <x v="4"/>
    <x v="3"/>
    <x v="407"/>
    <n v="349"/>
    <n v="280"/>
    <n v="0.03"/>
    <x v="0"/>
    <n v="97720"/>
    <n v="94788.4"/>
    <s v="Low"/>
  </r>
  <r>
    <x v="864"/>
    <s v="PKG-007"/>
    <x v="6"/>
    <x v="0"/>
    <x v="3"/>
    <x v="3"/>
    <x v="1"/>
    <x v="407"/>
    <n v="151"/>
    <n v="650"/>
    <n v="0.1"/>
    <x v="0"/>
    <n v="98150"/>
    <n v="88335"/>
    <s v="Low"/>
  </r>
  <r>
    <x v="865"/>
    <s v="PKG-009"/>
    <x v="8"/>
    <x v="1"/>
    <x v="0"/>
    <x v="4"/>
    <x v="0"/>
    <x v="408"/>
    <n v="253"/>
    <n v="280"/>
    <n v="0.08"/>
    <x v="1"/>
    <n v="70840"/>
    <n v="65172.800000000003"/>
    <s v="Low"/>
  </r>
  <r>
    <x v="866"/>
    <s v="PKG-003"/>
    <x v="2"/>
    <x v="1"/>
    <x v="2"/>
    <x v="0"/>
    <x v="1"/>
    <x v="408"/>
    <n v="347"/>
    <n v="420"/>
    <n v="0"/>
    <x v="1"/>
    <n v="145740"/>
    <n v="145740"/>
    <s v="Medium"/>
  </r>
  <r>
    <x v="867"/>
    <s v="PKG-008"/>
    <x v="7"/>
    <x v="3"/>
    <x v="4"/>
    <x v="2"/>
    <x v="4"/>
    <x v="408"/>
    <n v="114"/>
    <n v="2800"/>
    <n v="0"/>
    <x v="1"/>
    <n v="319200"/>
    <n v="319200"/>
    <s v="Medium"/>
  </r>
  <r>
    <x v="868"/>
    <s v="PKG-002"/>
    <x v="1"/>
    <x v="1"/>
    <x v="0"/>
    <x v="4"/>
    <x v="0"/>
    <x v="409"/>
    <n v="421"/>
    <n v="350"/>
    <n v="0.15"/>
    <x v="1"/>
    <n v="147350"/>
    <n v="125247.5"/>
    <s v="Medium"/>
  </r>
  <r>
    <x v="869"/>
    <s v="PKG-003"/>
    <x v="2"/>
    <x v="1"/>
    <x v="2"/>
    <x v="1"/>
    <x v="4"/>
    <x v="410"/>
    <n v="164"/>
    <n v="420"/>
    <n v="0.15"/>
    <x v="0"/>
    <n v="68880"/>
    <n v="58548"/>
    <s v="Low"/>
  </r>
  <r>
    <x v="870"/>
    <s v="PKG-008"/>
    <x v="7"/>
    <x v="3"/>
    <x v="4"/>
    <x v="2"/>
    <x v="5"/>
    <x v="410"/>
    <n v="134"/>
    <n v="2800"/>
    <n v="0"/>
    <x v="1"/>
    <n v="375200"/>
    <n v="375200"/>
    <s v="High"/>
  </r>
  <r>
    <x v="871"/>
    <s v="PKG-001"/>
    <x v="0"/>
    <x v="0"/>
    <x v="4"/>
    <x v="0"/>
    <x v="5"/>
    <x v="411"/>
    <n v="233"/>
    <n v="990"/>
    <n v="0"/>
    <x v="1"/>
    <n v="230670"/>
    <n v="230670"/>
    <s v="Medium"/>
  </r>
  <r>
    <x v="872"/>
    <s v="PKG-006"/>
    <x v="5"/>
    <x v="2"/>
    <x v="0"/>
    <x v="4"/>
    <x v="5"/>
    <x v="411"/>
    <n v="157"/>
    <n v="895"/>
    <n v="7.0000000000000007E-2"/>
    <x v="0"/>
    <n v="140515"/>
    <n v="130678.95"/>
    <s v="Medium"/>
  </r>
  <r>
    <x v="873"/>
    <s v="PKG-002"/>
    <x v="1"/>
    <x v="1"/>
    <x v="3"/>
    <x v="1"/>
    <x v="3"/>
    <x v="412"/>
    <n v="207"/>
    <n v="350"/>
    <n v="0.08"/>
    <x v="0"/>
    <n v="72450"/>
    <n v="66654"/>
    <s v="Low"/>
  </r>
  <r>
    <x v="874"/>
    <s v="PKG-004"/>
    <x v="3"/>
    <x v="0"/>
    <x v="4"/>
    <x v="4"/>
    <x v="4"/>
    <x v="413"/>
    <n v="142"/>
    <n v="1200"/>
    <n v="0.14000000000000001"/>
    <x v="0"/>
    <n v="170400"/>
    <n v="146544"/>
    <s v="Medium"/>
  </r>
  <r>
    <x v="875"/>
    <s v="PKG-007"/>
    <x v="6"/>
    <x v="0"/>
    <x v="1"/>
    <x v="2"/>
    <x v="1"/>
    <x v="413"/>
    <n v="346"/>
    <n v="650"/>
    <n v="0.14000000000000001"/>
    <x v="0"/>
    <n v="224900"/>
    <n v="193414"/>
    <s v="Medium"/>
  </r>
  <r>
    <x v="876"/>
    <s v="PKG-005"/>
    <x v="4"/>
    <x v="0"/>
    <x v="2"/>
    <x v="3"/>
    <x v="4"/>
    <x v="413"/>
    <n v="230"/>
    <n v="200"/>
    <n v="0.05"/>
    <x v="0"/>
    <n v="46000"/>
    <n v="43700"/>
    <s v="Low"/>
  </r>
  <r>
    <x v="877"/>
    <s v="PKG-003"/>
    <x v="2"/>
    <x v="1"/>
    <x v="2"/>
    <x v="0"/>
    <x v="2"/>
    <x v="414"/>
    <n v="75"/>
    <n v="420"/>
    <n v="0.05"/>
    <x v="0"/>
    <n v="31500"/>
    <n v="29925"/>
    <s v="Low"/>
  </r>
  <r>
    <x v="878"/>
    <s v="PKG-002"/>
    <x v="1"/>
    <x v="1"/>
    <x v="3"/>
    <x v="0"/>
    <x v="3"/>
    <x v="415"/>
    <n v="140"/>
    <n v="350"/>
    <n v="0.08"/>
    <x v="1"/>
    <n v="49000"/>
    <n v="45080"/>
    <s v="Low"/>
  </r>
  <r>
    <x v="879"/>
    <s v="PKG-005"/>
    <x v="4"/>
    <x v="0"/>
    <x v="3"/>
    <x v="1"/>
    <x v="0"/>
    <x v="415"/>
    <n v="94"/>
    <n v="200"/>
    <n v="0.11"/>
    <x v="0"/>
    <n v="18800"/>
    <n v="16732"/>
    <s v="Low"/>
  </r>
  <r>
    <x v="880"/>
    <s v="PKG-006"/>
    <x v="5"/>
    <x v="2"/>
    <x v="4"/>
    <x v="1"/>
    <x v="0"/>
    <x v="415"/>
    <n v="84"/>
    <n v="895"/>
    <n v="0"/>
    <x v="1"/>
    <n v="75180"/>
    <n v="75180"/>
    <s v="Low"/>
  </r>
  <r>
    <x v="881"/>
    <s v="PKG-006"/>
    <x v="5"/>
    <x v="2"/>
    <x v="1"/>
    <x v="2"/>
    <x v="5"/>
    <x v="416"/>
    <n v="199"/>
    <n v="895"/>
    <n v="0.12"/>
    <x v="0"/>
    <n v="178105"/>
    <n v="156732.4"/>
    <s v="Medium"/>
  </r>
  <r>
    <x v="882"/>
    <s v="PKG-002"/>
    <x v="1"/>
    <x v="1"/>
    <x v="0"/>
    <x v="3"/>
    <x v="1"/>
    <x v="416"/>
    <n v="154"/>
    <n v="350"/>
    <n v="0.11"/>
    <x v="1"/>
    <n v="53900"/>
    <n v="47971"/>
    <s v="Low"/>
  </r>
  <r>
    <x v="883"/>
    <s v="PKG-007"/>
    <x v="6"/>
    <x v="0"/>
    <x v="1"/>
    <x v="4"/>
    <x v="4"/>
    <x v="416"/>
    <n v="309"/>
    <n v="650"/>
    <n v="0.03"/>
    <x v="0"/>
    <n v="200850"/>
    <n v="194824.5"/>
    <s v="Medium"/>
  </r>
  <r>
    <x v="884"/>
    <s v="PKG-003"/>
    <x v="2"/>
    <x v="1"/>
    <x v="0"/>
    <x v="2"/>
    <x v="2"/>
    <x v="417"/>
    <n v="185"/>
    <n v="420"/>
    <n v="0"/>
    <x v="1"/>
    <n v="77700"/>
    <n v="77700"/>
    <s v="Low"/>
  </r>
  <r>
    <x v="885"/>
    <s v="PKG-007"/>
    <x v="6"/>
    <x v="0"/>
    <x v="3"/>
    <x v="1"/>
    <x v="2"/>
    <x v="418"/>
    <n v="197"/>
    <n v="650"/>
    <n v="0.08"/>
    <x v="1"/>
    <n v="128050"/>
    <n v="117806"/>
    <s v="Medium"/>
  </r>
  <r>
    <x v="886"/>
    <s v="PKG-006"/>
    <x v="5"/>
    <x v="2"/>
    <x v="0"/>
    <x v="2"/>
    <x v="4"/>
    <x v="419"/>
    <n v="30"/>
    <n v="895"/>
    <n v="0.1"/>
    <x v="0"/>
    <n v="26850"/>
    <n v="24165"/>
    <s v="Low"/>
  </r>
  <r>
    <x v="887"/>
    <s v="PKG-009"/>
    <x v="8"/>
    <x v="1"/>
    <x v="1"/>
    <x v="1"/>
    <x v="3"/>
    <x v="420"/>
    <n v="318"/>
    <n v="280"/>
    <n v="7.0000000000000007E-2"/>
    <x v="1"/>
    <n v="89040"/>
    <n v="82807.199999999997"/>
    <s v="Low"/>
  </r>
  <r>
    <x v="888"/>
    <s v="PKG-002"/>
    <x v="1"/>
    <x v="1"/>
    <x v="3"/>
    <x v="3"/>
    <x v="2"/>
    <x v="420"/>
    <n v="280"/>
    <n v="350"/>
    <n v="0.12"/>
    <x v="0"/>
    <n v="98000"/>
    <n v="86240"/>
    <s v="Low"/>
  </r>
  <r>
    <x v="889"/>
    <s v="PKG-009"/>
    <x v="8"/>
    <x v="1"/>
    <x v="1"/>
    <x v="4"/>
    <x v="3"/>
    <x v="420"/>
    <n v="213"/>
    <n v="280"/>
    <n v="0"/>
    <x v="0"/>
    <n v="59640"/>
    <n v="59640"/>
    <s v="Low"/>
  </r>
  <r>
    <x v="890"/>
    <s v="PKG-010"/>
    <x v="9"/>
    <x v="2"/>
    <x v="3"/>
    <x v="2"/>
    <x v="1"/>
    <x v="421"/>
    <n v="257"/>
    <n v="750"/>
    <n v="0.11"/>
    <x v="0"/>
    <n v="192750"/>
    <n v="171547.5"/>
    <s v="Medium"/>
  </r>
  <r>
    <x v="891"/>
    <s v="PKG-001"/>
    <x v="0"/>
    <x v="0"/>
    <x v="0"/>
    <x v="4"/>
    <x v="0"/>
    <x v="422"/>
    <n v="56"/>
    <n v="990"/>
    <n v="0.08"/>
    <x v="0"/>
    <n v="55440"/>
    <n v="51004.800000000003"/>
    <s v="Low"/>
  </r>
  <r>
    <x v="892"/>
    <s v="PKG-004"/>
    <x v="3"/>
    <x v="0"/>
    <x v="2"/>
    <x v="3"/>
    <x v="0"/>
    <x v="422"/>
    <n v="305"/>
    <n v="1200"/>
    <n v="0.13"/>
    <x v="1"/>
    <n v="366000"/>
    <n v="318420"/>
    <s v="Medium"/>
  </r>
  <r>
    <x v="893"/>
    <s v="PKG-008"/>
    <x v="7"/>
    <x v="3"/>
    <x v="3"/>
    <x v="3"/>
    <x v="1"/>
    <x v="422"/>
    <n v="82"/>
    <n v="2800"/>
    <n v="0.13"/>
    <x v="1"/>
    <n v="229600"/>
    <n v="199752"/>
    <s v="Medium"/>
  </r>
  <r>
    <x v="894"/>
    <s v="PKG-009"/>
    <x v="8"/>
    <x v="1"/>
    <x v="0"/>
    <x v="0"/>
    <x v="0"/>
    <x v="423"/>
    <n v="281"/>
    <n v="280"/>
    <n v="0"/>
    <x v="1"/>
    <n v="78680"/>
    <n v="78680"/>
    <s v="Low"/>
  </r>
  <r>
    <x v="895"/>
    <s v="PKG-004"/>
    <x v="3"/>
    <x v="0"/>
    <x v="1"/>
    <x v="2"/>
    <x v="5"/>
    <x v="424"/>
    <n v="291"/>
    <n v="1200"/>
    <n v="0.14000000000000001"/>
    <x v="1"/>
    <n v="349200"/>
    <n v="300312"/>
    <s v="Medium"/>
  </r>
  <r>
    <x v="896"/>
    <s v="PKG-006"/>
    <x v="5"/>
    <x v="2"/>
    <x v="0"/>
    <x v="0"/>
    <x v="2"/>
    <x v="425"/>
    <n v="372"/>
    <n v="895"/>
    <n v="0"/>
    <x v="0"/>
    <n v="332940"/>
    <n v="332940"/>
    <s v="Medium"/>
  </r>
  <r>
    <x v="897"/>
    <s v="PKG-007"/>
    <x v="6"/>
    <x v="0"/>
    <x v="0"/>
    <x v="3"/>
    <x v="3"/>
    <x v="425"/>
    <n v="350"/>
    <n v="650"/>
    <n v="0.13"/>
    <x v="0"/>
    <n v="227500"/>
    <n v="197925"/>
    <s v="Medium"/>
  </r>
  <r>
    <x v="898"/>
    <s v="PKG-002"/>
    <x v="1"/>
    <x v="1"/>
    <x v="3"/>
    <x v="2"/>
    <x v="1"/>
    <x v="426"/>
    <n v="431"/>
    <n v="350"/>
    <n v="0"/>
    <x v="0"/>
    <n v="150850"/>
    <n v="150850"/>
    <s v="Medium"/>
  </r>
  <r>
    <x v="899"/>
    <s v="PKG-009"/>
    <x v="8"/>
    <x v="1"/>
    <x v="3"/>
    <x v="1"/>
    <x v="5"/>
    <x v="427"/>
    <n v="258"/>
    <n v="280"/>
    <n v="7.0000000000000007E-2"/>
    <x v="1"/>
    <n v="72240"/>
    <n v="67183.199999999997"/>
    <s v="Low"/>
  </r>
  <r>
    <x v="900"/>
    <s v="PKG-004"/>
    <x v="3"/>
    <x v="0"/>
    <x v="4"/>
    <x v="3"/>
    <x v="0"/>
    <x v="427"/>
    <n v="59"/>
    <n v="1200"/>
    <n v="0.15"/>
    <x v="0"/>
    <n v="70800"/>
    <n v="60180"/>
    <s v="Low"/>
  </r>
  <r>
    <x v="901"/>
    <s v="PKG-009"/>
    <x v="8"/>
    <x v="1"/>
    <x v="0"/>
    <x v="4"/>
    <x v="4"/>
    <x v="427"/>
    <n v="240"/>
    <n v="280"/>
    <n v="0.13"/>
    <x v="0"/>
    <n v="67200"/>
    <n v="58464"/>
    <s v="Low"/>
  </r>
  <r>
    <x v="902"/>
    <s v="PKG-003"/>
    <x v="2"/>
    <x v="1"/>
    <x v="2"/>
    <x v="0"/>
    <x v="0"/>
    <x v="428"/>
    <n v="119"/>
    <n v="420"/>
    <n v="0.14000000000000001"/>
    <x v="0"/>
    <n v="49980"/>
    <n v="42982.8"/>
    <s v="Low"/>
  </r>
  <r>
    <x v="903"/>
    <s v="PKG-010"/>
    <x v="9"/>
    <x v="2"/>
    <x v="4"/>
    <x v="1"/>
    <x v="2"/>
    <x v="429"/>
    <n v="278"/>
    <n v="750"/>
    <n v="0.14000000000000001"/>
    <x v="0"/>
    <n v="208500"/>
    <n v="179310"/>
    <s v="Medium"/>
  </r>
  <r>
    <x v="904"/>
    <s v="PKG-010"/>
    <x v="9"/>
    <x v="2"/>
    <x v="1"/>
    <x v="4"/>
    <x v="1"/>
    <x v="429"/>
    <n v="242"/>
    <n v="750"/>
    <n v="0.05"/>
    <x v="0"/>
    <n v="181500"/>
    <n v="172425"/>
    <s v="Medium"/>
  </r>
  <r>
    <x v="905"/>
    <s v="PKG-010"/>
    <x v="9"/>
    <x v="2"/>
    <x v="4"/>
    <x v="3"/>
    <x v="3"/>
    <x v="430"/>
    <n v="229"/>
    <n v="750"/>
    <n v="0.03"/>
    <x v="1"/>
    <n v="171750"/>
    <n v="166597.5"/>
    <s v="Medium"/>
  </r>
  <r>
    <x v="906"/>
    <s v="PKG-006"/>
    <x v="5"/>
    <x v="2"/>
    <x v="0"/>
    <x v="1"/>
    <x v="2"/>
    <x v="431"/>
    <n v="235"/>
    <n v="895"/>
    <n v="0"/>
    <x v="1"/>
    <n v="210325"/>
    <n v="210325"/>
    <s v="Medium"/>
  </r>
  <r>
    <x v="907"/>
    <s v="PKG-003"/>
    <x v="2"/>
    <x v="1"/>
    <x v="1"/>
    <x v="4"/>
    <x v="3"/>
    <x v="431"/>
    <n v="359"/>
    <n v="420"/>
    <n v="0.12"/>
    <x v="0"/>
    <n v="150780"/>
    <n v="132686.39999999999"/>
    <s v="Medium"/>
  </r>
  <r>
    <x v="908"/>
    <s v="PKG-006"/>
    <x v="5"/>
    <x v="2"/>
    <x v="3"/>
    <x v="0"/>
    <x v="4"/>
    <x v="431"/>
    <n v="298"/>
    <n v="895"/>
    <n v="0.15"/>
    <x v="1"/>
    <n v="266710"/>
    <n v="226703.5"/>
    <s v="Medium"/>
  </r>
  <r>
    <x v="909"/>
    <s v="PKG-001"/>
    <x v="0"/>
    <x v="0"/>
    <x v="1"/>
    <x v="0"/>
    <x v="4"/>
    <x v="432"/>
    <n v="192"/>
    <n v="990"/>
    <n v="0"/>
    <x v="1"/>
    <n v="190080"/>
    <n v="190080"/>
    <s v="Medium"/>
  </r>
  <r>
    <x v="910"/>
    <s v="PKG-008"/>
    <x v="7"/>
    <x v="3"/>
    <x v="1"/>
    <x v="2"/>
    <x v="3"/>
    <x v="432"/>
    <n v="112"/>
    <n v="2800"/>
    <n v="0.1"/>
    <x v="1"/>
    <n v="313600"/>
    <n v="282240"/>
    <s v="Medium"/>
  </r>
  <r>
    <x v="911"/>
    <s v="PKG-008"/>
    <x v="7"/>
    <x v="3"/>
    <x v="1"/>
    <x v="3"/>
    <x v="0"/>
    <x v="432"/>
    <n v="378"/>
    <n v="2800"/>
    <n v="0.03"/>
    <x v="0"/>
    <n v="1058400"/>
    <n v="1026648"/>
    <s v="High"/>
  </r>
  <r>
    <x v="912"/>
    <s v="PKG-006"/>
    <x v="5"/>
    <x v="2"/>
    <x v="1"/>
    <x v="1"/>
    <x v="1"/>
    <x v="433"/>
    <n v="41"/>
    <n v="895"/>
    <n v="0.14000000000000001"/>
    <x v="1"/>
    <n v="36695"/>
    <n v="31557.7"/>
    <s v="Low"/>
  </r>
  <r>
    <x v="913"/>
    <s v="PKG-008"/>
    <x v="7"/>
    <x v="3"/>
    <x v="2"/>
    <x v="0"/>
    <x v="4"/>
    <x v="434"/>
    <n v="138"/>
    <n v="2800"/>
    <n v="0.13"/>
    <x v="1"/>
    <n v="386400"/>
    <n v="336168"/>
    <s v="Medium"/>
  </r>
  <r>
    <x v="914"/>
    <s v="PKG-007"/>
    <x v="6"/>
    <x v="0"/>
    <x v="0"/>
    <x v="4"/>
    <x v="5"/>
    <x v="434"/>
    <n v="172"/>
    <n v="650"/>
    <n v="0.08"/>
    <x v="1"/>
    <n v="111800"/>
    <n v="102856"/>
    <s v="Medium"/>
  </r>
  <r>
    <x v="915"/>
    <s v="PKG-005"/>
    <x v="4"/>
    <x v="0"/>
    <x v="1"/>
    <x v="4"/>
    <x v="3"/>
    <x v="435"/>
    <n v="153"/>
    <n v="200"/>
    <n v="0"/>
    <x v="1"/>
    <n v="30600"/>
    <n v="30600"/>
    <s v="Low"/>
  </r>
  <r>
    <x v="916"/>
    <s v="PKG-008"/>
    <x v="7"/>
    <x v="3"/>
    <x v="3"/>
    <x v="0"/>
    <x v="3"/>
    <x v="435"/>
    <n v="120"/>
    <n v="2800"/>
    <n v="0.12"/>
    <x v="0"/>
    <n v="336000"/>
    <n v="295680"/>
    <s v="Medium"/>
  </r>
  <r>
    <x v="917"/>
    <s v="PKG-005"/>
    <x v="4"/>
    <x v="0"/>
    <x v="0"/>
    <x v="1"/>
    <x v="2"/>
    <x v="435"/>
    <n v="245"/>
    <n v="200"/>
    <n v="0"/>
    <x v="0"/>
    <n v="49000"/>
    <n v="49000"/>
    <s v="Low"/>
  </r>
  <r>
    <x v="918"/>
    <s v="PKG-003"/>
    <x v="2"/>
    <x v="1"/>
    <x v="3"/>
    <x v="1"/>
    <x v="3"/>
    <x v="436"/>
    <n v="264"/>
    <n v="420"/>
    <n v="0.08"/>
    <x v="1"/>
    <n v="110880"/>
    <n v="102009.60000000001"/>
    <s v="Medium"/>
  </r>
  <r>
    <x v="919"/>
    <s v="PKG-001"/>
    <x v="0"/>
    <x v="0"/>
    <x v="0"/>
    <x v="0"/>
    <x v="5"/>
    <x v="437"/>
    <n v="372"/>
    <n v="990"/>
    <n v="0.12"/>
    <x v="1"/>
    <n v="368280"/>
    <n v="324086.40000000002"/>
    <s v="Medium"/>
  </r>
  <r>
    <x v="920"/>
    <s v="PKG-008"/>
    <x v="7"/>
    <x v="3"/>
    <x v="4"/>
    <x v="2"/>
    <x v="0"/>
    <x v="437"/>
    <n v="190"/>
    <n v="2800"/>
    <n v="0"/>
    <x v="1"/>
    <n v="532000"/>
    <n v="532000"/>
    <s v="High"/>
  </r>
  <r>
    <x v="921"/>
    <s v="PKG-003"/>
    <x v="2"/>
    <x v="1"/>
    <x v="0"/>
    <x v="0"/>
    <x v="2"/>
    <x v="437"/>
    <n v="295"/>
    <n v="420"/>
    <n v="0.12"/>
    <x v="0"/>
    <n v="123900"/>
    <n v="109032"/>
    <s v="Medium"/>
  </r>
  <r>
    <x v="922"/>
    <s v="PKG-005"/>
    <x v="4"/>
    <x v="0"/>
    <x v="3"/>
    <x v="4"/>
    <x v="1"/>
    <x v="438"/>
    <n v="234"/>
    <n v="200"/>
    <n v="0.14000000000000001"/>
    <x v="0"/>
    <n v="46800"/>
    <n v="40248"/>
    <s v="Low"/>
  </r>
  <r>
    <x v="923"/>
    <s v="PKG-007"/>
    <x v="6"/>
    <x v="0"/>
    <x v="0"/>
    <x v="0"/>
    <x v="0"/>
    <x v="438"/>
    <n v="159"/>
    <n v="650"/>
    <n v="0.15"/>
    <x v="0"/>
    <n v="103350"/>
    <n v="87847.5"/>
    <s v="Low"/>
  </r>
  <r>
    <x v="924"/>
    <s v="PKG-008"/>
    <x v="7"/>
    <x v="3"/>
    <x v="4"/>
    <x v="4"/>
    <x v="5"/>
    <x v="439"/>
    <n v="176"/>
    <n v="2800"/>
    <n v="0"/>
    <x v="0"/>
    <n v="492800"/>
    <n v="492800"/>
    <s v="High"/>
  </r>
  <r>
    <x v="925"/>
    <s v="PKG-009"/>
    <x v="8"/>
    <x v="1"/>
    <x v="0"/>
    <x v="2"/>
    <x v="2"/>
    <x v="440"/>
    <n v="441"/>
    <n v="280"/>
    <n v="0"/>
    <x v="0"/>
    <n v="123480"/>
    <n v="123480"/>
    <s v="Medium"/>
  </r>
  <r>
    <x v="926"/>
    <s v="PKG-005"/>
    <x v="4"/>
    <x v="0"/>
    <x v="2"/>
    <x v="3"/>
    <x v="2"/>
    <x v="440"/>
    <n v="87"/>
    <n v="200"/>
    <n v="0"/>
    <x v="0"/>
    <n v="17400"/>
    <n v="17400"/>
    <s v="Low"/>
  </r>
  <r>
    <x v="927"/>
    <s v="PKG-007"/>
    <x v="6"/>
    <x v="0"/>
    <x v="3"/>
    <x v="3"/>
    <x v="1"/>
    <x v="441"/>
    <n v="151"/>
    <n v="650"/>
    <n v="0.08"/>
    <x v="0"/>
    <n v="98150"/>
    <n v="90298"/>
    <s v="Low"/>
  </r>
  <r>
    <x v="928"/>
    <s v="PKG-001"/>
    <x v="0"/>
    <x v="0"/>
    <x v="3"/>
    <x v="3"/>
    <x v="1"/>
    <x v="441"/>
    <n v="305"/>
    <n v="990"/>
    <n v="7.0000000000000007E-2"/>
    <x v="0"/>
    <n v="301950"/>
    <n v="280813.5"/>
    <s v="Medium"/>
  </r>
  <r>
    <x v="929"/>
    <s v="PKG-002"/>
    <x v="1"/>
    <x v="1"/>
    <x v="0"/>
    <x v="1"/>
    <x v="0"/>
    <x v="441"/>
    <n v="389"/>
    <n v="350"/>
    <n v="0.14000000000000001"/>
    <x v="0"/>
    <n v="136150"/>
    <n v="117089"/>
    <s v="Medium"/>
  </r>
  <r>
    <x v="930"/>
    <s v="PKG-009"/>
    <x v="8"/>
    <x v="1"/>
    <x v="3"/>
    <x v="0"/>
    <x v="2"/>
    <x v="442"/>
    <n v="117"/>
    <n v="280"/>
    <n v="7.0000000000000007E-2"/>
    <x v="1"/>
    <n v="32760"/>
    <n v="30466.799999999999"/>
    <s v="Low"/>
  </r>
  <r>
    <x v="931"/>
    <s v="PKG-001"/>
    <x v="0"/>
    <x v="0"/>
    <x v="2"/>
    <x v="1"/>
    <x v="2"/>
    <x v="442"/>
    <n v="349"/>
    <n v="990"/>
    <n v="0.05"/>
    <x v="0"/>
    <n v="345510"/>
    <n v="328234.5"/>
    <s v="Medium"/>
  </r>
  <r>
    <x v="932"/>
    <s v="PKG-005"/>
    <x v="4"/>
    <x v="0"/>
    <x v="4"/>
    <x v="2"/>
    <x v="1"/>
    <x v="442"/>
    <n v="282"/>
    <n v="200"/>
    <n v="0.11"/>
    <x v="1"/>
    <n v="56400"/>
    <n v="50196"/>
    <s v="Low"/>
  </r>
  <r>
    <x v="933"/>
    <s v="PKG-007"/>
    <x v="6"/>
    <x v="0"/>
    <x v="2"/>
    <x v="3"/>
    <x v="1"/>
    <x v="443"/>
    <n v="106"/>
    <n v="650"/>
    <n v="0.03"/>
    <x v="1"/>
    <n v="68900"/>
    <n v="66833"/>
    <s v="Low"/>
  </r>
  <r>
    <x v="934"/>
    <s v="PKG-001"/>
    <x v="0"/>
    <x v="0"/>
    <x v="1"/>
    <x v="4"/>
    <x v="5"/>
    <x v="443"/>
    <n v="173"/>
    <n v="990"/>
    <n v="0.13"/>
    <x v="0"/>
    <n v="171270"/>
    <n v="149004.9"/>
    <s v="Medium"/>
  </r>
  <r>
    <x v="935"/>
    <s v="PKG-001"/>
    <x v="0"/>
    <x v="0"/>
    <x v="0"/>
    <x v="2"/>
    <x v="2"/>
    <x v="443"/>
    <n v="314"/>
    <n v="990"/>
    <n v="0"/>
    <x v="0"/>
    <n v="310860"/>
    <n v="310860"/>
    <s v="Medium"/>
  </r>
  <r>
    <x v="936"/>
    <s v="PKG-003"/>
    <x v="2"/>
    <x v="1"/>
    <x v="1"/>
    <x v="4"/>
    <x v="0"/>
    <x v="444"/>
    <n v="184"/>
    <n v="420"/>
    <n v="0.1"/>
    <x v="0"/>
    <n v="77280"/>
    <n v="69552"/>
    <s v="Low"/>
  </r>
  <r>
    <x v="937"/>
    <s v="PKG-010"/>
    <x v="9"/>
    <x v="2"/>
    <x v="0"/>
    <x v="1"/>
    <x v="4"/>
    <x v="444"/>
    <n v="56"/>
    <n v="750"/>
    <n v="0.15"/>
    <x v="0"/>
    <n v="42000"/>
    <n v="35700"/>
    <s v="Low"/>
  </r>
  <r>
    <x v="938"/>
    <s v="PKG-010"/>
    <x v="9"/>
    <x v="2"/>
    <x v="0"/>
    <x v="2"/>
    <x v="5"/>
    <x v="444"/>
    <n v="52"/>
    <n v="750"/>
    <n v="0.13"/>
    <x v="1"/>
    <n v="39000"/>
    <n v="33930"/>
    <s v="Low"/>
  </r>
  <r>
    <x v="939"/>
    <s v="PKG-006"/>
    <x v="5"/>
    <x v="2"/>
    <x v="2"/>
    <x v="3"/>
    <x v="0"/>
    <x v="445"/>
    <n v="275"/>
    <n v="895"/>
    <n v="0"/>
    <x v="1"/>
    <n v="246125"/>
    <n v="246125"/>
    <s v="Medium"/>
  </r>
  <r>
    <x v="940"/>
    <s v="PKG-005"/>
    <x v="4"/>
    <x v="0"/>
    <x v="3"/>
    <x v="1"/>
    <x v="5"/>
    <x v="446"/>
    <n v="193"/>
    <n v="200"/>
    <n v="7.0000000000000007E-2"/>
    <x v="1"/>
    <n v="38600"/>
    <n v="35898"/>
    <s v="Low"/>
  </r>
  <r>
    <x v="941"/>
    <s v="PKG-006"/>
    <x v="5"/>
    <x v="2"/>
    <x v="0"/>
    <x v="2"/>
    <x v="4"/>
    <x v="446"/>
    <n v="145"/>
    <n v="895"/>
    <n v="0"/>
    <x v="0"/>
    <n v="129775"/>
    <n v="129775"/>
    <s v="Medium"/>
  </r>
  <r>
    <x v="942"/>
    <s v="PKG-009"/>
    <x v="8"/>
    <x v="1"/>
    <x v="3"/>
    <x v="4"/>
    <x v="3"/>
    <x v="446"/>
    <n v="339"/>
    <n v="280"/>
    <n v="0.13"/>
    <x v="0"/>
    <n v="94920"/>
    <n v="82580.399999999994"/>
    <s v="Low"/>
  </r>
  <r>
    <x v="943"/>
    <s v="PKG-007"/>
    <x v="6"/>
    <x v="0"/>
    <x v="4"/>
    <x v="2"/>
    <x v="4"/>
    <x v="447"/>
    <n v="154"/>
    <n v="650"/>
    <n v="0.15"/>
    <x v="0"/>
    <n v="100100"/>
    <n v="85085"/>
    <s v="Low"/>
  </r>
  <r>
    <x v="944"/>
    <s v="PKG-004"/>
    <x v="3"/>
    <x v="0"/>
    <x v="3"/>
    <x v="1"/>
    <x v="0"/>
    <x v="447"/>
    <n v="31"/>
    <n v="1200"/>
    <n v="0.11"/>
    <x v="0"/>
    <n v="37200"/>
    <n v="33108"/>
    <s v="Low"/>
  </r>
  <r>
    <x v="945"/>
    <s v="PKG-002"/>
    <x v="1"/>
    <x v="1"/>
    <x v="4"/>
    <x v="2"/>
    <x v="5"/>
    <x v="448"/>
    <n v="324"/>
    <n v="350"/>
    <n v="7.0000000000000007E-2"/>
    <x v="0"/>
    <n v="113400"/>
    <n v="105462"/>
    <s v="Medium"/>
  </r>
  <r>
    <x v="946"/>
    <s v="PKG-007"/>
    <x v="6"/>
    <x v="0"/>
    <x v="4"/>
    <x v="0"/>
    <x v="1"/>
    <x v="448"/>
    <n v="163"/>
    <n v="650"/>
    <n v="0"/>
    <x v="0"/>
    <n v="105950"/>
    <n v="105950"/>
    <s v="Medium"/>
  </r>
  <r>
    <x v="947"/>
    <s v="PKG-006"/>
    <x v="5"/>
    <x v="2"/>
    <x v="2"/>
    <x v="1"/>
    <x v="4"/>
    <x v="448"/>
    <n v="362"/>
    <n v="895"/>
    <n v="0.12"/>
    <x v="0"/>
    <n v="323990"/>
    <n v="285111.2"/>
    <s v="Medium"/>
  </r>
  <r>
    <x v="948"/>
    <s v="PKG-004"/>
    <x v="3"/>
    <x v="0"/>
    <x v="3"/>
    <x v="2"/>
    <x v="4"/>
    <x v="449"/>
    <n v="200"/>
    <n v="1200"/>
    <n v="0.05"/>
    <x v="0"/>
    <n v="240000"/>
    <n v="228000"/>
    <s v="Medium"/>
  </r>
  <r>
    <x v="949"/>
    <s v="PKG-003"/>
    <x v="2"/>
    <x v="1"/>
    <x v="3"/>
    <x v="4"/>
    <x v="2"/>
    <x v="449"/>
    <n v="396"/>
    <n v="420"/>
    <n v="0.05"/>
    <x v="0"/>
    <n v="166320"/>
    <n v="158004"/>
    <s v="Medium"/>
  </r>
  <r>
    <x v="950"/>
    <s v="PKG-009"/>
    <x v="8"/>
    <x v="1"/>
    <x v="1"/>
    <x v="2"/>
    <x v="4"/>
    <x v="449"/>
    <n v="458"/>
    <n v="280"/>
    <n v="0.08"/>
    <x v="1"/>
    <n v="128240"/>
    <n v="117980.8"/>
    <s v="Medium"/>
  </r>
  <r>
    <x v="951"/>
    <s v="PKG-009"/>
    <x v="8"/>
    <x v="1"/>
    <x v="3"/>
    <x v="0"/>
    <x v="1"/>
    <x v="450"/>
    <n v="320"/>
    <n v="280"/>
    <n v="0.03"/>
    <x v="0"/>
    <n v="89600"/>
    <n v="86912"/>
    <s v="Low"/>
  </r>
  <r>
    <x v="952"/>
    <s v="PKG-009"/>
    <x v="8"/>
    <x v="1"/>
    <x v="2"/>
    <x v="3"/>
    <x v="3"/>
    <x v="451"/>
    <n v="211"/>
    <n v="280"/>
    <n v="0.14000000000000001"/>
    <x v="0"/>
    <n v="59080"/>
    <n v="50808.800000000003"/>
    <s v="Low"/>
  </r>
  <r>
    <x v="953"/>
    <s v="PKG-010"/>
    <x v="9"/>
    <x v="2"/>
    <x v="4"/>
    <x v="3"/>
    <x v="4"/>
    <x v="452"/>
    <n v="269"/>
    <n v="750"/>
    <n v="0.12"/>
    <x v="0"/>
    <n v="201750"/>
    <n v="177540"/>
    <s v="Medium"/>
  </r>
  <r>
    <x v="954"/>
    <s v="PKG-002"/>
    <x v="1"/>
    <x v="1"/>
    <x v="0"/>
    <x v="1"/>
    <x v="4"/>
    <x v="452"/>
    <n v="277"/>
    <n v="350"/>
    <n v="0.05"/>
    <x v="1"/>
    <n v="96950"/>
    <n v="92102.5"/>
    <s v="Low"/>
  </r>
  <r>
    <x v="955"/>
    <s v="PKG-001"/>
    <x v="0"/>
    <x v="0"/>
    <x v="4"/>
    <x v="3"/>
    <x v="5"/>
    <x v="452"/>
    <n v="312"/>
    <n v="990"/>
    <n v="0.14000000000000001"/>
    <x v="0"/>
    <n v="308880"/>
    <n v="265636.8"/>
    <s v="Medium"/>
  </r>
  <r>
    <x v="956"/>
    <s v="PKG-010"/>
    <x v="9"/>
    <x v="2"/>
    <x v="0"/>
    <x v="4"/>
    <x v="1"/>
    <x v="453"/>
    <n v="168"/>
    <n v="750"/>
    <n v="0"/>
    <x v="0"/>
    <n v="126000"/>
    <n v="126000"/>
    <s v="Medium"/>
  </r>
  <r>
    <x v="957"/>
    <s v="PKG-004"/>
    <x v="3"/>
    <x v="0"/>
    <x v="2"/>
    <x v="2"/>
    <x v="1"/>
    <x v="454"/>
    <n v="41"/>
    <n v="1200"/>
    <n v="0.13"/>
    <x v="0"/>
    <n v="49200"/>
    <n v="42804"/>
    <s v="Low"/>
  </r>
  <r>
    <x v="958"/>
    <s v="PKG-008"/>
    <x v="7"/>
    <x v="3"/>
    <x v="3"/>
    <x v="1"/>
    <x v="4"/>
    <x v="454"/>
    <n v="192"/>
    <n v="2800"/>
    <n v="7.0000000000000007E-2"/>
    <x v="0"/>
    <n v="537600"/>
    <n v="499968"/>
    <s v="High"/>
  </r>
  <r>
    <x v="959"/>
    <s v="PKG-006"/>
    <x v="5"/>
    <x v="2"/>
    <x v="4"/>
    <x v="1"/>
    <x v="4"/>
    <x v="454"/>
    <n v="93"/>
    <n v="895"/>
    <n v="0"/>
    <x v="0"/>
    <n v="83235"/>
    <n v="83235"/>
    <s v="Low"/>
  </r>
  <r>
    <x v="960"/>
    <s v="PKG-005"/>
    <x v="4"/>
    <x v="0"/>
    <x v="2"/>
    <x v="1"/>
    <x v="0"/>
    <x v="455"/>
    <n v="297"/>
    <n v="200"/>
    <n v="7.0000000000000007E-2"/>
    <x v="1"/>
    <n v="59400"/>
    <n v="55242"/>
    <s v="Low"/>
  </r>
  <r>
    <x v="961"/>
    <s v="PKG-003"/>
    <x v="2"/>
    <x v="1"/>
    <x v="1"/>
    <x v="0"/>
    <x v="2"/>
    <x v="455"/>
    <n v="140"/>
    <n v="420"/>
    <n v="0.11"/>
    <x v="0"/>
    <n v="58800"/>
    <n v="52332"/>
    <s v="Low"/>
  </r>
  <r>
    <x v="962"/>
    <s v="PKG-004"/>
    <x v="3"/>
    <x v="0"/>
    <x v="0"/>
    <x v="3"/>
    <x v="1"/>
    <x v="455"/>
    <n v="314"/>
    <n v="1200"/>
    <n v="0"/>
    <x v="1"/>
    <n v="376800"/>
    <n v="376800"/>
    <s v="High"/>
  </r>
  <r>
    <x v="963"/>
    <s v="PKG-001"/>
    <x v="0"/>
    <x v="0"/>
    <x v="0"/>
    <x v="3"/>
    <x v="0"/>
    <x v="456"/>
    <n v="105"/>
    <n v="990"/>
    <n v="0.1"/>
    <x v="0"/>
    <n v="103950"/>
    <n v="93555"/>
    <s v="Low"/>
  </r>
  <r>
    <x v="964"/>
    <s v="PKG-004"/>
    <x v="3"/>
    <x v="0"/>
    <x v="4"/>
    <x v="4"/>
    <x v="4"/>
    <x v="457"/>
    <n v="243"/>
    <n v="1200"/>
    <n v="0.08"/>
    <x v="0"/>
    <n v="291600"/>
    <n v="268272"/>
    <s v="Medium"/>
  </r>
  <r>
    <x v="965"/>
    <s v="PKG-005"/>
    <x v="4"/>
    <x v="0"/>
    <x v="0"/>
    <x v="1"/>
    <x v="3"/>
    <x v="457"/>
    <n v="465"/>
    <n v="200"/>
    <n v="0.11"/>
    <x v="0"/>
    <n v="93000"/>
    <n v="82770"/>
    <s v="Low"/>
  </r>
  <r>
    <x v="966"/>
    <s v="PKG-002"/>
    <x v="1"/>
    <x v="1"/>
    <x v="4"/>
    <x v="4"/>
    <x v="1"/>
    <x v="457"/>
    <n v="230"/>
    <n v="350"/>
    <n v="0.05"/>
    <x v="0"/>
    <n v="80500"/>
    <n v="76475"/>
    <s v="Low"/>
  </r>
  <r>
    <x v="967"/>
    <s v="PKG-008"/>
    <x v="7"/>
    <x v="3"/>
    <x v="1"/>
    <x v="2"/>
    <x v="1"/>
    <x v="458"/>
    <n v="285"/>
    <n v="2800"/>
    <n v="0.1"/>
    <x v="0"/>
    <n v="798000"/>
    <n v="718200"/>
    <s v="High"/>
  </r>
  <r>
    <x v="968"/>
    <s v="PKG-003"/>
    <x v="2"/>
    <x v="1"/>
    <x v="3"/>
    <x v="0"/>
    <x v="5"/>
    <x v="459"/>
    <n v="394"/>
    <n v="420"/>
    <n v="0.14000000000000001"/>
    <x v="1"/>
    <n v="165480"/>
    <n v="142312.79999999999"/>
    <s v="Medium"/>
  </r>
  <r>
    <x v="969"/>
    <s v="PKG-009"/>
    <x v="8"/>
    <x v="1"/>
    <x v="1"/>
    <x v="3"/>
    <x v="3"/>
    <x v="459"/>
    <n v="432"/>
    <n v="280"/>
    <n v="0.11"/>
    <x v="0"/>
    <n v="120960"/>
    <n v="107654.39999999999"/>
    <s v="Medium"/>
  </r>
  <r>
    <x v="970"/>
    <s v="PKG-003"/>
    <x v="2"/>
    <x v="1"/>
    <x v="0"/>
    <x v="4"/>
    <x v="1"/>
    <x v="459"/>
    <n v="291"/>
    <n v="420"/>
    <n v="0"/>
    <x v="0"/>
    <n v="122220"/>
    <n v="122220"/>
    <s v="Medium"/>
  </r>
  <r>
    <x v="971"/>
    <s v="PKG-003"/>
    <x v="2"/>
    <x v="1"/>
    <x v="2"/>
    <x v="2"/>
    <x v="5"/>
    <x v="460"/>
    <n v="367"/>
    <n v="420"/>
    <n v="7.0000000000000007E-2"/>
    <x v="1"/>
    <n v="154140"/>
    <n v="143350.20000000001"/>
    <s v="Medium"/>
  </r>
  <r>
    <x v="972"/>
    <s v="PKG-004"/>
    <x v="3"/>
    <x v="0"/>
    <x v="1"/>
    <x v="3"/>
    <x v="5"/>
    <x v="461"/>
    <n v="106"/>
    <n v="1200"/>
    <n v="0.12"/>
    <x v="1"/>
    <n v="127200"/>
    <n v="111936"/>
    <s v="Medium"/>
  </r>
  <r>
    <x v="973"/>
    <s v="PKG-007"/>
    <x v="6"/>
    <x v="0"/>
    <x v="0"/>
    <x v="3"/>
    <x v="5"/>
    <x v="462"/>
    <n v="323"/>
    <n v="650"/>
    <n v="0.15"/>
    <x v="1"/>
    <n v="209950"/>
    <n v="178457.5"/>
    <s v="Medium"/>
  </r>
  <r>
    <x v="974"/>
    <s v="PKG-002"/>
    <x v="1"/>
    <x v="1"/>
    <x v="3"/>
    <x v="2"/>
    <x v="5"/>
    <x v="462"/>
    <n v="318"/>
    <n v="350"/>
    <n v="0.11"/>
    <x v="0"/>
    <n v="111300"/>
    <n v="99057"/>
    <s v="Low"/>
  </r>
  <r>
    <x v="975"/>
    <s v="PKG-003"/>
    <x v="2"/>
    <x v="1"/>
    <x v="3"/>
    <x v="0"/>
    <x v="3"/>
    <x v="463"/>
    <n v="404"/>
    <n v="420"/>
    <n v="0.03"/>
    <x v="0"/>
    <n v="169680"/>
    <n v="164589.6"/>
    <s v="Medium"/>
  </r>
  <r>
    <x v="976"/>
    <s v="PKG-010"/>
    <x v="9"/>
    <x v="2"/>
    <x v="0"/>
    <x v="0"/>
    <x v="3"/>
    <x v="464"/>
    <n v="133"/>
    <n v="750"/>
    <n v="0.08"/>
    <x v="0"/>
    <n v="99750"/>
    <n v="91770"/>
    <s v="Low"/>
  </r>
  <r>
    <x v="977"/>
    <s v="PKG-013"/>
    <x v="10"/>
    <x v="2"/>
    <x v="0"/>
    <x v="0"/>
    <x v="0"/>
    <x v="465"/>
    <n v="62"/>
    <n v="820"/>
    <n v="0.1"/>
    <x v="0"/>
    <n v="50840"/>
    <n v="45756"/>
    <s v="Low"/>
  </r>
  <r>
    <x v="978"/>
    <s v="PKG-007"/>
    <x v="6"/>
    <x v="0"/>
    <x v="2"/>
    <x v="2"/>
    <x v="3"/>
    <x v="465"/>
    <n v="446"/>
    <n v="650"/>
    <n v="0.05"/>
    <x v="0"/>
    <n v="289900"/>
    <n v="275405"/>
    <s v="Medium"/>
  </r>
  <r>
    <x v="979"/>
    <s v="PKG-008"/>
    <x v="7"/>
    <x v="3"/>
    <x v="3"/>
    <x v="3"/>
    <x v="2"/>
    <x v="466"/>
    <n v="35"/>
    <n v="2800"/>
    <n v="0"/>
    <x v="1"/>
    <n v="98000"/>
    <n v="98000"/>
    <s v="Low"/>
  </r>
  <r>
    <x v="980"/>
    <s v="PKG-008"/>
    <x v="7"/>
    <x v="3"/>
    <x v="4"/>
    <x v="0"/>
    <x v="5"/>
    <x v="467"/>
    <n v="254"/>
    <n v="2800"/>
    <n v="0.13"/>
    <x v="0"/>
    <n v="711200"/>
    <n v="618744"/>
    <s v="High"/>
  </r>
  <r>
    <x v="981"/>
    <s v="PKG-002"/>
    <x v="1"/>
    <x v="1"/>
    <x v="0"/>
    <x v="4"/>
    <x v="5"/>
    <x v="468"/>
    <n v="404"/>
    <n v="350"/>
    <n v="0.12"/>
    <x v="1"/>
    <n v="141400"/>
    <n v="124432"/>
    <s v="Medium"/>
  </r>
  <r>
    <x v="982"/>
    <s v="PKG-008"/>
    <x v="7"/>
    <x v="3"/>
    <x v="4"/>
    <x v="0"/>
    <x v="4"/>
    <x v="469"/>
    <n v="308"/>
    <n v="2800"/>
    <n v="7.0000000000000007E-2"/>
    <x v="0"/>
    <n v="862400"/>
    <n v="802032"/>
    <s v="High"/>
  </r>
  <r>
    <x v="983"/>
    <s v="PKG-004"/>
    <x v="3"/>
    <x v="0"/>
    <x v="0"/>
    <x v="1"/>
    <x v="0"/>
    <x v="469"/>
    <n v="104"/>
    <n v="1200"/>
    <n v="0"/>
    <x v="0"/>
    <n v="124800"/>
    <n v="124800"/>
    <s v="Medium"/>
  </r>
  <r>
    <x v="984"/>
    <s v="PKG-001"/>
    <x v="0"/>
    <x v="0"/>
    <x v="4"/>
    <x v="4"/>
    <x v="3"/>
    <x v="469"/>
    <n v="354"/>
    <n v="990"/>
    <n v="7.0000000000000007E-2"/>
    <x v="0"/>
    <n v="350460"/>
    <n v="325927.8"/>
    <s v="Medium"/>
  </r>
  <r>
    <x v="985"/>
    <s v="PKG-010"/>
    <x v="9"/>
    <x v="2"/>
    <x v="2"/>
    <x v="4"/>
    <x v="5"/>
    <x v="470"/>
    <n v="338"/>
    <n v="750"/>
    <n v="0.03"/>
    <x v="0"/>
    <n v="253500"/>
    <n v="245895"/>
    <s v="Medium"/>
  </r>
  <r>
    <x v="986"/>
    <s v="PKG-009"/>
    <x v="8"/>
    <x v="1"/>
    <x v="3"/>
    <x v="2"/>
    <x v="1"/>
    <x v="470"/>
    <n v="116"/>
    <n v="280"/>
    <n v="0.14000000000000001"/>
    <x v="0"/>
    <n v="32480"/>
    <n v="27932.799999999999"/>
    <s v="Low"/>
  </r>
  <r>
    <x v="987"/>
    <s v="PKG-010"/>
    <x v="9"/>
    <x v="2"/>
    <x v="1"/>
    <x v="0"/>
    <x v="3"/>
    <x v="470"/>
    <n v="58"/>
    <n v="750"/>
    <n v="0.13"/>
    <x v="0"/>
    <n v="43500"/>
    <n v="37845"/>
    <s v="Low"/>
  </r>
  <r>
    <x v="988"/>
    <s v="PKG-006"/>
    <x v="5"/>
    <x v="2"/>
    <x v="0"/>
    <x v="1"/>
    <x v="5"/>
    <x v="471"/>
    <n v="400"/>
    <n v="895"/>
    <n v="0"/>
    <x v="0"/>
    <n v="358000"/>
    <n v="358000"/>
    <s v="High"/>
  </r>
  <r>
    <x v="989"/>
    <s v="PKG-005"/>
    <x v="4"/>
    <x v="0"/>
    <x v="2"/>
    <x v="1"/>
    <x v="2"/>
    <x v="472"/>
    <n v="182"/>
    <n v="200"/>
    <n v="0"/>
    <x v="0"/>
    <n v="36400"/>
    <n v="36400"/>
    <s v="Low"/>
  </r>
  <r>
    <x v="990"/>
    <s v="PKG-004"/>
    <x v="3"/>
    <x v="0"/>
    <x v="2"/>
    <x v="2"/>
    <x v="5"/>
    <x v="472"/>
    <n v="118"/>
    <n v="1200"/>
    <n v="0.15"/>
    <x v="0"/>
    <n v="141600"/>
    <n v="120360"/>
    <s v="Medium"/>
  </r>
  <r>
    <x v="991"/>
    <s v="PKG-002"/>
    <x v="1"/>
    <x v="1"/>
    <x v="3"/>
    <x v="4"/>
    <x v="5"/>
    <x v="473"/>
    <n v="435"/>
    <n v="350"/>
    <n v="0"/>
    <x v="0"/>
    <n v="152250"/>
    <n v="152250"/>
    <s v="Medium"/>
  </r>
  <r>
    <x v="992"/>
    <s v="PKG-008"/>
    <x v="7"/>
    <x v="3"/>
    <x v="3"/>
    <x v="0"/>
    <x v="0"/>
    <x v="474"/>
    <n v="185"/>
    <n v="2800"/>
    <n v="0.05"/>
    <x v="1"/>
    <n v="518000"/>
    <n v="492100"/>
    <s v="High"/>
  </r>
  <r>
    <x v="993"/>
    <s v="PKG-003"/>
    <x v="2"/>
    <x v="1"/>
    <x v="0"/>
    <x v="1"/>
    <x v="0"/>
    <x v="474"/>
    <n v="384"/>
    <n v="420"/>
    <n v="0.1"/>
    <x v="1"/>
    <n v="161280"/>
    <n v="145152"/>
    <s v="Medium"/>
  </r>
  <r>
    <x v="994"/>
    <s v="PKG-001"/>
    <x v="0"/>
    <x v="0"/>
    <x v="0"/>
    <x v="0"/>
    <x v="0"/>
    <x v="475"/>
    <n v="217"/>
    <n v="990"/>
    <n v="0.15"/>
    <x v="0"/>
    <n v="214830"/>
    <n v="182605.5"/>
    <s v="Medium"/>
  </r>
  <r>
    <x v="995"/>
    <s v="PKG-001"/>
    <x v="0"/>
    <x v="0"/>
    <x v="3"/>
    <x v="1"/>
    <x v="2"/>
    <x v="476"/>
    <n v="148"/>
    <n v="990"/>
    <n v="0"/>
    <x v="1"/>
    <n v="146520"/>
    <n v="146520"/>
    <s v="Medium"/>
  </r>
  <r>
    <x v="996"/>
    <s v="PKG-008"/>
    <x v="7"/>
    <x v="3"/>
    <x v="1"/>
    <x v="0"/>
    <x v="3"/>
    <x v="477"/>
    <n v="255"/>
    <n v="2800"/>
    <n v="0.08"/>
    <x v="1"/>
    <n v="714000"/>
    <n v="656880"/>
    <s v="High"/>
  </r>
  <r>
    <x v="997"/>
    <s v="PKG-010"/>
    <x v="9"/>
    <x v="2"/>
    <x v="3"/>
    <x v="1"/>
    <x v="0"/>
    <x v="478"/>
    <n v="273"/>
    <n v="750"/>
    <n v="0.14000000000000001"/>
    <x v="0"/>
    <n v="204750"/>
    <n v="176085"/>
    <s v="Medium"/>
  </r>
  <r>
    <x v="998"/>
    <s v="PKG-008"/>
    <x v="7"/>
    <x v="3"/>
    <x v="0"/>
    <x v="2"/>
    <x v="1"/>
    <x v="478"/>
    <n v="332"/>
    <n v="2800"/>
    <n v="7.0000000000000007E-2"/>
    <x v="0"/>
    <n v="929600"/>
    <n v="864528"/>
    <s v="High"/>
  </r>
  <r>
    <x v="999"/>
    <s v="PKG-013"/>
    <x v="10"/>
    <x v="2"/>
    <x v="2"/>
    <x v="4"/>
    <x v="3"/>
    <x v="478"/>
    <n v="342"/>
    <n v="820"/>
    <n v="0"/>
    <x v="0"/>
    <n v="280440"/>
    <n v="280440"/>
    <s v="Medium"/>
  </r>
  <r>
    <x v="1000"/>
    <s v="PKG-003"/>
    <x v="2"/>
    <x v="1"/>
    <x v="0"/>
    <x v="0"/>
    <x v="1"/>
    <x v="479"/>
    <n v="287"/>
    <n v="420"/>
    <n v="0.14000000000000001"/>
    <x v="0"/>
    <n v="120540"/>
    <n v="103664.4"/>
    <s v="Medium"/>
  </r>
  <r>
    <x v="1001"/>
    <s v="PKG-009"/>
    <x v="8"/>
    <x v="1"/>
    <x v="0"/>
    <x v="0"/>
    <x v="0"/>
    <x v="480"/>
    <n v="462"/>
    <n v="280"/>
    <n v="0.15"/>
    <x v="0"/>
    <n v="129360"/>
    <n v="109956"/>
    <s v="Medium"/>
  </r>
  <r>
    <x v="1002"/>
    <s v="PKG-004"/>
    <x v="3"/>
    <x v="0"/>
    <x v="3"/>
    <x v="4"/>
    <x v="0"/>
    <x v="480"/>
    <n v="175"/>
    <n v="1200"/>
    <n v="0.12"/>
    <x v="1"/>
    <n v="210000"/>
    <n v="184800"/>
    <s v="Medium"/>
  </r>
  <r>
    <x v="1003"/>
    <s v="PKG-006"/>
    <x v="5"/>
    <x v="2"/>
    <x v="3"/>
    <x v="4"/>
    <x v="1"/>
    <x v="481"/>
    <n v="261"/>
    <n v="895"/>
    <n v="0.03"/>
    <x v="0"/>
    <n v="233595"/>
    <n v="226587.15"/>
    <s v="Medium"/>
  </r>
  <r>
    <x v="1004"/>
    <s v="PKG-003"/>
    <x v="2"/>
    <x v="1"/>
    <x v="0"/>
    <x v="2"/>
    <x v="5"/>
    <x v="482"/>
    <n v="397"/>
    <n v="420"/>
    <n v="0.14000000000000001"/>
    <x v="0"/>
    <n v="166740"/>
    <n v="143396.4"/>
    <s v="Medium"/>
  </r>
  <r>
    <x v="1005"/>
    <s v="PKG-009"/>
    <x v="8"/>
    <x v="1"/>
    <x v="4"/>
    <x v="2"/>
    <x v="5"/>
    <x v="482"/>
    <n v="161"/>
    <n v="280"/>
    <n v="0.08"/>
    <x v="0"/>
    <n v="45080"/>
    <n v="41473.599999999999"/>
    <s v="Low"/>
  </r>
  <r>
    <x v="1006"/>
    <s v="PKG-006"/>
    <x v="5"/>
    <x v="2"/>
    <x v="3"/>
    <x v="4"/>
    <x v="1"/>
    <x v="482"/>
    <n v="73"/>
    <n v="895"/>
    <n v="0.15"/>
    <x v="1"/>
    <n v="65335"/>
    <n v="55534.75"/>
    <s v="Low"/>
  </r>
  <r>
    <x v="1007"/>
    <s v="PKG-006"/>
    <x v="5"/>
    <x v="2"/>
    <x v="0"/>
    <x v="3"/>
    <x v="1"/>
    <x v="483"/>
    <n v="145"/>
    <n v="895"/>
    <n v="0.03"/>
    <x v="0"/>
    <n v="129775"/>
    <n v="125881.75"/>
    <s v="Medium"/>
  </r>
  <r>
    <x v="1008"/>
    <s v="PKG-007"/>
    <x v="6"/>
    <x v="0"/>
    <x v="1"/>
    <x v="1"/>
    <x v="3"/>
    <x v="483"/>
    <n v="291"/>
    <n v="650"/>
    <n v="0.11"/>
    <x v="1"/>
    <n v="189150"/>
    <n v="168343.5"/>
    <s v="Medium"/>
  </r>
  <r>
    <x v="1009"/>
    <s v="PKG-012"/>
    <x v="11"/>
    <x v="0"/>
    <x v="4"/>
    <x v="1"/>
    <x v="2"/>
    <x v="483"/>
    <n v="330"/>
    <n v="450"/>
    <n v="0"/>
    <x v="0"/>
    <n v="148500"/>
    <n v="148500"/>
    <s v="Medium"/>
  </r>
  <r>
    <x v="1010"/>
    <s v="PKG-002"/>
    <x v="1"/>
    <x v="1"/>
    <x v="3"/>
    <x v="4"/>
    <x v="3"/>
    <x v="484"/>
    <n v="57"/>
    <n v="350"/>
    <n v="0.14000000000000001"/>
    <x v="0"/>
    <n v="19950"/>
    <n v="17157"/>
    <s v="Low"/>
  </r>
  <r>
    <x v="1011"/>
    <s v="PKG-009"/>
    <x v="8"/>
    <x v="1"/>
    <x v="0"/>
    <x v="4"/>
    <x v="0"/>
    <x v="485"/>
    <n v="343"/>
    <n v="280"/>
    <n v="0.05"/>
    <x v="0"/>
    <n v="96040"/>
    <n v="91238"/>
    <s v="Low"/>
  </r>
  <r>
    <x v="1012"/>
    <s v="PKG-005"/>
    <x v="4"/>
    <x v="0"/>
    <x v="4"/>
    <x v="2"/>
    <x v="4"/>
    <x v="485"/>
    <n v="428"/>
    <n v="200"/>
    <n v="0.14000000000000001"/>
    <x v="1"/>
    <n v="85600"/>
    <n v="73616"/>
    <s v="Low"/>
  </r>
  <r>
    <x v="1013"/>
    <s v="PKG-008"/>
    <x v="7"/>
    <x v="3"/>
    <x v="4"/>
    <x v="3"/>
    <x v="2"/>
    <x v="485"/>
    <n v="165"/>
    <n v="2800"/>
    <n v="0.05"/>
    <x v="1"/>
    <n v="462000"/>
    <n v="438900"/>
    <s v="High"/>
  </r>
  <r>
    <x v="1014"/>
    <s v="PKG-008"/>
    <x v="7"/>
    <x v="3"/>
    <x v="4"/>
    <x v="1"/>
    <x v="1"/>
    <x v="486"/>
    <n v="329"/>
    <n v="2800"/>
    <n v="0.15"/>
    <x v="0"/>
    <n v="921200"/>
    <n v="783020"/>
    <s v="High"/>
  </r>
  <r>
    <x v="1015"/>
    <s v="PKG-005"/>
    <x v="4"/>
    <x v="0"/>
    <x v="0"/>
    <x v="4"/>
    <x v="4"/>
    <x v="487"/>
    <n v="303"/>
    <n v="200"/>
    <n v="0"/>
    <x v="0"/>
    <n v="60600"/>
    <n v="60600"/>
    <s v="Low"/>
  </r>
  <r>
    <x v="1016"/>
    <s v="PKG-008"/>
    <x v="7"/>
    <x v="3"/>
    <x v="2"/>
    <x v="3"/>
    <x v="3"/>
    <x v="487"/>
    <n v="21"/>
    <n v="2800"/>
    <n v="0"/>
    <x v="0"/>
    <n v="58800"/>
    <n v="58800"/>
    <s v="Low"/>
  </r>
  <r>
    <x v="1017"/>
    <s v="PKG-004"/>
    <x v="3"/>
    <x v="0"/>
    <x v="1"/>
    <x v="1"/>
    <x v="0"/>
    <x v="487"/>
    <n v="195"/>
    <n v="1200"/>
    <n v="7.0000000000000007E-2"/>
    <x v="1"/>
    <n v="234000"/>
    <n v="217620"/>
    <s v="Medium"/>
  </r>
  <r>
    <x v="1018"/>
    <s v="PKG-006"/>
    <x v="5"/>
    <x v="2"/>
    <x v="4"/>
    <x v="2"/>
    <x v="1"/>
    <x v="488"/>
    <n v="126"/>
    <n v="895"/>
    <n v="0.15"/>
    <x v="1"/>
    <n v="112770"/>
    <n v="95854.5"/>
    <s v="Low"/>
  </r>
  <r>
    <x v="1019"/>
    <s v="PKG-005"/>
    <x v="4"/>
    <x v="0"/>
    <x v="3"/>
    <x v="4"/>
    <x v="1"/>
    <x v="488"/>
    <n v="183"/>
    <n v="200"/>
    <n v="0.13"/>
    <x v="0"/>
    <n v="36600"/>
    <n v="31842"/>
    <s v="Low"/>
  </r>
  <r>
    <x v="1020"/>
    <s v="PKG-012"/>
    <x v="11"/>
    <x v="0"/>
    <x v="4"/>
    <x v="3"/>
    <x v="3"/>
    <x v="489"/>
    <n v="218"/>
    <n v="450"/>
    <n v="0.11"/>
    <x v="1"/>
    <n v="98100"/>
    <n v="87309"/>
    <s v="Low"/>
  </r>
  <r>
    <x v="1021"/>
    <s v="PKG-003"/>
    <x v="2"/>
    <x v="1"/>
    <x v="3"/>
    <x v="0"/>
    <x v="0"/>
    <x v="490"/>
    <n v="404"/>
    <n v="420"/>
    <n v="0.11"/>
    <x v="1"/>
    <n v="169680"/>
    <n v="151015.20000000001"/>
    <s v="Medium"/>
  </r>
  <r>
    <x v="1022"/>
    <s v="PKG-009"/>
    <x v="8"/>
    <x v="1"/>
    <x v="1"/>
    <x v="3"/>
    <x v="2"/>
    <x v="491"/>
    <n v="101"/>
    <n v="280"/>
    <n v="0.11"/>
    <x v="0"/>
    <n v="28280"/>
    <n v="25169.200000000001"/>
    <s v="Low"/>
  </r>
  <r>
    <x v="1023"/>
    <s v="PKG-002"/>
    <x v="1"/>
    <x v="1"/>
    <x v="2"/>
    <x v="1"/>
    <x v="1"/>
    <x v="491"/>
    <n v="130"/>
    <n v="350"/>
    <n v="7.0000000000000007E-2"/>
    <x v="1"/>
    <n v="45500"/>
    <n v="42315"/>
    <s v="Low"/>
  </r>
  <r>
    <x v="1024"/>
    <s v="PKG-004"/>
    <x v="3"/>
    <x v="0"/>
    <x v="2"/>
    <x v="2"/>
    <x v="1"/>
    <x v="492"/>
    <n v="276"/>
    <n v="1200"/>
    <n v="0.15"/>
    <x v="0"/>
    <n v="331200"/>
    <n v="281520"/>
    <s v="Medium"/>
  </r>
  <r>
    <x v="1025"/>
    <s v="PKG-010"/>
    <x v="9"/>
    <x v="2"/>
    <x v="0"/>
    <x v="3"/>
    <x v="3"/>
    <x v="493"/>
    <n v="234"/>
    <n v="750"/>
    <n v="0.08"/>
    <x v="0"/>
    <n v="175500"/>
    <n v="161460"/>
    <s v="Medium"/>
  </r>
  <r>
    <x v="1026"/>
    <s v="PKG-008"/>
    <x v="7"/>
    <x v="3"/>
    <x v="0"/>
    <x v="3"/>
    <x v="2"/>
    <x v="493"/>
    <n v="316"/>
    <n v="2800"/>
    <n v="7.0000000000000007E-2"/>
    <x v="1"/>
    <n v="884800"/>
    <n v="822864"/>
    <s v="High"/>
  </r>
  <r>
    <x v="1027"/>
    <s v="PKG-005"/>
    <x v="4"/>
    <x v="0"/>
    <x v="3"/>
    <x v="2"/>
    <x v="2"/>
    <x v="493"/>
    <n v="301"/>
    <n v="200"/>
    <n v="0.05"/>
    <x v="0"/>
    <n v="60200"/>
    <n v="57190"/>
    <s v="Low"/>
  </r>
  <r>
    <x v="1028"/>
    <s v="PKG-004"/>
    <x v="3"/>
    <x v="0"/>
    <x v="2"/>
    <x v="0"/>
    <x v="0"/>
    <x v="494"/>
    <n v="90"/>
    <n v="1200"/>
    <n v="0.03"/>
    <x v="1"/>
    <n v="108000"/>
    <n v="104760"/>
    <s v="Medium"/>
  </r>
  <r>
    <x v="1029"/>
    <s v="PKG-011"/>
    <x v="12"/>
    <x v="1"/>
    <x v="3"/>
    <x v="3"/>
    <x v="3"/>
    <x v="495"/>
    <n v="285"/>
    <n v="680"/>
    <n v="0.05"/>
    <x v="0"/>
    <n v="193800"/>
    <n v="184110"/>
    <s v="Medium"/>
  </r>
  <r>
    <x v="1030"/>
    <s v="PKG-006"/>
    <x v="5"/>
    <x v="2"/>
    <x v="1"/>
    <x v="1"/>
    <x v="5"/>
    <x v="496"/>
    <n v="30"/>
    <n v="895"/>
    <n v="0.12"/>
    <x v="0"/>
    <n v="26850"/>
    <n v="23628"/>
    <s v="Low"/>
  </r>
  <r>
    <x v="1031"/>
    <s v="PKG-013"/>
    <x v="10"/>
    <x v="2"/>
    <x v="3"/>
    <x v="1"/>
    <x v="1"/>
    <x v="497"/>
    <n v="337"/>
    <n v="820"/>
    <n v="0.11"/>
    <x v="1"/>
    <n v="276340"/>
    <n v="245942.6"/>
    <s v="Medium"/>
  </r>
  <r>
    <x v="1032"/>
    <s v="PKG-007"/>
    <x v="6"/>
    <x v="0"/>
    <x v="4"/>
    <x v="4"/>
    <x v="4"/>
    <x v="497"/>
    <n v="203"/>
    <n v="650"/>
    <n v="0.13"/>
    <x v="1"/>
    <n v="131950"/>
    <n v="114796.5"/>
    <s v="Medium"/>
  </r>
  <r>
    <x v="1033"/>
    <s v="PKG-001"/>
    <x v="0"/>
    <x v="0"/>
    <x v="0"/>
    <x v="0"/>
    <x v="5"/>
    <x v="498"/>
    <n v="193"/>
    <n v="990"/>
    <n v="0.12"/>
    <x v="0"/>
    <n v="191070"/>
    <n v="168141.6"/>
    <s v="Medium"/>
  </r>
  <r>
    <x v="1034"/>
    <s v="PKG-007"/>
    <x v="6"/>
    <x v="0"/>
    <x v="3"/>
    <x v="3"/>
    <x v="1"/>
    <x v="498"/>
    <n v="357"/>
    <n v="650"/>
    <n v="0.03"/>
    <x v="1"/>
    <n v="232050"/>
    <n v="225088.5"/>
    <s v="Medium"/>
  </r>
  <r>
    <x v="1035"/>
    <s v="PKG-010"/>
    <x v="9"/>
    <x v="2"/>
    <x v="4"/>
    <x v="0"/>
    <x v="5"/>
    <x v="499"/>
    <n v="86"/>
    <n v="750"/>
    <n v="0.13"/>
    <x v="0"/>
    <n v="64500"/>
    <n v="56115"/>
    <s v="Low"/>
  </r>
  <r>
    <x v="1036"/>
    <s v="PKG-013"/>
    <x v="10"/>
    <x v="2"/>
    <x v="1"/>
    <x v="4"/>
    <x v="3"/>
    <x v="500"/>
    <n v="168"/>
    <n v="820"/>
    <n v="0.05"/>
    <x v="0"/>
    <n v="137760"/>
    <n v="130872"/>
    <s v="Medium"/>
  </r>
  <r>
    <x v="1037"/>
    <s v="PKG-011"/>
    <x v="12"/>
    <x v="1"/>
    <x v="0"/>
    <x v="0"/>
    <x v="2"/>
    <x v="500"/>
    <n v="449"/>
    <n v="680"/>
    <n v="0.14000000000000001"/>
    <x v="0"/>
    <n v="305320"/>
    <n v="262575.2"/>
    <s v="Medium"/>
  </r>
  <r>
    <x v="1038"/>
    <s v="PKG-002"/>
    <x v="1"/>
    <x v="1"/>
    <x v="3"/>
    <x v="3"/>
    <x v="4"/>
    <x v="501"/>
    <n v="304"/>
    <n v="350"/>
    <n v="0.12"/>
    <x v="1"/>
    <n v="106400"/>
    <n v="93632"/>
    <s v="Low"/>
  </r>
  <r>
    <x v="1039"/>
    <s v="PKG-005"/>
    <x v="4"/>
    <x v="0"/>
    <x v="0"/>
    <x v="1"/>
    <x v="4"/>
    <x v="501"/>
    <n v="345"/>
    <n v="200"/>
    <n v="0.12"/>
    <x v="0"/>
    <n v="69000"/>
    <n v="60720"/>
    <s v="Low"/>
  </r>
  <r>
    <x v="1040"/>
    <s v="PKG-013"/>
    <x v="10"/>
    <x v="2"/>
    <x v="4"/>
    <x v="0"/>
    <x v="3"/>
    <x v="502"/>
    <n v="269"/>
    <n v="820"/>
    <n v="0.1"/>
    <x v="1"/>
    <n v="220580"/>
    <n v="198522"/>
    <s v="Medium"/>
  </r>
  <r>
    <x v="1041"/>
    <s v="PKG-001"/>
    <x v="0"/>
    <x v="0"/>
    <x v="4"/>
    <x v="1"/>
    <x v="3"/>
    <x v="503"/>
    <n v="328"/>
    <n v="990"/>
    <n v="0.13"/>
    <x v="1"/>
    <n v="324720"/>
    <n v="282506.40000000002"/>
    <s v="Medium"/>
  </r>
  <r>
    <x v="1042"/>
    <s v="PKG-004"/>
    <x v="3"/>
    <x v="0"/>
    <x v="3"/>
    <x v="4"/>
    <x v="4"/>
    <x v="503"/>
    <n v="178"/>
    <n v="1200"/>
    <n v="0.03"/>
    <x v="1"/>
    <n v="213600"/>
    <n v="207192"/>
    <s v="Medium"/>
  </r>
  <r>
    <x v="1043"/>
    <s v="PKG-002"/>
    <x v="1"/>
    <x v="1"/>
    <x v="0"/>
    <x v="1"/>
    <x v="0"/>
    <x v="503"/>
    <n v="225"/>
    <n v="350"/>
    <n v="0.12"/>
    <x v="0"/>
    <n v="78750"/>
    <n v="69300"/>
    <s v="Low"/>
  </r>
  <r>
    <x v="1044"/>
    <s v="PKG-002"/>
    <x v="1"/>
    <x v="1"/>
    <x v="4"/>
    <x v="4"/>
    <x v="1"/>
    <x v="504"/>
    <n v="326"/>
    <n v="350"/>
    <n v="0.15"/>
    <x v="1"/>
    <n v="114100"/>
    <n v="96985"/>
    <s v="Low"/>
  </r>
  <r>
    <x v="1045"/>
    <s v="PKG-004"/>
    <x v="3"/>
    <x v="0"/>
    <x v="1"/>
    <x v="1"/>
    <x v="4"/>
    <x v="504"/>
    <n v="176"/>
    <n v="1200"/>
    <n v="0.13"/>
    <x v="0"/>
    <n v="211200"/>
    <n v="183744"/>
    <s v="Medium"/>
  </r>
  <r>
    <x v="1046"/>
    <s v="PKG-003"/>
    <x v="2"/>
    <x v="1"/>
    <x v="4"/>
    <x v="1"/>
    <x v="3"/>
    <x v="505"/>
    <n v="408"/>
    <n v="420"/>
    <n v="0.05"/>
    <x v="1"/>
    <n v="171360"/>
    <n v="162792"/>
    <s v="Medium"/>
  </r>
  <r>
    <x v="1047"/>
    <s v="PKG-013"/>
    <x v="10"/>
    <x v="2"/>
    <x v="0"/>
    <x v="2"/>
    <x v="5"/>
    <x v="506"/>
    <n v="181"/>
    <n v="820"/>
    <n v="0"/>
    <x v="0"/>
    <n v="148420"/>
    <n v="148420"/>
    <s v="Medium"/>
  </r>
  <r>
    <x v="1048"/>
    <s v="PKG-001"/>
    <x v="0"/>
    <x v="0"/>
    <x v="0"/>
    <x v="3"/>
    <x v="1"/>
    <x v="506"/>
    <n v="49"/>
    <n v="990"/>
    <n v="0.15"/>
    <x v="0"/>
    <n v="48510"/>
    <n v="41233.5"/>
    <s v="Low"/>
  </r>
  <r>
    <x v="1049"/>
    <s v="PKG-011"/>
    <x v="12"/>
    <x v="1"/>
    <x v="0"/>
    <x v="1"/>
    <x v="5"/>
    <x v="507"/>
    <n v="198"/>
    <n v="680"/>
    <n v="0.14000000000000001"/>
    <x v="1"/>
    <n v="134640"/>
    <n v="115790.39999999999"/>
    <s v="Medium"/>
  </r>
  <r>
    <x v="1050"/>
    <s v="PKG-001"/>
    <x v="0"/>
    <x v="0"/>
    <x v="2"/>
    <x v="0"/>
    <x v="2"/>
    <x v="507"/>
    <n v="97"/>
    <n v="990"/>
    <n v="0"/>
    <x v="0"/>
    <n v="96030"/>
    <n v="96030"/>
    <s v="Low"/>
  </r>
  <r>
    <x v="1051"/>
    <s v="PKG-008"/>
    <x v="7"/>
    <x v="3"/>
    <x v="4"/>
    <x v="4"/>
    <x v="2"/>
    <x v="507"/>
    <n v="103"/>
    <n v="2800"/>
    <n v="0"/>
    <x v="0"/>
    <n v="288400"/>
    <n v="288400"/>
    <s v="Medium"/>
  </r>
  <r>
    <x v="1052"/>
    <s v="PKG-006"/>
    <x v="5"/>
    <x v="2"/>
    <x v="2"/>
    <x v="0"/>
    <x v="4"/>
    <x v="508"/>
    <n v="298"/>
    <n v="895"/>
    <n v="0.03"/>
    <x v="0"/>
    <n v="266710"/>
    <n v="258708.7"/>
    <s v="Medium"/>
  </r>
  <r>
    <x v="1053"/>
    <s v="PKG-007"/>
    <x v="6"/>
    <x v="0"/>
    <x v="1"/>
    <x v="4"/>
    <x v="5"/>
    <x v="508"/>
    <n v="242"/>
    <n v="650"/>
    <n v="0.08"/>
    <x v="0"/>
    <n v="157300"/>
    <n v="144716"/>
    <s v="Medium"/>
  </r>
  <r>
    <x v="1054"/>
    <s v="PKG-009"/>
    <x v="8"/>
    <x v="1"/>
    <x v="3"/>
    <x v="4"/>
    <x v="5"/>
    <x v="508"/>
    <n v="449"/>
    <n v="280"/>
    <n v="0.03"/>
    <x v="0"/>
    <n v="125720"/>
    <n v="121948.4"/>
    <s v="Medium"/>
  </r>
  <r>
    <x v="1055"/>
    <s v="PKG-005"/>
    <x v="4"/>
    <x v="0"/>
    <x v="4"/>
    <x v="0"/>
    <x v="0"/>
    <x v="509"/>
    <n v="109"/>
    <n v="200"/>
    <n v="0.08"/>
    <x v="0"/>
    <n v="21800"/>
    <n v="20056"/>
    <s v="Low"/>
  </r>
  <r>
    <x v="1056"/>
    <s v="PKG-009"/>
    <x v="8"/>
    <x v="1"/>
    <x v="3"/>
    <x v="4"/>
    <x v="3"/>
    <x v="510"/>
    <n v="85"/>
    <n v="280"/>
    <n v="7.0000000000000007E-2"/>
    <x v="0"/>
    <n v="23800"/>
    <n v="22134"/>
    <s v="Low"/>
  </r>
  <r>
    <x v="1057"/>
    <s v="PKG-012"/>
    <x v="11"/>
    <x v="0"/>
    <x v="3"/>
    <x v="4"/>
    <x v="2"/>
    <x v="511"/>
    <n v="211"/>
    <n v="450"/>
    <n v="0.08"/>
    <x v="0"/>
    <n v="94950"/>
    <n v="87354"/>
    <s v="Low"/>
  </r>
  <r>
    <x v="1058"/>
    <s v="PKG-008"/>
    <x v="7"/>
    <x v="3"/>
    <x v="3"/>
    <x v="0"/>
    <x v="0"/>
    <x v="511"/>
    <n v="324"/>
    <n v="2800"/>
    <n v="0"/>
    <x v="1"/>
    <n v="907200"/>
    <n v="907200"/>
    <s v="High"/>
  </r>
  <r>
    <x v="1059"/>
    <s v="PKG-006"/>
    <x v="5"/>
    <x v="2"/>
    <x v="2"/>
    <x v="4"/>
    <x v="2"/>
    <x v="512"/>
    <n v="381"/>
    <n v="895"/>
    <n v="0"/>
    <x v="1"/>
    <n v="340995"/>
    <n v="340995"/>
    <s v="Medium"/>
  </r>
  <r>
    <x v="1060"/>
    <s v="PKG-009"/>
    <x v="8"/>
    <x v="1"/>
    <x v="1"/>
    <x v="0"/>
    <x v="4"/>
    <x v="512"/>
    <n v="336"/>
    <n v="280"/>
    <n v="0.15"/>
    <x v="0"/>
    <n v="94080"/>
    <n v="79968"/>
    <s v="Low"/>
  </r>
  <r>
    <x v="1061"/>
    <s v="PKG-012"/>
    <x v="11"/>
    <x v="0"/>
    <x v="2"/>
    <x v="3"/>
    <x v="2"/>
    <x v="512"/>
    <n v="276"/>
    <n v="450"/>
    <n v="0.14000000000000001"/>
    <x v="1"/>
    <n v="124200"/>
    <n v="106812"/>
    <s v="Medium"/>
  </r>
  <r>
    <x v="1062"/>
    <s v="PKG-005"/>
    <x v="4"/>
    <x v="0"/>
    <x v="2"/>
    <x v="2"/>
    <x v="3"/>
    <x v="513"/>
    <n v="490"/>
    <n v="200"/>
    <n v="0.03"/>
    <x v="0"/>
    <n v="98000"/>
    <n v="95060"/>
    <s v="Low"/>
  </r>
  <r>
    <x v="1063"/>
    <s v="PKG-008"/>
    <x v="7"/>
    <x v="3"/>
    <x v="1"/>
    <x v="4"/>
    <x v="3"/>
    <x v="513"/>
    <n v="64"/>
    <n v="2800"/>
    <n v="0"/>
    <x v="0"/>
    <n v="179200"/>
    <n v="179200"/>
    <s v="Medium"/>
  </r>
  <r>
    <x v="1064"/>
    <s v="PKG-005"/>
    <x v="4"/>
    <x v="0"/>
    <x v="2"/>
    <x v="1"/>
    <x v="5"/>
    <x v="514"/>
    <n v="232"/>
    <n v="200"/>
    <n v="0.14000000000000001"/>
    <x v="0"/>
    <n v="46400"/>
    <n v="39904"/>
    <s v="Low"/>
  </r>
  <r>
    <x v="1065"/>
    <s v="PKG-007"/>
    <x v="6"/>
    <x v="0"/>
    <x v="0"/>
    <x v="1"/>
    <x v="3"/>
    <x v="515"/>
    <n v="68"/>
    <n v="650"/>
    <n v="0"/>
    <x v="1"/>
    <n v="44200"/>
    <n v="44200"/>
    <s v="Low"/>
  </r>
  <r>
    <x v="1066"/>
    <s v="PKG-008"/>
    <x v="7"/>
    <x v="3"/>
    <x v="3"/>
    <x v="3"/>
    <x v="4"/>
    <x v="515"/>
    <n v="373"/>
    <n v="2800"/>
    <n v="0.08"/>
    <x v="0"/>
    <n v="1044400"/>
    <n v="960848"/>
    <s v="High"/>
  </r>
  <r>
    <x v="1067"/>
    <s v="PKG-004"/>
    <x v="3"/>
    <x v="0"/>
    <x v="2"/>
    <x v="3"/>
    <x v="0"/>
    <x v="515"/>
    <n v="232"/>
    <n v="1200"/>
    <n v="0.15"/>
    <x v="0"/>
    <n v="278400"/>
    <n v="236640"/>
    <s v="Medium"/>
  </r>
  <r>
    <x v="1068"/>
    <s v="PKG-011"/>
    <x v="12"/>
    <x v="1"/>
    <x v="3"/>
    <x v="0"/>
    <x v="5"/>
    <x v="516"/>
    <n v="119"/>
    <n v="680"/>
    <n v="0.11"/>
    <x v="0"/>
    <n v="80920"/>
    <n v="72018.8"/>
    <s v="Low"/>
  </r>
  <r>
    <x v="1069"/>
    <s v="PKG-007"/>
    <x v="6"/>
    <x v="0"/>
    <x v="2"/>
    <x v="4"/>
    <x v="1"/>
    <x v="516"/>
    <n v="78"/>
    <n v="650"/>
    <n v="0.03"/>
    <x v="0"/>
    <n v="50700"/>
    <n v="49179"/>
    <s v="Low"/>
  </r>
  <r>
    <x v="1070"/>
    <s v="PKG-007"/>
    <x v="6"/>
    <x v="0"/>
    <x v="1"/>
    <x v="0"/>
    <x v="2"/>
    <x v="517"/>
    <n v="429"/>
    <n v="650"/>
    <n v="0.03"/>
    <x v="0"/>
    <n v="278850"/>
    <n v="270484.5"/>
    <s v="Medium"/>
  </r>
  <r>
    <x v="1071"/>
    <s v="PKG-002"/>
    <x v="1"/>
    <x v="1"/>
    <x v="3"/>
    <x v="2"/>
    <x v="5"/>
    <x v="517"/>
    <n v="180"/>
    <n v="350"/>
    <n v="0.12"/>
    <x v="0"/>
    <n v="63000"/>
    <n v="55440"/>
    <s v="Low"/>
  </r>
  <r>
    <x v="1072"/>
    <s v="PKG-004"/>
    <x v="3"/>
    <x v="0"/>
    <x v="0"/>
    <x v="3"/>
    <x v="5"/>
    <x v="517"/>
    <n v="291"/>
    <n v="1200"/>
    <n v="0.13"/>
    <x v="0"/>
    <n v="349200"/>
    <n v="303804"/>
    <s v="Medium"/>
  </r>
  <r>
    <x v="1073"/>
    <s v="PKG-001"/>
    <x v="0"/>
    <x v="0"/>
    <x v="2"/>
    <x v="3"/>
    <x v="4"/>
    <x v="518"/>
    <n v="131"/>
    <n v="990"/>
    <n v="0.03"/>
    <x v="1"/>
    <n v="129690"/>
    <n v="125799.3"/>
    <s v="Medium"/>
  </r>
  <r>
    <x v="1074"/>
    <s v="PKG-001"/>
    <x v="0"/>
    <x v="0"/>
    <x v="4"/>
    <x v="3"/>
    <x v="5"/>
    <x v="518"/>
    <n v="69"/>
    <n v="990"/>
    <n v="0"/>
    <x v="0"/>
    <n v="68310"/>
    <n v="68310"/>
    <s v="Low"/>
  </r>
  <r>
    <x v="1075"/>
    <s v="PKG-004"/>
    <x v="3"/>
    <x v="0"/>
    <x v="4"/>
    <x v="0"/>
    <x v="4"/>
    <x v="519"/>
    <n v="359"/>
    <n v="1200"/>
    <n v="0.12"/>
    <x v="0"/>
    <n v="430800"/>
    <n v="379104"/>
    <s v="High"/>
  </r>
  <r>
    <x v="1076"/>
    <s v="PKG-008"/>
    <x v="7"/>
    <x v="3"/>
    <x v="0"/>
    <x v="2"/>
    <x v="2"/>
    <x v="519"/>
    <n v="224"/>
    <n v="2800"/>
    <n v="0"/>
    <x v="0"/>
    <n v="627200"/>
    <n v="627200"/>
    <s v="High"/>
  </r>
  <r>
    <x v="1077"/>
    <s v="PKG-010"/>
    <x v="9"/>
    <x v="2"/>
    <x v="3"/>
    <x v="3"/>
    <x v="2"/>
    <x v="519"/>
    <n v="177"/>
    <n v="750"/>
    <n v="0.15"/>
    <x v="0"/>
    <n v="132750"/>
    <n v="112837.5"/>
    <s v="Medium"/>
  </r>
  <r>
    <x v="1078"/>
    <s v="PKG-002"/>
    <x v="1"/>
    <x v="1"/>
    <x v="4"/>
    <x v="2"/>
    <x v="4"/>
    <x v="520"/>
    <n v="256"/>
    <n v="350"/>
    <n v="0.05"/>
    <x v="1"/>
    <n v="89600"/>
    <n v="85120"/>
    <s v="Low"/>
  </r>
  <r>
    <x v="1079"/>
    <s v="PKG-002"/>
    <x v="1"/>
    <x v="1"/>
    <x v="4"/>
    <x v="1"/>
    <x v="5"/>
    <x v="521"/>
    <n v="131"/>
    <n v="350"/>
    <n v="0.1"/>
    <x v="0"/>
    <n v="45850"/>
    <n v="41265"/>
    <s v="Low"/>
  </r>
  <r>
    <x v="1080"/>
    <s v="PKG-009"/>
    <x v="8"/>
    <x v="1"/>
    <x v="4"/>
    <x v="2"/>
    <x v="4"/>
    <x v="521"/>
    <n v="143"/>
    <n v="280"/>
    <n v="0"/>
    <x v="0"/>
    <n v="40040"/>
    <n v="40040"/>
    <s v="Low"/>
  </r>
  <r>
    <x v="1081"/>
    <s v="PKG-004"/>
    <x v="3"/>
    <x v="0"/>
    <x v="3"/>
    <x v="4"/>
    <x v="5"/>
    <x v="522"/>
    <n v="277"/>
    <n v="1200"/>
    <n v="7.0000000000000007E-2"/>
    <x v="0"/>
    <n v="332400"/>
    <n v="309132"/>
    <s v="Medium"/>
  </r>
  <r>
    <x v="1082"/>
    <s v="PKG-006"/>
    <x v="5"/>
    <x v="2"/>
    <x v="1"/>
    <x v="3"/>
    <x v="1"/>
    <x v="523"/>
    <n v="282"/>
    <n v="895"/>
    <n v="0.14000000000000001"/>
    <x v="0"/>
    <n v="252390"/>
    <n v="217055.4"/>
    <s v="Medium"/>
  </r>
  <r>
    <x v="1083"/>
    <s v="PKG-008"/>
    <x v="7"/>
    <x v="3"/>
    <x v="2"/>
    <x v="1"/>
    <x v="3"/>
    <x v="524"/>
    <n v="152"/>
    <n v="2800"/>
    <n v="0.13"/>
    <x v="0"/>
    <n v="425600"/>
    <n v="370272"/>
    <s v="High"/>
  </r>
  <r>
    <x v="1084"/>
    <s v="PKG-011"/>
    <x v="12"/>
    <x v="1"/>
    <x v="0"/>
    <x v="1"/>
    <x v="3"/>
    <x v="524"/>
    <n v="374"/>
    <n v="680"/>
    <n v="0.15"/>
    <x v="0"/>
    <n v="254320"/>
    <n v="216172"/>
    <s v="Medium"/>
  </r>
  <r>
    <x v="1085"/>
    <s v="PKG-002"/>
    <x v="1"/>
    <x v="1"/>
    <x v="4"/>
    <x v="1"/>
    <x v="2"/>
    <x v="525"/>
    <n v="254"/>
    <n v="350"/>
    <n v="0"/>
    <x v="0"/>
    <n v="88900"/>
    <n v="88900"/>
    <s v="Low"/>
  </r>
  <r>
    <x v="1086"/>
    <s v="PKG-009"/>
    <x v="8"/>
    <x v="1"/>
    <x v="1"/>
    <x v="0"/>
    <x v="5"/>
    <x v="525"/>
    <n v="266"/>
    <n v="280"/>
    <n v="0"/>
    <x v="1"/>
    <n v="74480"/>
    <n v="74480"/>
    <s v="Low"/>
  </r>
  <r>
    <x v="1087"/>
    <s v="PKG-009"/>
    <x v="8"/>
    <x v="1"/>
    <x v="2"/>
    <x v="2"/>
    <x v="1"/>
    <x v="525"/>
    <n v="396"/>
    <n v="280"/>
    <n v="0.1"/>
    <x v="0"/>
    <n v="110880"/>
    <n v="99792"/>
    <s v="Low"/>
  </r>
  <r>
    <x v="1088"/>
    <s v="PKG-005"/>
    <x v="4"/>
    <x v="0"/>
    <x v="2"/>
    <x v="0"/>
    <x v="4"/>
    <x v="526"/>
    <n v="94"/>
    <n v="200"/>
    <n v="0.03"/>
    <x v="1"/>
    <n v="18800"/>
    <n v="18236"/>
    <s v="Low"/>
  </r>
  <r>
    <x v="1089"/>
    <s v="PKG-004"/>
    <x v="3"/>
    <x v="0"/>
    <x v="2"/>
    <x v="4"/>
    <x v="5"/>
    <x v="527"/>
    <n v="221"/>
    <n v="1200"/>
    <n v="0.05"/>
    <x v="1"/>
    <n v="265200"/>
    <n v="251940"/>
    <s v="Medium"/>
  </r>
  <r>
    <x v="1090"/>
    <s v="PKG-005"/>
    <x v="4"/>
    <x v="0"/>
    <x v="1"/>
    <x v="0"/>
    <x v="1"/>
    <x v="528"/>
    <n v="211"/>
    <n v="200"/>
    <n v="0.05"/>
    <x v="0"/>
    <n v="42200"/>
    <n v="40090"/>
    <s v="Low"/>
  </r>
  <r>
    <x v="1091"/>
    <s v="PKG-005"/>
    <x v="4"/>
    <x v="0"/>
    <x v="4"/>
    <x v="3"/>
    <x v="1"/>
    <x v="528"/>
    <n v="474"/>
    <n v="200"/>
    <n v="0.05"/>
    <x v="0"/>
    <n v="94800"/>
    <n v="90060"/>
    <s v="Low"/>
  </r>
  <r>
    <x v="1092"/>
    <s v="PKG-007"/>
    <x v="6"/>
    <x v="0"/>
    <x v="2"/>
    <x v="2"/>
    <x v="4"/>
    <x v="528"/>
    <n v="239"/>
    <n v="650"/>
    <n v="0.1"/>
    <x v="0"/>
    <n v="155350"/>
    <n v="139815"/>
    <s v="Medium"/>
  </r>
  <r>
    <x v="1093"/>
    <s v="PKG-007"/>
    <x v="6"/>
    <x v="0"/>
    <x v="2"/>
    <x v="2"/>
    <x v="2"/>
    <x v="529"/>
    <n v="92"/>
    <n v="650"/>
    <n v="0.05"/>
    <x v="0"/>
    <n v="59800"/>
    <n v="56810"/>
    <s v="Low"/>
  </r>
  <r>
    <x v="1094"/>
    <s v="PKG-006"/>
    <x v="5"/>
    <x v="2"/>
    <x v="3"/>
    <x v="2"/>
    <x v="4"/>
    <x v="529"/>
    <n v="256"/>
    <n v="895"/>
    <n v="0.03"/>
    <x v="0"/>
    <n v="229120"/>
    <n v="222246.39999999999"/>
    <s v="Medium"/>
  </r>
  <r>
    <x v="1095"/>
    <s v="PKG-004"/>
    <x v="3"/>
    <x v="0"/>
    <x v="3"/>
    <x v="0"/>
    <x v="4"/>
    <x v="529"/>
    <n v="130"/>
    <n v="1200"/>
    <n v="0.03"/>
    <x v="0"/>
    <n v="156000"/>
    <n v="151320"/>
    <s v="Medium"/>
  </r>
  <r>
    <x v="1096"/>
    <s v="PKG-001"/>
    <x v="0"/>
    <x v="0"/>
    <x v="3"/>
    <x v="2"/>
    <x v="0"/>
    <x v="530"/>
    <n v="297"/>
    <n v="990"/>
    <n v="0.08"/>
    <x v="0"/>
    <n v="294030"/>
    <n v="270507.59999999998"/>
    <s v="Medium"/>
  </r>
  <r>
    <x v="1097"/>
    <s v="PKG-002"/>
    <x v="1"/>
    <x v="1"/>
    <x v="0"/>
    <x v="2"/>
    <x v="3"/>
    <x v="530"/>
    <n v="122"/>
    <n v="350"/>
    <n v="0"/>
    <x v="0"/>
    <n v="42700"/>
    <n v="42700"/>
    <s v="Low"/>
  </r>
  <r>
    <x v="1098"/>
    <s v="PKG-002"/>
    <x v="1"/>
    <x v="1"/>
    <x v="0"/>
    <x v="4"/>
    <x v="0"/>
    <x v="530"/>
    <n v="295"/>
    <n v="350"/>
    <n v="0.13"/>
    <x v="1"/>
    <n v="103250"/>
    <n v="89827.5"/>
    <s v="Low"/>
  </r>
  <r>
    <x v="1099"/>
    <s v="PKG-013"/>
    <x v="10"/>
    <x v="2"/>
    <x v="3"/>
    <x v="3"/>
    <x v="2"/>
    <x v="531"/>
    <n v="254"/>
    <n v="820"/>
    <n v="0.14000000000000001"/>
    <x v="0"/>
    <n v="208280"/>
    <n v="179120.8"/>
    <s v="Medium"/>
  </r>
  <r>
    <x v="1100"/>
    <s v="PKG-012"/>
    <x v="11"/>
    <x v="0"/>
    <x v="4"/>
    <x v="3"/>
    <x v="0"/>
    <x v="532"/>
    <n v="265"/>
    <n v="450"/>
    <n v="0.14000000000000001"/>
    <x v="1"/>
    <n v="119250"/>
    <n v="102555"/>
    <s v="Medium"/>
  </r>
  <r>
    <x v="1101"/>
    <s v="PKG-009"/>
    <x v="8"/>
    <x v="1"/>
    <x v="4"/>
    <x v="3"/>
    <x v="4"/>
    <x v="533"/>
    <n v="287"/>
    <n v="280"/>
    <n v="0"/>
    <x v="0"/>
    <n v="80360"/>
    <n v="80360"/>
    <s v="Low"/>
  </r>
  <r>
    <x v="1102"/>
    <s v="PKG-012"/>
    <x v="11"/>
    <x v="0"/>
    <x v="3"/>
    <x v="2"/>
    <x v="0"/>
    <x v="533"/>
    <n v="158"/>
    <n v="450"/>
    <n v="0"/>
    <x v="1"/>
    <n v="71100"/>
    <n v="71100"/>
    <s v="Low"/>
  </r>
  <r>
    <x v="1103"/>
    <s v="PKG-003"/>
    <x v="2"/>
    <x v="1"/>
    <x v="3"/>
    <x v="1"/>
    <x v="4"/>
    <x v="533"/>
    <n v="338"/>
    <n v="420"/>
    <n v="0.12"/>
    <x v="0"/>
    <n v="141960"/>
    <n v="124924.8"/>
    <s v="Medium"/>
  </r>
  <r>
    <x v="1104"/>
    <s v="PKG-011"/>
    <x v="12"/>
    <x v="1"/>
    <x v="0"/>
    <x v="4"/>
    <x v="1"/>
    <x v="534"/>
    <n v="162"/>
    <n v="680"/>
    <n v="0.15"/>
    <x v="0"/>
    <n v="110160"/>
    <n v="93636"/>
    <s v="Low"/>
  </r>
  <r>
    <x v="1105"/>
    <s v="PKG-012"/>
    <x v="11"/>
    <x v="0"/>
    <x v="2"/>
    <x v="1"/>
    <x v="2"/>
    <x v="535"/>
    <n v="141"/>
    <n v="450"/>
    <n v="7.0000000000000007E-2"/>
    <x v="0"/>
    <n v="63450"/>
    <n v="59008.5"/>
    <s v="Low"/>
  </r>
  <r>
    <x v="1106"/>
    <s v="PKG-001"/>
    <x v="0"/>
    <x v="0"/>
    <x v="4"/>
    <x v="4"/>
    <x v="4"/>
    <x v="536"/>
    <n v="199"/>
    <n v="990"/>
    <n v="0.08"/>
    <x v="0"/>
    <n v="197010"/>
    <n v="181249.2"/>
    <s v="Medium"/>
  </r>
  <r>
    <x v="1107"/>
    <s v="PKG-004"/>
    <x v="3"/>
    <x v="0"/>
    <x v="2"/>
    <x v="0"/>
    <x v="4"/>
    <x v="537"/>
    <n v="68"/>
    <n v="1200"/>
    <n v="0.12"/>
    <x v="1"/>
    <n v="81600"/>
    <n v="71808"/>
    <s v="Low"/>
  </r>
  <r>
    <x v="1108"/>
    <s v="PKG-005"/>
    <x v="4"/>
    <x v="0"/>
    <x v="0"/>
    <x v="0"/>
    <x v="1"/>
    <x v="537"/>
    <n v="454"/>
    <n v="200"/>
    <n v="0.15"/>
    <x v="0"/>
    <n v="90800"/>
    <n v="77180"/>
    <s v="Low"/>
  </r>
  <r>
    <x v="1109"/>
    <s v="PKG-013"/>
    <x v="10"/>
    <x v="2"/>
    <x v="1"/>
    <x v="4"/>
    <x v="5"/>
    <x v="538"/>
    <n v="372"/>
    <n v="820"/>
    <n v="0"/>
    <x v="1"/>
    <n v="305040"/>
    <n v="305040"/>
    <s v="Medium"/>
  </r>
  <r>
    <x v="1110"/>
    <s v="PKG-004"/>
    <x v="3"/>
    <x v="0"/>
    <x v="0"/>
    <x v="4"/>
    <x v="2"/>
    <x v="538"/>
    <n v="216"/>
    <n v="1200"/>
    <n v="7.0000000000000007E-2"/>
    <x v="1"/>
    <n v="259200"/>
    <n v="241056"/>
    <s v="Medium"/>
  </r>
  <r>
    <x v="1111"/>
    <s v="PKG-010"/>
    <x v="9"/>
    <x v="2"/>
    <x v="3"/>
    <x v="1"/>
    <x v="2"/>
    <x v="538"/>
    <n v="154"/>
    <n v="750"/>
    <n v="0.03"/>
    <x v="1"/>
    <n v="115500"/>
    <n v="112035"/>
    <s v="Medium"/>
  </r>
  <r>
    <x v="1112"/>
    <s v="PKG-010"/>
    <x v="9"/>
    <x v="2"/>
    <x v="0"/>
    <x v="4"/>
    <x v="2"/>
    <x v="539"/>
    <n v="289"/>
    <n v="750"/>
    <n v="0.14000000000000001"/>
    <x v="1"/>
    <n v="216750"/>
    <n v="186405"/>
    <s v="Medium"/>
  </r>
  <r>
    <x v="1113"/>
    <s v="PKG-009"/>
    <x v="8"/>
    <x v="1"/>
    <x v="2"/>
    <x v="2"/>
    <x v="2"/>
    <x v="540"/>
    <n v="193"/>
    <n v="280"/>
    <n v="0.12"/>
    <x v="0"/>
    <n v="54040"/>
    <n v="47555.199999999997"/>
    <s v="Low"/>
  </r>
  <r>
    <x v="1114"/>
    <s v="PKG-012"/>
    <x v="11"/>
    <x v="0"/>
    <x v="4"/>
    <x v="1"/>
    <x v="3"/>
    <x v="540"/>
    <n v="281"/>
    <n v="450"/>
    <n v="0.1"/>
    <x v="0"/>
    <n v="126450"/>
    <n v="113805"/>
    <s v="Medium"/>
  </r>
  <r>
    <x v="1115"/>
    <s v="PKG-002"/>
    <x v="1"/>
    <x v="1"/>
    <x v="3"/>
    <x v="4"/>
    <x v="5"/>
    <x v="541"/>
    <n v="125"/>
    <n v="350"/>
    <n v="0.11"/>
    <x v="1"/>
    <n v="43750"/>
    <n v="38937.5"/>
    <s v="Low"/>
  </r>
  <r>
    <x v="1116"/>
    <s v="PKG-006"/>
    <x v="5"/>
    <x v="2"/>
    <x v="0"/>
    <x v="4"/>
    <x v="0"/>
    <x v="541"/>
    <n v="142"/>
    <n v="895"/>
    <n v="0.12"/>
    <x v="0"/>
    <n v="127090"/>
    <n v="111839.2"/>
    <s v="Medium"/>
  </r>
  <r>
    <x v="1117"/>
    <s v="PKG-006"/>
    <x v="5"/>
    <x v="2"/>
    <x v="3"/>
    <x v="4"/>
    <x v="3"/>
    <x v="542"/>
    <n v="370"/>
    <n v="895"/>
    <n v="0.13"/>
    <x v="0"/>
    <n v="331150"/>
    <n v="288100.5"/>
    <s v="Medium"/>
  </r>
  <r>
    <x v="1118"/>
    <s v="PKG-001"/>
    <x v="0"/>
    <x v="0"/>
    <x v="4"/>
    <x v="3"/>
    <x v="3"/>
    <x v="543"/>
    <n v="108"/>
    <n v="990"/>
    <n v="0"/>
    <x v="0"/>
    <n v="106920"/>
    <n v="106920"/>
    <s v="Medium"/>
  </r>
  <r>
    <x v="1119"/>
    <s v="PKG-013"/>
    <x v="10"/>
    <x v="2"/>
    <x v="1"/>
    <x v="2"/>
    <x v="2"/>
    <x v="543"/>
    <n v="164"/>
    <n v="820"/>
    <n v="0.13"/>
    <x v="1"/>
    <n v="134480"/>
    <n v="116997.6"/>
    <s v="Medium"/>
  </r>
  <r>
    <x v="1120"/>
    <s v="PKG-001"/>
    <x v="0"/>
    <x v="0"/>
    <x v="1"/>
    <x v="4"/>
    <x v="3"/>
    <x v="543"/>
    <n v="161"/>
    <n v="990"/>
    <n v="0.11"/>
    <x v="0"/>
    <n v="159390"/>
    <n v="141857.1"/>
    <s v="Medium"/>
  </r>
  <r>
    <x v="1121"/>
    <s v="PKG-004"/>
    <x v="3"/>
    <x v="0"/>
    <x v="1"/>
    <x v="4"/>
    <x v="5"/>
    <x v="544"/>
    <n v="224"/>
    <n v="1200"/>
    <n v="0.15"/>
    <x v="1"/>
    <n v="268800"/>
    <n v="228480"/>
    <s v="Medium"/>
  </r>
  <r>
    <x v="1122"/>
    <s v="PKG-012"/>
    <x v="11"/>
    <x v="0"/>
    <x v="3"/>
    <x v="2"/>
    <x v="0"/>
    <x v="544"/>
    <n v="213"/>
    <n v="450"/>
    <n v="0.13"/>
    <x v="0"/>
    <n v="95850"/>
    <n v="83389.5"/>
    <s v="Low"/>
  </r>
  <r>
    <x v="1123"/>
    <s v="PKG-013"/>
    <x v="10"/>
    <x v="2"/>
    <x v="2"/>
    <x v="1"/>
    <x v="1"/>
    <x v="544"/>
    <n v="358"/>
    <n v="820"/>
    <n v="0.12"/>
    <x v="0"/>
    <n v="293560"/>
    <n v="258332.79999999999"/>
    <s v="Medium"/>
  </r>
  <r>
    <x v="1124"/>
    <s v="PKG-003"/>
    <x v="2"/>
    <x v="1"/>
    <x v="0"/>
    <x v="2"/>
    <x v="3"/>
    <x v="545"/>
    <n v="181"/>
    <n v="420"/>
    <n v="7.0000000000000007E-2"/>
    <x v="0"/>
    <n v="76020"/>
    <n v="70698.600000000006"/>
    <s v="Low"/>
  </r>
  <r>
    <x v="1125"/>
    <s v="PKG-003"/>
    <x v="2"/>
    <x v="1"/>
    <x v="2"/>
    <x v="3"/>
    <x v="4"/>
    <x v="546"/>
    <n v="53"/>
    <n v="420"/>
    <n v="0"/>
    <x v="0"/>
    <n v="22260"/>
    <n v="22260"/>
    <s v="Low"/>
  </r>
  <r>
    <x v="1126"/>
    <s v="PKG-012"/>
    <x v="11"/>
    <x v="0"/>
    <x v="3"/>
    <x v="0"/>
    <x v="1"/>
    <x v="547"/>
    <n v="163"/>
    <n v="450"/>
    <n v="0.03"/>
    <x v="1"/>
    <n v="73350"/>
    <n v="71149.5"/>
    <s v="Low"/>
  </r>
  <r>
    <x v="1127"/>
    <s v="PKG-001"/>
    <x v="0"/>
    <x v="0"/>
    <x v="0"/>
    <x v="0"/>
    <x v="0"/>
    <x v="547"/>
    <n v="60"/>
    <n v="990"/>
    <n v="0.11"/>
    <x v="0"/>
    <n v="59400"/>
    <n v="52866"/>
    <s v="Low"/>
  </r>
  <r>
    <x v="1128"/>
    <s v="PKG-005"/>
    <x v="4"/>
    <x v="0"/>
    <x v="2"/>
    <x v="0"/>
    <x v="2"/>
    <x v="548"/>
    <n v="187"/>
    <n v="200"/>
    <n v="0.05"/>
    <x v="1"/>
    <n v="37400"/>
    <n v="35530"/>
    <s v="Low"/>
  </r>
  <r>
    <x v="1129"/>
    <s v="PKG-012"/>
    <x v="11"/>
    <x v="0"/>
    <x v="1"/>
    <x v="2"/>
    <x v="3"/>
    <x v="548"/>
    <n v="446"/>
    <n v="450"/>
    <n v="0.1"/>
    <x v="0"/>
    <n v="200700"/>
    <n v="180630"/>
    <s v="Medium"/>
  </r>
  <r>
    <x v="1130"/>
    <s v="PKG-003"/>
    <x v="2"/>
    <x v="1"/>
    <x v="1"/>
    <x v="1"/>
    <x v="0"/>
    <x v="549"/>
    <n v="237"/>
    <n v="420"/>
    <n v="0.12"/>
    <x v="0"/>
    <n v="99540"/>
    <n v="87595.199999999997"/>
    <s v="Low"/>
  </r>
  <r>
    <x v="1131"/>
    <s v="PKG-007"/>
    <x v="6"/>
    <x v="0"/>
    <x v="4"/>
    <x v="1"/>
    <x v="5"/>
    <x v="549"/>
    <n v="291"/>
    <n v="650"/>
    <n v="0.05"/>
    <x v="1"/>
    <n v="189150"/>
    <n v="179692.5"/>
    <s v="Medium"/>
  </r>
  <r>
    <x v="1132"/>
    <s v="PKG-009"/>
    <x v="8"/>
    <x v="1"/>
    <x v="3"/>
    <x v="2"/>
    <x v="1"/>
    <x v="549"/>
    <n v="100"/>
    <n v="280"/>
    <n v="0.05"/>
    <x v="0"/>
    <n v="28000"/>
    <n v="26600"/>
    <s v="Low"/>
  </r>
  <r>
    <x v="1133"/>
    <s v="PKG-010"/>
    <x v="9"/>
    <x v="2"/>
    <x v="3"/>
    <x v="1"/>
    <x v="2"/>
    <x v="550"/>
    <n v="161"/>
    <n v="750"/>
    <n v="0.08"/>
    <x v="0"/>
    <n v="120750"/>
    <n v="111090"/>
    <s v="Medium"/>
  </r>
  <r>
    <x v="1134"/>
    <s v="PKG-008"/>
    <x v="7"/>
    <x v="3"/>
    <x v="0"/>
    <x v="4"/>
    <x v="0"/>
    <x v="550"/>
    <n v="287"/>
    <n v="2800"/>
    <n v="0.12"/>
    <x v="1"/>
    <n v="803600"/>
    <n v="707168"/>
    <s v="High"/>
  </r>
  <r>
    <x v="1135"/>
    <s v="PKG-001"/>
    <x v="0"/>
    <x v="0"/>
    <x v="4"/>
    <x v="3"/>
    <x v="5"/>
    <x v="551"/>
    <n v="268"/>
    <n v="990"/>
    <n v="0.05"/>
    <x v="0"/>
    <n v="265320"/>
    <n v="252054"/>
    <s v="Medium"/>
  </r>
  <r>
    <x v="1136"/>
    <s v="PKG-011"/>
    <x v="12"/>
    <x v="1"/>
    <x v="0"/>
    <x v="1"/>
    <x v="3"/>
    <x v="552"/>
    <n v="403"/>
    <n v="680"/>
    <n v="0"/>
    <x v="0"/>
    <n v="274040"/>
    <n v="274040"/>
    <s v="Medium"/>
  </r>
  <r>
    <x v="1137"/>
    <s v="PKG-008"/>
    <x v="7"/>
    <x v="3"/>
    <x v="2"/>
    <x v="0"/>
    <x v="0"/>
    <x v="552"/>
    <n v="339"/>
    <n v="2800"/>
    <n v="0.15"/>
    <x v="0"/>
    <n v="949200"/>
    <n v="806820"/>
    <s v="High"/>
  </r>
  <r>
    <x v="1138"/>
    <s v="PKG-010"/>
    <x v="9"/>
    <x v="2"/>
    <x v="3"/>
    <x v="1"/>
    <x v="0"/>
    <x v="553"/>
    <n v="33"/>
    <n v="750"/>
    <n v="7.0000000000000007E-2"/>
    <x v="1"/>
    <n v="24750"/>
    <n v="23017.5"/>
    <s v="Low"/>
  </r>
  <r>
    <x v="1139"/>
    <s v="PKG-011"/>
    <x v="12"/>
    <x v="1"/>
    <x v="0"/>
    <x v="1"/>
    <x v="1"/>
    <x v="553"/>
    <n v="198"/>
    <n v="680"/>
    <n v="0.08"/>
    <x v="0"/>
    <n v="134640"/>
    <n v="123868.8"/>
    <s v="Medium"/>
  </r>
  <r>
    <x v="1140"/>
    <s v="PKG-013"/>
    <x v="10"/>
    <x v="2"/>
    <x v="2"/>
    <x v="2"/>
    <x v="4"/>
    <x v="553"/>
    <n v="177"/>
    <n v="820"/>
    <n v="0.1"/>
    <x v="1"/>
    <n v="145140"/>
    <n v="130626"/>
    <s v="Medium"/>
  </r>
  <r>
    <x v="1141"/>
    <s v="PKG-005"/>
    <x v="4"/>
    <x v="0"/>
    <x v="1"/>
    <x v="1"/>
    <x v="4"/>
    <x v="554"/>
    <n v="89"/>
    <n v="200"/>
    <n v="0.08"/>
    <x v="1"/>
    <n v="17800"/>
    <n v="16376"/>
    <s v="Low"/>
  </r>
  <r>
    <x v="1142"/>
    <s v="PKG-005"/>
    <x v="4"/>
    <x v="0"/>
    <x v="2"/>
    <x v="1"/>
    <x v="3"/>
    <x v="555"/>
    <n v="193"/>
    <n v="200"/>
    <n v="0.05"/>
    <x v="0"/>
    <n v="38600"/>
    <n v="36670"/>
    <s v="Low"/>
  </r>
  <r>
    <x v="1143"/>
    <s v="PKG-003"/>
    <x v="2"/>
    <x v="1"/>
    <x v="0"/>
    <x v="1"/>
    <x v="1"/>
    <x v="555"/>
    <n v="283"/>
    <n v="420"/>
    <n v="0.14000000000000001"/>
    <x v="0"/>
    <n v="118860"/>
    <n v="102219.6"/>
    <s v="Medium"/>
  </r>
  <r>
    <x v="1144"/>
    <s v="PKG-002"/>
    <x v="1"/>
    <x v="1"/>
    <x v="1"/>
    <x v="0"/>
    <x v="1"/>
    <x v="556"/>
    <n v="121"/>
    <n v="350"/>
    <n v="0.13"/>
    <x v="0"/>
    <n v="42350"/>
    <n v="36844.5"/>
    <s v="Low"/>
  </r>
  <r>
    <x v="1145"/>
    <s v="PKG-003"/>
    <x v="2"/>
    <x v="1"/>
    <x v="4"/>
    <x v="3"/>
    <x v="1"/>
    <x v="556"/>
    <n v="231"/>
    <n v="420"/>
    <n v="0.11"/>
    <x v="0"/>
    <n v="97020"/>
    <n v="86347.8"/>
    <s v="Low"/>
  </r>
  <r>
    <x v="1146"/>
    <s v="PKG-006"/>
    <x v="5"/>
    <x v="2"/>
    <x v="0"/>
    <x v="4"/>
    <x v="4"/>
    <x v="557"/>
    <n v="296"/>
    <n v="895"/>
    <n v="0.05"/>
    <x v="0"/>
    <n v="264920"/>
    <n v="251674"/>
    <s v="Medium"/>
  </r>
  <r>
    <x v="1147"/>
    <s v="PKG-010"/>
    <x v="9"/>
    <x v="2"/>
    <x v="2"/>
    <x v="4"/>
    <x v="1"/>
    <x v="557"/>
    <n v="152"/>
    <n v="750"/>
    <n v="0.05"/>
    <x v="1"/>
    <n v="114000"/>
    <n v="108300"/>
    <s v="Medium"/>
  </r>
  <r>
    <x v="1148"/>
    <s v="PKG-013"/>
    <x v="10"/>
    <x v="2"/>
    <x v="4"/>
    <x v="2"/>
    <x v="2"/>
    <x v="558"/>
    <n v="368"/>
    <n v="820"/>
    <n v="0.05"/>
    <x v="0"/>
    <n v="301760"/>
    <n v="286672"/>
    <s v="Medium"/>
  </r>
  <r>
    <x v="1149"/>
    <s v="PKG-012"/>
    <x v="11"/>
    <x v="0"/>
    <x v="3"/>
    <x v="1"/>
    <x v="4"/>
    <x v="559"/>
    <n v="417"/>
    <n v="450"/>
    <n v="0.1"/>
    <x v="0"/>
    <n v="187650"/>
    <n v="168885"/>
    <s v="Medium"/>
  </r>
  <r>
    <x v="1150"/>
    <s v="PKG-003"/>
    <x v="2"/>
    <x v="1"/>
    <x v="1"/>
    <x v="3"/>
    <x v="5"/>
    <x v="560"/>
    <n v="71"/>
    <n v="420"/>
    <n v="0.13"/>
    <x v="1"/>
    <n v="29820"/>
    <n v="25943.4"/>
    <s v="Low"/>
  </r>
  <r>
    <x v="1151"/>
    <s v="PKG-002"/>
    <x v="1"/>
    <x v="1"/>
    <x v="4"/>
    <x v="4"/>
    <x v="1"/>
    <x v="561"/>
    <n v="297"/>
    <n v="350"/>
    <n v="0.13"/>
    <x v="0"/>
    <n v="103950"/>
    <n v="90436.5"/>
    <s v="Low"/>
  </r>
  <r>
    <x v="1152"/>
    <s v="PKG-013"/>
    <x v="10"/>
    <x v="2"/>
    <x v="0"/>
    <x v="4"/>
    <x v="1"/>
    <x v="562"/>
    <n v="181"/>
    <n v="820"/>
    <n v="0"/>
    <x v="0"/>
    <n v="148420"/>
    <n v="148420"/>
    <s v="Medium"/>
  </r>
  <r>
    <x v="1153"/>
    <s v="PKG-006"/>
    <x v="5"/>
    <x v="2"/>
    <x v="4"/>
    <x v="3"/>
    <x v="4"/>
    <x v="562"/>
    <n v="356"/>
    <n v="895"/>
    <n v="0.1"/>
    <x v="0"/>
    <n v="318620"/>
    <n v="286758"/>
    <s v="Medium"/>
  </r>
  <r>
    <x v="1154"/>
    <s v="PKG-012"/>
    <x v="11"/>
    <x v="0"/>
    <x v="2"/>
    <x v="2"/>
    <x v="2"/>
    <x v="562"/>
    <n v="178"/>
    <n v="450"/>
    <n v="0.08"/>
    <x v="0"/>
    <n v="80100"/>
    <n v="73692"/>
    <s v="Low"/>
  </r>
  <r>
    <x v="1155"/>
    <s v="PKG-006"/>
    <x v="5"/>
    <x v="2"/>
    <x v="1"/>
    <x v="2"/>
    <x v="2"/>
    <x v="563"/>
    <n v="93"/>
    <n v="895"/>
    <n v="0"/>
    <x v="1"/>
    <n v="83235"/>
    <n v="83235"/>
    <s v="Low"/>
  </r>
  <r>
    <x v="1156"/>
    <s v="PKG-001"/>
    <x v="0"/>
    <x v="0"/>
    <x v="4"/>
    <x v="2"/>
    <x v="3"/>
    <x v="564"/>
    <n v="110"/>
    <n v="990"/>
    <n v="0.03"/>
    <x v="0"/>
    <n v="108900"/>
    <n v="105633"/>
    <s v="Medium"/>
  </r>
  <r>
    <x v="1157"/>
    <s v="PKG-004"/>
    <x v="3"/>
    <x v="0"/>
    <x v="0"/>
    <x v="2"/>
    <x v="0"/>
    <x v="564"/>
    <n v="139"/>
    <n v="1200"/>
    <n v="0.1"/>
    <x v="1"/>
    <n v="166800"/>
    <n v="150120"/>
    <s v="Medium"/>
  </r>
  <r>
    <x v="1158"/>
    <s v="PKG-013"/>
    <x v="10"/>
    <x v="2"/>
    <x v="2"/>
    <x v="2"/>
    <x v="2"/>
    <x v="565"/>
    <n v="256"/>
    <n v="820"/>
    <n v="7.0000000000000007E-2"/>
    <x v="0"/>
    <n v="209920"/>
    <n v="195225.60000000001"/>
    <s v="Medium"/>
  </r>
  <r>
    <x v="1159"/>
    <s v="PKG-002"/>
    <x v="1"/>
    <x v="1"/>
    <x v="4"/>
    <x v="2"/>
    <x v="5"/>
    <x v="566"/>
    <n v="352"/>
    <n v="350"/>
    <n v="7.0000000000000007E-2"/>
    <x v="0"/>
    <n v="123200"/>
    <n v="114576"/>
    <s v="Medium"/>
  </r>
  <r>
    <x v="1160"/>
    <s v="PKG-012"/>
    <x v="11"/>
    <x v="0"/>
    <x v="4"/>
    <x v="2"/>
    <x v="2"/>
    <x v="567"/>
    <n v="326"/>
    <n v="450"/>
    <n v="0.1"/>
    <x v="1"/>
    <n v="146700"/>
    <n v="132030"/>
    <s v="Medium"/>
  </r>
  <r>
    <x v="1161"/>
    <s v="PKG-005"/>
    <x v="4"/>
    <x v="0"/>
    <x v="2"/>
    <x v="2"/>
    <x v="5"/>
    <x v="567"/>
    <n v="204"/>
    <n v="200"/>
    <n v="0.14000000000000001"/>
    <x v="1"/>
    <n v="40800"/>
    <n v="35088"/>
    <s v="Low"/>
  </r>
  <r>
    <x v="1162"/>
    <s v="PKG-005"/>
    <x v="4"/>
    <x v="0"/>
    <x v="1"/>
    <x v="1"/>
    <x v="4"/>
    <x v="568"/>
    <n v="376"/>
    <n v="200"/>
    <n v="0.05"/>
    <x v="0"/>
    <n v="75200"/>
    <n v="71440"/>
    <s v="Low"/>
  </r>
  <r>
    <x v="1163"/>
    <s v="PKG-009"/>
    <x v="8"/>
    <x v="1"/>
    <x v="0"/>
    <x v="1"/>
    <x v="4"/>
    <x v="569"/>
    <n v="481"/>
    <n v="280"/>
    <n v="0.1"/>
    <x v="0"/>
    <n v="134680"/>
    <n v="121212"/>
    <s v="Medium"/>
  </r>
  <r>
    <x v="1164"/>
    <s v="PKG-002"/>
    <x v="1"/>
    <x v="1"/>
    <x v="1"/>
    <x v="1"/>
    <x v="0"/>
    <x v="569"/>
    <n v="434"/>
    <n v="350"/>
    <n v="0"/>
    <x v="0"/>
    <n v="151900"/>
    <n v="151900"/>
    <s v="Medium"/>
  </r>
  <r>
    <x v="1165"/>
    <s v="PKG-005"/>
    <x v="4"/>
    <x v="0"/>
    <x v="4"/>
    <x v="3"/>
    <x v="4"/>
    <x v="570"/>
    <n v="259"/>
    <n v="200"/>
    <n v="0.15"/>
    <x v="0"/>
    <n v="51800"/>
    <n v="44030"/>
    <s v="Low"/>
  </r>
  <r>
    <x v="1166"/>
    <s v="PKG-002"/>
    <x v="1"/>
    <x v="1"/>
    <x v="1"/>
    <x v="3"/>
    <x v="2"/>
    <x v="570"/>
    <n v="63"/>
    <n v="350"/>
    <n v="0"/>
    <x v="1"/>
    <n v="22050"/>
    <n v="22050"/>
    <s v="Low"/>
  </r>
  <r>
    <x v="1167"/>
    <s v="PKG-003"/>
    <x v="2"/>
    <x v="1"/>
    <x v="3"/>
    <x v="3"/>
    <x v="3"/>
    <x v="570"/>
    <n v="336"/>
    <n v="420"/>
    <n v="0.12"/>
    <x v="1"/>
    <n v="141120"/>
    <n v="124185.60000000001"/>
    <s v="Medium"/>
  </r>
  <r>
    <x v="1168"/>
    <s v="PKG-008"/>
    <x v="7"/>
    <x v="3"/>
    <x v="3"/>
    <x v="3"/>
    <x v="1"/>
    <x v="571"/>
    <n v="196"/>
    <n v="2800"/>
    <n v="0"/>
    <x v="1"/>
    <n v="548800"/>
    <n v="548800"/>
    <s v="High"/>
  </r>
  <r>
    <x v="1169"/>
    <s v="PKG-012"/>
    <x v="11"/>
    <x v="0"/>
    <x v="2"/>
    <x v="2"/>
    <x v="1"/>
    <x v="571"/>
    <n v="314"/>
    <n v="450"/>
    <n v="0.12"/>
    <x v="0"/>
    <n v="141300"/>
    <n v="124344"/>
    <s v="Medium"/>
  </r>
  <r>
    <x v="1170"/>
    <s v="PKG-005"/>
    <x v="4"/>
    <x v="0"/>
    <x v="3"/>
    <x v="1"/>
    <x v="0"/>
    <x v="571"/>
    <n v="218"/>
    <n v="200"/>
    <n v="0.12"/>
    <x v="0"/>
    <n v="43600"/>
    <n v="38368"/>
    <s v="Low"/>
  </r>
  <r>
    <x v="1171"/>
    <s v="PKG-003"/>
    <x v="2"/>
    <x v="1"/>
    <x v="3"/>
    <x v="1"/>
    <x v="4"/>
    <x v="572"/>
    <n v="427"/>
    <n v="420"/>
    <n v="0.11"/>
    <x v="0"/>
    <n v="179340"/>
    <n v="159612.6"/>
    <s v="Medium"/>
  </r>
  <r>
    <x v="1172"/>
    <s v="PKG-013"/>
    <x v="10"/>
    <x v="2"/>
    <x v="1"/>
    <x v="1"/>
    <x v="2"/>
    <x v="572"/>
    <n v="95"/>
    <n v="820"/>
    <n v="0.14000000000000001"/>
    <x v="0"/>
    <n v="77900"/>
    <n v="66994"/>
    <s v="Low"/>
  </r>
  <r>
    <x v="1173"/>
    <s v="PKG-006"/>
    <x v="5"/>
    <x v="2"/>
    <x v="2"/>
    <x v="4"/>
    <x v="1"/>
    <x v="573"/>
    <n v="181"/>
    <n v="895"/>
    <n v="0"/>
    <x v="1"/>
    <n v="161995"/>
    <n v="161995"/>
    <s v="Medium"/>
  </r>
  <r>
    <x v="1174"/>
    <s v="PKG-004"/>
    <x v="3"/>
    <x v="0"/>
    <x v="1"/>
    <x v="4"/>
    <x v="2"/>
    <x v="573"/>
    <n v="131"/>
    <n v="1200"/>
    <n v="0"/>
    <x v="1"/>
    <n v="157200"/>
    <n v="157200"/>
    <s v="Medium"/>
  </r>
  <r>
    <x v="1175"/>
    <s v="PKG-004"/>
    <x v="3"/>
    <x v="0"/>
    <x v="4"/>
    <x v="1"/>
    <x v="2"/>
    <x v="573"/>
    <n v="175"/>
    <n v="1200"/>
    <n v="0.13"/>
    <x v="0"/>
    <n v="210000"/>
    <n v="182700"/>
    <s v="Medium"/>
  </r>
  <r>
    <x v="1176"/>
    <s v="PKG-012"/>
    <x v="11"/>
    <x v="0"/>
    <x v="2"/>
    <x v="2"/>
    <x v="3"/>
    <x v="574"/>
    <n v="260"/>
    <n v="450"/>
    <n v="0.11"/>
    <x v="0"/>
    <n v="117000"/>
    <n v="104130"/>
    <s v="Medium"/>
  </r>
  <r>
    <x v="1177"/>
    <s v="PKG-010"/>
    <x v="9"/>
    <x v="2"/>
    <x v="0"/>
    <x v="3"/>
    <x v="3"/>
    <x v="574"/>
    <n v="138"/>
    <n v="750"/>
    <n v="0.13"/>
    <x v="0"/>
    <n v="103500"/>
    <n v="90045"/>
    <s v="Low"/>
  </r>
  <r>
    <x v="1178"/>
    <s v="PKG-009"/>
    <x v="8"/>
    <x v="1"/>
    <x v="1"/>
    <x v="0"/>
    <x v="3"/>
    <x v="575"/>
    <n v="371"/>
    <n v="280"/>
    <n v="0.14000000000000001"/>
    <x v="0"/>
    <n v="103880"/>
    <n v="89336.8"/>
    <s v="Low"/>
  </r>
  <r>
    <x v="1179"/>
    <s v="PKG-005"/>
    <x v="4"/>
    <x v="0"/>
    <x v="0"/>
    <x v="2"/>
    <x v="2"/>
    <x v="575"/>
    <n v="212"/>
    <n v="200"/>
    <n v="0.03"/>
    <x v="0"/>
    <n v="42400"/>
    <n v="41128"/>
    <s v="Low"/>
  </r>
  <r>
    <x v="1180"/>
    <s v="PKG-003"/>
    <x v="2"/>
    <x v="1"/>
    <x v="3"/>
    <x v="4"/>
    <x v="4"/>
    <x v="575"/>
    <n v="121"/>
    <n v="420"/>
    <n v="0.1"/>
    <x v="1"/>
    <n v="50820"/>
    <n v="45738"/>
    <s v="Low"/>
  </r>
  <r>
    <x v="1181"/>
    <s v="PKG-003"/>
    <x v="2"/>
    <x v="1"/>
    <x v="2"/>
    <x v="4"/>
    <x v="5"/>
    <x v="576"/>
    <n v="115"/>
    <n v="420"/>
    <n v="0.03"/>
    <x v="0"/>
    <n v="48300"/>
    <n v="46851"/>
    <s v="Low"/>
  </r>
  <r>
    <x v="1182"/>
    <s v="PKG-001"/>
    <x v="0"/>
    <x v="0"/>
    <x v="1"/>
    <x v="1"/>
    <x v="2"/>
    <x v="576"/>
    <n v="66"/>
    <n v="990"/>
    <n v="0.13"/>
    <x v="0"/>
    <n v="65340"/>
    <n v="56845.8"/>
    <s v="Low"/>
  </r>
  <r>
    <x v="1183"/>
    <s v="PKG-006"/>
    <x v="5"/>
    <x v="2"/>
    <x v="3"/>
    <x v="0"/>
    <x v="3"/>
    <x v="576"/>
    <n v="262"/>
    <n v="895"/>
    <n v="0.13"/>
    <x v="0"/>
    <n v="234490"/>
    <n v="204006.3"/>
    <s v="Medium"/>
  </r>
  <r>
    <x v="1184"/>
    <s v="PKG-009"/>
    <x v="8"/>
    <x v="1"/>
    <x v="2"/>
    <x v="3"/>
    <x v="0"/>
    <x v="577"/>
    <n v="212"/>
    <n v="280"/>
    <n v="0.03"/>
    <x v="1"/>
    <n v="59360"/>
    <n v="57579.199999999997"/>
    <s v="Low"/>
  </r>
  <r>
    <x v="1185"/>
    <s v="PKG-002"/>
    <x v="1"/>
    <x v="1"/>
    <x v="4"/>
    <x v="3"/>
    <x v="0"/>
    <x v="577"/>
    <n v="239"/>
    <n v="350"/>
    <n v="0.03"/>
    <x v="1"/>
    <n v="83650"/>
    <n v="81140.5"/>
    <s v="Low"/>
  </r>
  <r>
    <x v="1186"/>
    <s v="PKG-011"/>
    <x v="12"/>
    <x v="1"/>
    <x v="4"/>
    <x v="2"/>
    <x v="1"/>
    <x v="577"/>
    <n v="406"/>
    <n v="680"/>
    <n v="0"/>
    <x v="1"/>
    <n v="276080"/>
    <n v="276080"/>
    <s v="Medium"/>
  </r>
  <r>
    <x v="1187"/>
    <s v="PKG-013"/>
    <x v="10"/>
    <x v="2"/>
    <x v="0"/>
    <x v="2"/>
    <x v="2"/>
    <x v="578"/>
    <n v="124"/>
    <n v="820"/>
    <n v="0.11"/>
    <x v="1"/>
    <n v="101680"/>
    <n v="90495.2"/>
    <s v="Low"/>
  </r>
  <r>
    <x v="1188"/>
    <s v="PKG-003"/>
    <x v="2"/>
    <x v="1"/>
    <x v="0"/>
    <x v="2"/>
    <x v="2"/>
    <x v="578"/>
    <n v="443"/>
    <n v="420"/>
    <n v="0"/>
    <x v="1"/>
    <n v="186060"/>
    <n v="186060"/>
    <s v="Medium"/>
  </r>
  <r>
    <x v="1189"/>
    <s v="PKG-002"/>
    <x v="1"/>
    <x v="1"/>
    <x v="3"/>
    <x v="1"/>
    <x v="2"/>
    <x v="578"/>
    <n v="102"/>
    <n v="350"/>
    <n v="7.0000000000000007E-2"/>
    <x v="0"/>
    <n v="35700"/>
    <n v="33201"/>
    <s v="Low"/>
  </r>
  <r>
    <x v="1190"/>
    <s v="PKG-005"/>
    <x v="4"/>
    <x v="0"/>
    <x v="2"/>
    <x v="0"/>
    <x v="1"/>
    <x v="579"/>
    <n v="162"/>
    <n v="200"/>
    <n v="0.14000000000000001"/>
    <x v="0"/>
    <n v="32400"/>
    <n v="27864"/>
    <s v="Low"/>
  </r>
  <r>
    <x v="1191"/>
    <s v="PKG-006"/>
    <x v="5"/>
    <x v="2"/>
    <x v="0"/>
    <x v="0"/>
    <x v="1"/>
    <x v="579"/>
    <n v="130"/>
    <n v="895"/>
    <n v="0"/>
    <x v="1"/>
    <n v="116350"/>
    <n v="116350"/>
    <s v="Medium"/>
  </r>
  <r>
    <x v="1192"/>
    <s v="PKG-013"/>
    <x v="10"/>
    <x v="2"/>
    <x v="4"/>
    <x v="2"/>
    <x v="1"/>
    <x v="580"/>
    <n v="297"/>
    <n v="820"/>
    <n v="0.13"/>
    <x v="1"/>
    <n v="243540"/>
    <n v="211879.8"/>
    <s v="Medium"/>
  </r>
  <r>
    <x v="1193"/>
    <s v="PKG-009"/>
    <x v="8"/>
    <x v="1"/>
    <x v="4"/>
    <x v="4"/>
    <x v="4"/>
    <x v="580"/>
    <n v="331"/>
    <n v="280"/>
    <n v="0.05"/>
    <x v="0"/>
    <n v="92680"/>
    <n v="88046"/>
    <s v="Low"/>
  </r>
  <r>
    <x v="1194"/>
    <s v="PKG-004"/>
    <x v="3"/>
    <x v="0"/>
    <x v="2"/>
    <x v="3"/>
    <x v="0"/>
    <x v="581"/>
    <n v="242"/>
    <n v="1200"/>
    <n v="0.15"/>
    <x v="0"/>
    <n v="290400"/>
    <n v="246840"/>
    <s v="Medium"/>
  </r>
  <r>
    <x v="1195"/>
    <s v="PKG-006"/>
    <x v="5"/>
    <x v="2"/>
    <x v="4"/>
    <x v="0"/>
    <x v="5"/>
    <x v="582"/>
    <n v="34"/>
    <n v="895"/>
    <n v="0.05"/>
    <x v="1"/>
    <n v="30430"/>
    <n v="28908.5"/>
    <s v="Low"/>
  </r>
  <r>
    <x v="1196"/>
    <s v="PKG-007"/>
    <x v="6"/>
    <x v="0"/>
    <x v="2"/>
    <x v="0"/>
    <x v="1"/>
    <x v="582"/>
    <n v="220"/>
    <n v="650"/>
    <n v="0"/>
    <x v="1"/>
    <n v="143000"/>
    <n v="143000"/>
    <s v="Medium"/>
  </r>
  <r>
    <x v="1197"/>
    <s v="PKG-005"/>
    <x v="4"/>
    <x v="0"/>
    <x v="1"/>
    <x v="4"/>
    <x v="2"/>
    <x v="582"/>
    <n v="483"/>
    <n v="200"/>
    <n v="0.14000000000000001"/>
    <x v="0"/>
    <n v="96600"/>
    <n v="83076"/>
    <s v="Low"/>
  </r>
  <r>
    <x v="1198"/>
    <s v="PKG-004"/>
    <x v="3"/>
    <x v="0"/>
    <x v="4"/>
    <x v="0"/>
    <x v="1"/>
    <x v="583"/>
    <n v="353"/>
    <n v="1200"/>
    <n v="0"/>
    <x v="0"/>
    <n v="423600"/>
    <n v="423600"/>
    <s v="High"/>
  </r>
  <r>
    <x v="1199"/>
    <s v="PKG-006"/>
    <x v="5"/>
    <x v="2"/>
    <x v="4"/>
    <x v="3"/>
    <x v="5"/>
    <x v="584"/>
    <n v="381"/>
    <n v="895"/>
    <n v="0"/>
    <x v="0"/>
    <n v="340995"/>
    <n v="340995"/>
    <s v="Medium"/>
  </r>
  <r>
    <x v="1200"/>
    <s v="PKG-013"/>
    <x v="10"/>
    <x v="2"/>
    <x v="1"/>
    <x v="1"/>
    <x v="4"/>
    <x v="584"/>
    <n v="170"/>
    <n v="820"/>
    <n v="0.05"/>
    <x v="0"/>
    <n v="139400"/>
    <n v="132430"/>
    <s v="Medium"/>
  </r>
  <r>
    <x v="1201"/>
    <s v="PKG-003"/>
    <x v="2"/>
    <x v="1"/>
    <x v="0"/>
    <x v="1"/>
    <x v="2"/>
    <x v="584"/>
    <n v="393"/>
    <n v="420"/>
    <n v="0.11"/>
    <x v="0"/>
    <n v="165060"/>
    <n v="146903.4"/>
    <s v="Medium"/>
  </r>
  <r>
    <x v="1202"/>
    <s v="PKG-011"/>
    <x v="12"/>
    <x v="1"/>
    <x v="2"/>
    <x v="0"/>
    <x v="3"/>
    <x v="585"/>
    <n v="403"/>
    <n v="680"/>
    <n v="0.14000000000000001"/>
    <x v="0"/>
    <n v="274040"/>
    <n v="235674.4"/>
    <s v="Medium"/>
  </r>
  <r>
    <x v="1203"/>
    <s v="PKG-008"/>
    <x v="7"/>
    <x v="3"/>
    <x v="2"/>
    <x v="4"/>
    <x v="5"/>
    <x v="585"/>
    <n v="135"/>
    <n v="2800"/>
    <n v="0.14000000000000001"/>
    <x v="1"/>
    <n v="378000"/>
    <n v="325080"/>
    <s v="Medium"/>
  </r>
  <r>
    <x v="1204"/>
    <s v="PKG-006"/>
    <x v="5"/>
    <x v="2"/>
    <x v="4"/>
    <x v="1"/>
    <x v="1"/>
    <x v="586"/>
    <n v="245"/>
    <n v="895"/>
    <n v="0.11"/>
    <x v="0"/>
    <n v="219275"/>
    <n v="195154.75"/>
    <s v="Medium"/>
  </r>
  <r>
    <x v="1205"/>
    <s v="PKG-005"/>
    <x v="4"/>
    <x v="0"/>
    <x v="4"/>
    <x v="3"/>
    <x v="1"/>
    <x v="586"/>
    <n v="167"/>
    <n v="200"/>
    <n v="0"/>
    <x v="1"/>
    <n v="33400"/>
    <n v="33400"/>
    <s v="Low"/>
  </r>
  <r>
    <x v="1206"/>
    <s v="PKG-004"/>
    <x v="3"/>
    <x v="0"/>
    <x v="0"/>
    <x v="2"/>
    <x v="4"/>
    <x v="586"/>
    <n v="241"/>
    <n v="1200"/>
    <n v="0.14000000000000001"/>
    <x v="1"/>
    <n v="289200"/>
    <n v="248712"/>
    <s v="Medium"/>
  </r>
  <r>
    <x v="1207"/>
    <s v="PKG-001"/>
    <x v="0"/>
    <x v="0"/>
    <x v="0"/>
    <x v="3"/>
    <x v="1"/>
    <x v="587"/>
    <n v="210"/>
    <n v="990"/>
    <n v="0.13"/>
    <x v="0"/>
    <n v="207900"/>
    <n v="180873"/>
    <s v="Medium"/>
  </r>
  <r>
    <x v="1208"/>
    <s v="PKG-011"/>
    <x v="12"/>
    <x v="1"/>
    <x v="1"/>
    <x v="1"/>
    <x v="4"/>
    <x v="587"/>
    <n v="271"/>
    <n v="680"/>
    <n v="0.14000000000000001"/>
    <x v="0"/>
    <n v="184280"/>
    <n v="158480.79999999999"/>
    <s v="Medium"/>
  </r>
  <r>
    <x v="1209"/>
    <s v="PKG-011"/>
    <x v="12"/>
    <x v="1"/>
    <x v="2"/>
    <x v="4"/>
    <x v="3"/>
    <x v="587"/>
    <n v="180"/>
    <n v="680"/>
    <n v="0.15"/>
    <x v="1"/>
    <n v="122400"/>
    <n v="104040"/>
    <s v="Medium"/>
  </r>
  <r>
    <x v="1210"/>
    <s v="PKG-012"/>
    <x v="11"/>
    <x v="0"/>
    <x v="4"/>
    <x v="2"/>
    <x v="5"/>
    <x v="588"/>
    <n v="188"/>
    <n v="450"/>
    <n v="0.11"/>
    <x v="1"/>
    <n v="84600"/>
    <n v="75294"/>
    <s v="Low"/>
  </r>
  <r>
    <x v="1211"/>
    <s v="PKG-007"/>
    <x v="6"/>
    <x v="0"/>
    <x v="1"/>
    <x v="2"/>
    <x v="2"/>
    <x v="588"/>
    <n v="447"/>
    <n v="650"/>
    <n v="0.15"/>
    <x v="1"/>
    <n v="290550"/>
    <n v="246967.5"/>
    <s v="Medium"/>
  </r>
  <r>
    <x v="1212"/>
    <s v="PKG-005"/>
    <x v="4"/>
    <x v="0"/>
    <x v="2"/>
    <x v="2"/>
    <x v="4"/>
    <x v="589"/>
    <n v="277"/>
    <n v="200"/>
    <n v="0"/>
    <x v="0"/>
    <n v="55400"/>
    <n v="55400"/>
    <s v="Low"/>
  </r>
  <r>
    <x v="1213"/>
    <s v="PKG-013"/>
    <x v="10"/>
    <x v="2"/>
    <x v="1"/>
    <x v="0"/>
    <x v="2"/>
    <x v="589"/>
    <n v="332"/>
    <n v="820"/>
    <n v="0.05"/>
    <x v="0"/>
    <n v="272240"/>
    <n v="258628"/>
    <s v="Medium"/>
  </r>
  <r>
    <x v="1214"/>
    <s v="PKG-005"/>
    <x v="4"/>
    <x v="0"/>
    <x v="1"/>
    <x v="0"/>
    <x v="3"/>
    <x v="589"/>
    <n v="236"/>
    <n v="200"/>
    <n v="0.1"/>
    <x v="0"/>
    <n v="47200"/>
    <n v="42480"/>
    <s v="Low"/>
  </r>
  <r>
    <x v="1215"/>
    <s v="PKG-011"/>
    <x v="12"/>
    <x v="1"/>
    <x v="3"/>
    <x v="4"/>
    <x v="3"/>
    <x v="590"/>
    <n v="198"/>
    <n v="680"/>
    <n v="0.12"/>
    <x v="0"/>
    <n v="134640"/>
    <n v="118483.2"/>
    <s v="Medium"/>
  </r>
  <r>
    <x v="1216"/>
    <s v="PKG-010"/>
    <x v="9"/>
    <x v="2"/>
    <x v="0"/>
    <x v="2"/>
    <x v="1"/>
    <x v="590"/>
    <n v="235"/>
    <n v="750"/>
    <n v="0.12"/>
    <x v="0"/>
    <n v="176250"/>
    <n v="155100"/>
    <s v="Medium"/>
  </r>
  <r>
    <x v="1217"/>
    <s v="PKG-002"/>
    <x v="1"/>
    <x v="1"/>
    <x v="1"/>
    <x v="1"/>
    <x v="2"/>
    <x v="590"/>
    <n v="244"/>
    <n v="350"/>
    <n v="0.08"/>
    <x v="0"/>
    <n v="85400"/>
    <n v="78568"/>
    <s v="Low"/>
  </r>
  <r>
    <x v="1218"/>
    <s v="PKG-003"/>
    <x v="2"/>
    <x v="1"/>
    <x v="3"/>
    <x v="0"/>
    <x v="3"/>
    <x v="591"/>
    <n v="226"/>
    <n v="420"/>
    <n v="0.11"/>
    <x v="0"/>
    <n v="94920"/>
    <n v="84478.8"/>
    <s v="Low"/>
  </r>
  <r>
    <x v="1219"/>
    <s v="PKG-008"/>
    <x v="7"/>
    <x v="3"/>
    <x v="1"/>
    <x v="2"/>
    <x v="1"/>
    <x v="591"/>
    <n v="159"/>
    <n v="2800"/>
    <n v="7.0000000000000007E-2"/>
    <x v="0"/>
    <n v="445200"/>
    <n v="414036"/>
    <s v="High"/>
  </r>
  <r>
    <x v="1220"/>
    <s v="PKG-012"/>
    <x v="11"/>
    <x v="0"/>
    <x v="4"/>
    <x v="1"/>
    <x v="0"/>
    <x v="591"/>
    <n v="290"/>
    <n v="450"/>
    <n v="0"/>
    <x v="0"/>
    <n v="130500"/>
    <n v="130500"/>
    <s v="Medium"/>
  </r>
  <r>
    <x v="1221"/>
    <s v="PKG-009"/>
    <x v="8"/>
    <x v="1"/>
    <x v="2"/>
    <x v="0"/>
    <x v="1"/>
    <x v="592"/>
    <n v="91"/>
    <n v="280"/>
    <n v="0"/>
    <x v="0"/>
    <n v="25480"/>
    <n v="25480"/>
    <s v="Low"/>
  </r>
  <r>
    <x v="1222"/>
    <s v="PKG-004"/>
    <x v="3"/>
    <x v="0"/>
    <x v="4"/>
    <x v="3"/>
    <x v="2"/>
    <x v="592"/>
    <n v="205"/>
    <n v="1200"/>
    <n v="0.03"/>
    <x v="0"/>
    <n v="246000"/>
    <n v="238620"/>
    <s v="Medium"/>
  </r>
  <r>
    <x v="1223"/>
    <s v="PKG-009"/>
    <x v="8"/>
    <x v="1"/>
    <x v="3"/>
    <x v="1"/>
    <x v="3"/>
    <x v="592"/>
    <n v="103"/>
    <n v="280"/>
    <n v="0.15"/>
    <x v="0"/>
    <n v="28840"/>
    <n v="24514"/>
    <s v="Low"/>
  </r>
  <r>
    <x v="1224"/>
    <s v="PKG-002"/>
    <x v="1"/>
    <x v="1"/>
    <x v="2"/>
    <x v="2"/>
    <x v="3"/>
    <x v="593"/>
    <n v="229"/>
    <n v="350"/>
    <n v="0.12"/>
    <x v="1"/>
    <n v="80150"/>
    <n v="70532"/>
    <s v="Low"/>
  </r>
  <r>
    <x v="1225"/>
    <s v="PKG-002"/>
    <x v="1"/>
    <x v="1"/>
    <x v="1"/>
    <x v="0"/>
    <x v="2"/>
    <x v="593"/>
    <n v="130"/>
    <n v="350"/>
    <n v="0.1"/>
    <x v="0"/>
    <n v="45500"/>
    <n v="40950"/>
    <s v="Low"/>
  </r>
  <r>
    <x v="1226"/>
    <s v="PKG-012"/>
    <x v="11"/>
    <x v="0"/>
    <x v="1"/>
    <x v="1"/>
    <x v="3"/>
    <x v="593"/>
    <n v="89"/>
    <n v="450"/>
    <n v="0.12"/>
    <x v="0"/>
    <n v="40050"/>
    <n v="35244"/>
    <s v="Low"/>
  </r>
  <r>
    <x v="1227"/>
    <s v="PKG-003"/>
    <x v="2"/>
    <x v="1"/>
    <x v="3"/>
    <x v="4"/>
    <x v="2"/>
    <x v="594"/>
    <n v="428"/>
    <n v="420"/>
    <n v="0.15"/>
    <x v="1"/>
    <n v="179760"/>
    <n v="152796"/>
    <s v="Medium"/>
  </r>
  <r>
    <x v="1228"/>
    <s v="PKG-013"/>
    <x v="10"/>
    <x v="2"/>
    <x v="1"/>
    <x v="4"/>
    <x v="5"/>
    <x v="594"/>
    <n v="301"/>
    <n v="820"/>
    <n v="0"/>
    <x v="1"/>
    <n v="246820"/>
    <n v="246820"/>
    <s v="Medium"/>
  </r>
  <r>
    <x v="1229"/>
    <s v="PKG-009"/>
    <x v="8"/>
    <x v="1"/>
    <x v="3"/>
    <x v="1"/>
    <x v="0"/>
    <x v="594"/>
    <n v="133"/>
    <n v="280"/>
    <n v="7.0000000000000007E-2"/>
    <x v="0"/>
    <n v="37240"/>
    <n v="34633.199999999997"/>
    <s v="Low"/>
  </r>
  <r>
    <x v="1230"/>
    <s v="PKG-002"/>
    <x v="1"/>
    <x v="1"/>
    <x v="4"/>
    <x v="2"/>
    <x v="1"/>
    <x v="595"/>
    <n v="196"/>
    <n v="350"/>
    <n v="0.13"/>
    <x v="0"/>
    <n v="68600"/>
    <n v="59682"/>
    <s v="Low"/>
  </r>
  <r>
    <x v="1231"/>
    <s v="PKG-003"/>
    <x v="2"/>
    <x v="1"/>
    <x v="4"/>
    <x v="2"/>
    <x v="0"/>
    <x v="595"/>
    <n v="64"/>
    <n v="420"/>
    <n v="0.12"/>
    <x v="0"/>
    <n v="26880"/>
    <n v="23654.400000000001"/>
    <s v="Low"/>
  </r>
  <r>
    <x v="1232"/>
    <s v="PKG-013"/>
    <x v="10"/>
    <x v="2"/>
    <x v="2"/>
    <x v="1"/>
    <x v="1"/>
    <x v="595"/>
    <n v="361"/>
    <n v="820"/>
    <n v="0.13"/>
    <x v="0"/>
    <n v="296020"/>
    <n v="257537.4"/>
    <s v="Medium"/>
  </r>
  <r>
    <x v="1233"/>
    <s v="PKG-002"/>
    <x v="1"/>
    <x v="1"/>
    <x v="0"/>
    <x v="2"/>
    <x v="3"/>
    <x v="596"/>
    <n v="183"/>
    <n v="350"/>
    <n v="0"/>
    <x v="1"/>
    <n v="64050"/>
    <n v="64050"/>
    <s v="Low"/>
  </r>
  <r>
    <x v="1234"/>
    <s v="PKG-007"/>
    <x v="6"/>
    <x v="0"/>
    <x v="3"/>
    <x v="0"/>
    <x v="1"/>
    <x v="596"/>
    <n v="184"/>
    <n v="650"/>
    <n v="0"/>
    <x v="0"/>
    <n v="119600"/>
    <n v="119600"/>
    <s v="Medium"/>
  </r>
  <r>
    <x v="1235"/>
    <s v="PKG-002"/>
    <x v="1"/>
    <x v="1"/>
    <x v="1"/>
    <x v="2"/>
    <x v="0"/>
    <x v="597"/>
    <n v="365"/>
    <n v="350"/>
    <n v="7.0000000000000007E-2"/>
    <x v="0"/>
    <n v="127750"/>
    <n v="118807.5"/>
    <s v="Medium"/>
  </r>
  <r>
    <x v="1236"/>
    <s v="PKG-008"/>
    <x v="7"/>
    <x v="3"/>
    <x v="4"/>
    <x v="0"/>
    <x v="2"/>
    <x v="598"/>
    <n v="134"/>
    <n v="2800"/>
    <n v="7.0000000000000007E-2"/>
    <x v="1"/>
    <n v="375200"/>
    <n v="348936"/>
    <s v="Medium"/>
  </r>
  <r>
    <x v="1237"/>
    <s v="PKG-002"/>
    <x v="1"/>
    <x v="1"/>
    <x v="1"/>
    <x v="3"/>
    <x v="1"/>
    <x v="598"/>
    <n v="298"/>
    <n v="350"/>
    <n v="0.13"/>
    <x v="0"/>
    <n v="104300"/>
    <n v="90741"/>
    <s v="Low"/>
  </r>
  <r>
    <x v="1238"/>
    <s v="PKG-004"/>
    <x v="3"/>
    <x v="0"/>
    <x v="2"/>
    <x v="3"/>
    <x v="1"/>
    <x v="599"/>
    <n v="171"/>
    <n v="1200"/>
    <n v="7.0000000000000007E-2"/>
    <x v="0"/>
    <n v="205200"/>
    <n v="190836"/>
    <s v="Medium"/>
  </r>
  <r>
    <x v="1239"/>
    <s v="PKG-012"/>
    <x v="11"/>
    <x v="0"/>
    <x v="1"/>
    <x v="1"/>
    <x v="0"/>
    <x v="599"/>
    <n v="62"/>
    <n v="450"/>
    <n v="0"/>
    <x v="0"/>
    <n v="27900"/>
    <n v="27900"/>
    <s v="Low"/>
  </r>
  <r>
    <x v="1240"/>
    <s v="PKG-009"/>
    <x v="8"/>
    <x v="1"/>
    <x v="4"/>
    <x v="0"/>
    <x v="4"/>
    <x v="600"/>
    <n v="82"/>
    <n v="280"/>
    <n v="0.05"/>
    <x v="1"/>
    <n v="22960"/>
    <n v="21812"/>
    <s v="Low"/>
  </r>
  <r>
    <x v="1241"/>
    <s v="PKG-009"/>
    <x v="8"/>
    <x v="1"/>
    <x v="2"/>
    <x v="1"/>
    <x v="4"/>
    <x v="600"/>
    <n v="344"/>
    <n v="280"/>
    <n v="0.14000000000000001"/>
    <x v="1"/>
    <n v="96320"/>
    <n v="82835.199999999997"/>
    <s v="Low"/>
  </r>
  <r>
    <x v="1242"/>
    <s v="PKG-010"/>
    <x v="9"/>
    <x v="2"/>
    <x v="4"/>
    <x v="1"/>
    <x v="2"/>
    <x v="601"/>
    <n v="59"/>
    <n v="750"/>
    <n v="0.05"/>
    <x v="1"/>
    <n v="44250"/>
    <n v="42037.5"/>
    <s v="Low"/>
  </r>
  <r>
    <x v="1243"/>
    <s v="PKG-009"/>
    <x v="8"/>
    <x v="1"/>
    <x v="4"/>
    <x v="4"/>
    <x v="4"/>
    <x v="601"/>
    <n v="395"/>
    <n v="280"/>
    <n v="0"/>
    <x v="0"/>
    <n v="110600"/>
    <n v="110600"/>
    <s v="Medium"/>
  </r>
  <r>
    <x v="1244"/>
    <s v="PKG-010"/>
    <x v="9"/>
    <x v="2"/>
    <x v="4"/>
    <x v="2"/>
    <x v="4"/>
    <x v="602"/>
    <n v="276"/>
    <n v="750"/>
    <n v="0.05"/>
    <x v="0"/>
    <n v="207000"/>
    <n v="196650"/>
    <s v="Medium"/>
  </r>
  <r>
    <x v="1245"/>
    <s v="PKG-006"/>
    <x v="5"/>
    <x v="2"/>
    <x v="2"/>
    <x v="1"/>
    <x v="5"/>
    <x v="602"/>
    <n v="228"/>
    <n v="895"/>
    <n v="7.0000000000000007E-2"/>
    <x v="0"/>
    <n v="204060"/>
    <n v="189775.8"/>
    <s v="Medium"/>
  </r>
  <r>
    <x v="1246"/>
    <s v="PKG-001"/>
    <x v="0"/>
    <x v="0"/>
    <x v="2"/>
    <x v="2"/>
    <x v="1"/>
    <x v="602"/>
    <n v="306"/>
    <n v="990"/>
    <n v="0.13"/>
    <x v="1"/>
    <n v="302940"/>
    <n v="263557.8"/>
    <s v="Medium"/>
  </r>
  <r>
    <x v="1247"/>
    <s v="PKG-009"/>
    <x v="8"/>
    <x v="1"/>
    <x v="4"/>
    <x v="1"/>
    <x v="1"/>
    <x v="603"/>
    <n v="416"/>
    <n v="280"/>
    <n v="0.03"/>
    <x v="1"/>
    <n v="116480"/>
    <n v="112985.60000000001"/>
    <s v="Medium"/>
  </r>
  <r>
    <x v="1248"/>
    <s v="PKG-011"/>
    <x v="12"/>
    <x v="1"/>
    <x v="2"/>
    <x v="2"/>
    <x v="5"/>
    <x v="603"/>
    <n v="167"/>
    <n v="680"/>
    <n v="0"/>
    <x v="0"/>
    <n v="113560"/>
    <n v="113560"/>
    <s v="Medium"/>
  </r>
  <r>
    <x v="1249"/>
    <s v="PKG-011"/>
    <x v="12"/>
    <x v="1"/>
    <x v="0"/>
    <x v="1"/>
    <x v="4"/>
    <x v="603"/>
    <n v="153"/>
    <n v="680"/>
    <n v="0.11"/>
    <x v="0"/>
    <n v="104040"/>
    <n v="92595.6"/>
    <s v="Low"/>
  </r>
  <r>
    <x v="1250"/>
    <s v="PKG-003"/>
    <x v="2"/>
    <x v="1"/>
    <x v="4"/>
    <x v="4"/>
    <x v="2"/>
    <x v="604"/>
    <n v="277"/>
    <n v="420"/>
    <n v="0.08"/>
    <x v="0"/>
    <n v="116340"/>
    <n v="107032.8"/>
    <s v="Medium"/>
  </r>
  <r>
    <x v="1251"/>
    <s v="PKG-004"/>
    <x v="3"/>
    <x v="0"/>
    <x v="2"/>
    <x v="1"/>
    <x v="1"/>
    <x v="605"/>
    <n v="382"/>
    <n v="1200"/>
    <n v="0.13"/>
    <x v="0"/>
    <n v="458400"/>
    <n v="398808"/>
    <s v="High"/>
  </r>
  <r>
    <x v="1252"/>
    <s v="PKG-005"/>
    <x v="4"/>
    <x v="0"/>
    <x v="1"/>
    <x v="1"/>
    <x v="3"/>
    <x v="605"/>
    <n v="454"/>
    <n v="200"/>
    <n v="0.1"/>
    <x v="1"/>
    <n v="90800"/>
    <n v="81720"/>
    <s v="Low"/>
  </r>
  <r>
    <x v="1253"/>
    <s v="PKG-002"/>
    <x v="1"/>
    <x v="1"/>
    <x v="3"/>
    <x v="1"/>
    <x v="2"/>
    <x v="605"/>
    <n v="391"/>
    <n v="350"/>
    <n v="0.15"/>
    <x v="0"/>
    <n v="136850"/>
    <n v="116322.5"/>
    <s v="Medium"/>
  </r>
  <r>
    <x v="1254"/>
    <s v="PKG-006"/>
    <x v="5"/>
    <x v="2"/>
    <x v="3"/>
    <x v="1"/>
    <x v="0"/>
    <x v="606"/>
    <n v="210"/>
    <n v="895"/>
    <n v="0"/>
    <x v="0"/>
    <n v="187950"/>
    <n v="187950"/>
    <s v="Medium"/>
  </r>
  <r>
    <x v="1255"/>
    <s v="PKG-003"/>
    <x v="2"/>
    <x v="1"/>
    <x v="1"/>
    <x v="3"/>
    <x v="0"/>
    <x v="606"/>
    <n v="196"/>
    <n v="420"/>
    <n v="0"/>
    <x v="1"/>
    <n v="82320"/>
    <n v="82320"/>
    <s v="Low"/>
  </r>
  <r>
    <x v="1256"/>
    <s v="PKG-004"/>
    <x v="3"/>
    <x v="0"/>
    <x v="3"/>
    <x v="1"/>
    <x v="5"/>
    <x v="606"/>
    <n v="217"/>
    <n v="1200"/>
    <n v="0.03"/>
    <x v="0"/>
    <n v="260400"/>
    <n v="252588"/>
    <s v="Medium"/>
  </r>
  <r>
    <x v="1257"/>
    <s v="PKG-004"/>
    <x v="3"/>
    <x v="0"/>
    <x v="4"/>
    <x v="4"/>
    <x v="0"/>
    <x v="607"/>
    <n v="191"/>
    <n v="1200"/>
    <n v="0"/>
    <x v="0"/>
    <n v="229200"/>
    <n v="229200"/>
    <s v="Medium"/>
  </r>
  <r>
    <x v="1258"/>
    <s v="PKG-008"/>
    <x v="7"/>
    <x v="3"/>
    <x v="3"/>
    <x v="1"/>
    <x v="2"/>
    <x v="607"/>
    <n v="65"/>
    <n v="2800"/>
    <n v="0.03"/>
    <x v="0"/>
    <n v="182000"/>
    <n v="176540"/>
    <s v="Medium"/>
  </r>
  <r>
    <x v="1259"/>
    <s v="PKG-002"/>
    <x v="1"/>
    <x v="1"/>
    <x v="4"/>
    <x v="4"/>
    <x v="1"/>
    <x v="608"/>
    <n v="420"/>
    <n v="350"/>
    <n v="0.12"/>
    <x v="0"/>
    <n v="147000"/>
    <n v="129360"/>
    <s v="Medium"/>
  </r>
  <r>
    <x v="1260"/>
    <s v="PKG-006"/>
    <x v="5"/>
    <x v="2"/>
    <x v="3"/>
    <x v="2"/>
    <x v="1"/>
    <x v="608"/>
    <n v="389"/>
    <n v="895"/>
    <n v="0.15"/>
    <x v="0"/>
    <n v="348155"/>
    <n v="295931.75"/>
    <s v="Medium"/>
  </r>
  <r>
    <x v="1261"/>
    <s v="PKG-006"/>
    <x v="5"/>
    <x v="2"/>
    <x v="1"/>
    <x v="3"/>
    <x v="5"/>
    <x v="608"/>
    <n v="81"/>
    <n v="895"/>
    <n v="0.1"/>
    <x v="1"/>
    <n v="72495"/>
    <n v="65245.5"/>
    <s v="Low"/>
  </r>
  <r>
    <x v="1262"/>
    <s v="PKG-003"/>
    <x v="2"/>
    <x v="1"/>
    <x v="3"/>
    <x v="1"/>
    <x v="2"/>
    <x v="609"/>
    <n v="266"/>
    <n v="420"/>
    <n v="0"/>
    <x v="1"/>
    <n v="111720"/>
    <n v="111720"/>
    <s v="Medium"/>
  </r>
  <r>
    <x v="1263"/>
    <s v="PKG-010"/>
    <x v="9"/>
    <x v="2"/>
    <x v="4"/>
    <x v="1"/>
    <x v="2"/>
    <x v="610"/>
    <n v="45"/>
    <n v="750"/>
    <n v="0.14000000000000001"/>
    <x v="0"/>
    <n v="33750"/>
    <n v="29025"/>
    <s v="Low"/>
  </r>
  <r>
    <x v="1264"/>
    <s v="PKG-005"/>
    <x v="4"/>
    <x v="0"/>
    <x v="2"/>
    <x v="3"/>
    <x v="1"/>
    <x v="611"/>
    <n v="244"/>
    <n v="200"/>
    <n v="0.1"/>
    <x v="0"/>
    <n v="48800"/>
    <n v="43920"/>
    <s v="Low"/>
  </r>
  <r>
    <x v="1265"/>
    <s v="PKG-002"/>
    <x v="1"/>
    <x v="1"/>
    <x v="1"/>
    <x v="3"/>
    <x v="2"/>
    <x v="611"/>
    <n v="386"/>
    <n v="350"/>
    <n v="0.11"/>
    <x v="0"/>
    <n v="135100"/>
    <n v="120239"/>
    <s v="Medium"/>
  </r>
  <r>
    <x v="1266"/>
    <s v="PKG-006"/>
    <x v="5"/>
    <x v="2"/>
    <x v="2"/>
    <x v="0"/>
    <x v="0"/>
    <x v="611"/>
    <n v="153"/>
    <n v="895"/>
    <n v="0.13"/>
    <x v="1"/>
    <n v="136935"/>
    <n v="119133.45"/>
    <s v="Medium"/>
  </r>
  <r>
    <x v="1267"/>
    <s v="PKG-008"/>
    <x v="7"/>
    <x v="3"/>
    <x v="4"/>
    <x v="4"/>
    <x v="1"/>
    <x v="612"/>
    <n v="174"/>
    <n v="2800"/>
    <n v="0.08"/>
    <x v="0"/>
    <n v="487200"/>
    <n v="448224"/>
    <s v="High"/>
  </r>
  <r>
    <x v="1268"/>
    <s v="PKG-013"/>
    <x v="10"/>
    <x v="2"/>
    <x v="0"/>
    <x v="3"/>
    <x v="2"/>
    <x v="612"/>
    <n v="388"/>
    <n v="820"/>
    <n v="0.13"/>
    <x v="0"/>
    <n v="318160"/>
    <n v="276799.2"/>
    <s v="Medium"/>
  </r>
  <r>
    <x v="1269"/>
    <s v="PKG-013"/>
    <x v="10"/>
    <x v="2"/>
    <x v="0"/>
    <x v="4"/>
    <x v="0"/>
    <x v="612"/>
    <n v="179"/>
    <n v="820"/>
    <n v="7.0000000000000007E-2"/>
    <x v="0"/>
    <n v="146780"/>
    <n v="136505.4"/>
    <s v="Medium"/>
  </r>
  <r>
    <x v="1270"/>
    <s v="PKG-005"/>
    <x v="4"/>
    <x v="0"/>
    <x v="2"/>
    <x v="2"/>
    <x v="1"/>
    <x v="613"/>
    <n v="246"/>
    <n v="200"/>
    <n v="0.1"/>
    <x v="1"/>
    <n v="49200"/>
    <n v="44280"/>
    <s v="Low"/>
  </r>
  <r>
    <x v="1271"/>
    <s v="PKG-007"/>
    <x v="6"/>
    <x v="0"/>
    <x v="1"/>
    <x v="4"/>
    <x v="0"/>
    <x v="613"/>
    <n v="371"/>
    <n v="650"/>
    <n v="0.11"/>
    <x v="1"/>
    <n v="241150"/>
    <n v="214623.5"/>
    <s v="Medium"/>
  </r>
  <r>
    <x v="1272"/>
    <s v="PKG-003"/>
    <x v="2"/>
    <x v="1"/>
    <x v="2"/>
    <x v="1"/>
    <x v="0"/>
    <x v="613"/>
    <n v="407"/>
    <n v="420"/>
    <n v="0.14000000000000001"/>
    <x v="0"/>
    <n v="170940"/>
    <n v="147008.4"/>
    <s v="Medium"/>
  </r>
  <r>
    <x v="1273"/>
    <s v="PKG-007"/>
    <x v="6"/>
    <x v="0"/>
    <x v="1"/>
    <x v="4"/>
    <x v="4"/>
    <x v="614"/>
    <n v="148"/>
    <n v="650"/>
    <n v="0.1"/>
    <x v="1"/>
    <n v="96200"/>
    <n v="86580"/>
    <s v="Low"/>
  </r>
  <r>
    <x v="1274"/>
    <s v="PKG-011"/>
    <x v="12"/>
    <x v="1"/>
    <x v="2"/>
    <x v="0"/>
    <x v="1"/>
    <x v="615"/>
    <n v="220"/>
    <n v="680"/>
    <n v="0.05"/>
    <x v="1"/>
    <n v="149600"/>
    <n v="142120"/>
    <s v="Medium"/>
  </r>
  <r>
    <x v="1275"/>
    <s v="PKG-010"/>
    <x v="9"/>
    <x v="2"/>
    <x v="2"/>
    <x v="2"/>
    <x v="4"/>
    <x v="615"/>
    <n v="206"/>
    <n v="750"/>
    <n v="0.13"/>
    <x v="0"/>
    <n v="154500"/>
    <n v="134415"/>
    <s v="Medium"/>
  </r>
  <r>
    <x v="1276"/>
    <s v="PKG-008"/>
    <x v="7"/>
    <x v="3"/>
    <x v="2"/>
    <x v="0"/>
    <x v="5"/>
    <x v="616"/>
    <n v="180"/>
    <n v="2800"/>
    <n v="0.13"/>
    <x v="0"/>
    <n v="504000"/>
    <n v="438480"/>
    <s v="High"/>
  </r>
  <r>
    <x v="1277"/>
    <s v="PKG-012"/>
    <x v="11"/>
    <x v="0"/>
    <x v="0"/>
    <x v="0"/>
    <x v="2"/>
    <x v="616"/>
    <n v="98"/>
    <n v="450"/>
    <n v="0.13"/>
    <x v="0"/>
    <n v="44100"/>
    <n v="38367"/>
    <s v="Low"/>
  </r>
  <r>
    <x v="1278"/>
    <s v="PKG-011"/>
    <x v="12"/>
    <x v="1"/>
    <x v="2"/>
    <x v="3"/>
    <x v="3"/>
    <x v="617"/>
    <n v="291"/>
    <n v="680"/>
    <n v="7.0000000000000007E-2"/>
    <x v="1"/>
    <n v="197880"/>
    <n v="184028.4"/>
    <s v="Medium"/>
  </r>
  <r>
    <x v="1279"/>
    <s v="PKG-004"/>
    <x v="3"/>
    <x v="0"/>
    <x v="4"/>
    <x v="3"/>
    <x v="0"/>
    <x v="618"/>
    <n v="223"/>
    <n v="1200"/>
    <n v="0.15"/>
    <x v="0"/>
    <n v="267600"/>
    <n v="227460"/>
    <s v="Medium"/>
  </r>
  <r>
    <x v="1280"/>
    <s v="PKG-004"/>
    <x v="3"/>
    <x v="0"/>
    <x v="0"/>
    <x v="0"/>
    <x v="0"/>
    <x v="618"/>
    <n v="333"/>
    <n v="1200"/>
    <n v="0.08"/>
    <x v="0"/>
    <n v="399600"/>
    <n v="367632"/>
    <s v="High"/>
  </r>
  <r>
    <x v="1281"/>
    <s v="PKG-010"/>
    <x v="9"/>
    <x v="2"/>
    <x v="1"/>
    <x v="2"/>
    <x v="2"/>
    <x v="618"/>
    <n v="66"/>
    <n v="750"/>
    <n v="0.14000000000000001"/>
    <x v="1"/>
    <n v="49500"/>
    <n v="42570"/>
    <s v="Low"/>
  </r>
  <r>
    <x v="1282"/>
    <s v="PKG-009"/>
    <x v="8"/>
    <x v="1"/>
    <x v="3"/>
    <x v="3"/>
    <x v="2"/>
    <x v="619"/>
    <n v="259"/>
    <n v="280"/>
    <n v="0.05"/>
    <x v="0"/>
    <n v="72520"/>
    <n v="68894"/>
    <s v="Low"/>
  </r>
  <r>
    <x v="1283"/>
    <s v="PKG-009"/>
    <x v="8"/>
    <x v="1"/>
    <x v="2"/>
    <x v="2"/>
    <x v="3"/>
    <x v="619"/>
    <n v="480"/>
    <n v="280"/>
    <n v="0.14000000000000001"/>
    <x v="1"/>
    <n v="134400"/>
    <n v="115584"/>
    <s v="Medium"/>
  </r>
  <r>
    <x v="1284"/>
    <s v="PKG-009"/>
    <x v="8"/>
    <x v="1"/>
    <x v="2"/>
    <x v="1"/>
    <x v="3"/>
    <x v="619"/>
    <n v="346"/>
    <n v="280"/>
    <n v="0.11"/>
    <x v="1"/>
    <n v="96880"/>
    <n v="86223.2"/>
    <s v="Low"/>
  </r>
  <r>
    <x v="1285"/>
    <s v="PKG-011"/>
    <x v="12"/>
    <x v="1"/>
    <x v="2"/>
    <x v="2"/>
    <x v="5"/>
    <x v="620"/>
    <n v="181"/>
    <n v="680"/>
    <n v="0.13"/>
    <x v="1"/>
    <n v="123080"/>
    <n v="107079.6"/>
    <s v="Medium"/>
  </r>
  <r>
    <x v="1286"/>
    <s v="PKG-001"/>
    <x v="0"/>
    <x v="0"/>
    <x v="2"/>
    <x v="0"/>
    <x v="0"/>
    <x v="620"/>
    <n v="119"/>
    <n v="990"/>
    <n v="0.13"/>
    <x v="0"/>
    <n v="117810"/>
    <n v="102494.7"/>
    <s v="Medium"/>
  </r>
  <r>
    <x v="1287"/>
    <s v="PKG-007"/>
    <x v="6"/>
    <x v="0"/>
    <x v="2"/>
    <x v="2"/>
    <x v="1"/>
    <x v="620"/>
    <n v="229"/>
    <n v="650"/>
    <n v="0.03"/>
    <x v="0"/>
    <n v="148850"/>
    <n v="144384.5"/>
    <s v="Medium"/>
  </r>
  <r>
    <x v="1288"/>
    <s v="PKG-001"/>
    <x v="0"/>
    <x v="0"/>
    <x v="3"/>
    <x v="1"/>
    <x v="3"/>
    <x v="621"/>
    <n v="330"/>
    <n v="990"/>
    <n v="0.08"/>
    <x v="0"/>
    <n v="326700"/>
    <n v="300564"/>
    <s v="Medium"/>
  </r>
  <r>
    <x v="1289"/>
    <s v="PKG-013"/>
    <x v="10"/>
    <x v="2"/>
    <x v="1"/>
    <x v="2"/>
    <x v="1"/>
    <x v="621"/>
    <n v="190"/>
    <n v="820"/>
    <n v="0.12"/>
    <x v="1"/>
    <n v="155800"/>
    <n v="137104"/>
    <s v="Medium"/>
  </r>
  <r>
    <x v="1290"/>
    <s v="PKG-011"/>
    <x v="12"/>
    <x v="1"/>
    <x v="1"/>
    <x v="2"/>
    <x v="1"/>
    <x v="621"/>
    <n v="311"/>
    <n v="680"/>
    <n v="0.15"/>
    <x v="0"/>
    <n v="211480"/>
    <n v="179758"/>
    <s v="Medium"/>
  </r>
  <r>
    <x v="1291"/>
    <s v="PKG-004"/>
    <x v="3"/>
    <x v="0"/>
    <x v="0"/>
    <x v="2"/>
    <x v="2"/>
    <x v="622"/>
    <n v="244"/>
    <n v="1200"/>
    <n v="0"/>
    <x v="1"/>
    <n v="292800"/>
    <n v="292800"/>
    <s v="Medium"/>
  </r>
  <r>
    <x v="1292"/>
    <s v="PKG-005"/>
    <x v="4"/>
    <x v="0"/>
    <x v="4"/>
    <x v="0"/>
    <x v="2"/>
    <x v="622"/>
    <n v="302"/>
    <n v="200"/>
    <n v="0.13"/>
    <x v="1"/>
    <n v="60400"/>
    <n v="52548"/>
    <s v="Low"/>
  </r>
  <r>
    <x v="1293"/>
    <s v="PKG-012"/>
    <x v="11"/>
    <x v="0"/>
    <x v="4"/>
    <x v="0"/>
    <x v="5"/>
    <x v="622"/>
    <n v="379"/>
    <n v="450"/>
    <n v="0"/>
    <x v="0"/>
    <n v="170550"/>
    <n v="170550"/>
    <s v="Medium"/>
  </r>
  <r>
    <x v="1294"/>
    <s v="PKG-013"/>
    <x v="10"/>
    <x v="2"/>
    <x v="2"/>
    <x v="0"/>
    <x v="4"/>
    <x v="623"/>
    <n v="349"/>
    <n v="820"/>
    <n v="0.1"/>
    <x v="1"/>
    <n v="286180"/>
    <n v="257562"/>
    <s v="Medium"/>
  </r>
  <r>
    <x v="1295"/>
    <s v="PKG-010"/>
    <x v="9"/>
    <x v="2"/>
    <x v="4"/>
    <x v="1"/>
    <x v="0"/>
    <x v="624"/>
    <n v="145"/>
    <n v="750"/>
    <n v="0.13"/>
    <x v="0"/>
    <n v="108750"/>
    <n v="94612.5"/>
    <s v="Low"/>
  </r>
  <r>
    <x v="1296"/>
    <s v="PKG-002"/>
    <x v="1"/>
    <x v="1"/>
    <x v="1"/>
    <x v="1"/>
    <x v="3"/>
    <x v="624"/>
    <n v="316"/>
    <n v="350"/>
    <n v="0.14000000000000001"/>
    <x v="1"/>
    <n v="110600"/>
    <n v="95116"/>
    <s v="Low"/>
  </r>
  <r>
    <x v="1297"/>
    <s v="PKG-009"/>
    <x v="8"/>
    <x v="1"/>
    <x v="0"/>
    <x v="2"/>
    <x v="3"/>
    <x v="624"/>
    <n v="443"/>
    <n v="280"/>
    <n v="0.1"/>
    <x v="1"/>
    <n v="124040"/>
    <n v="111636"/>
    <s v="Medium"/>
  </r>
  <r>
    <x v="1298"/>
    <s v="PKG-002"/>
    <x v="1"/>
    <x v="1"/>
    <x v="1"/>
    <x v="2"/>
    <x v="4"/>
    <x v="625"/>
    <n v="157"/>
    <n v="350"/>
    <n v="0.03"/>
    <x v="1"/>
    <n v="54950"/>
    <n v="53301.5"/>
    <s v="Low"/>
  </r>
  <r>
    <x v="1299"/>
    <s v="PKG-005"/>
    <x v="4"/>
    <x v="0"/>
    <x v="3"/>
    <x v="0"/>
    <x v="0"/>
    <x v="625"/>
    <n v="454"/>
    <n v="200"/>
    <n v="0"/>
    <x v="1"/>
    <n v="90800"/>
    <n v="90800"/>
    <s v="Low"/>
  </r>
  <r>
    <x v="1300"/>
    <s v="PKG-004"/>
    <x v="3"/>
    <x v="0"/>
    <x v="3"/>
    <x v="1"/>
    <x v="0"/>
    <x v="626"/>
    <n v="195"/>
    <n v="1200"/>
    <n v="0.11"/>
    <x v="1"/>
    <n v="234000"/>
    <n v="208260"/>
    <s v="Medium"/>
  </r>
  <r>
    <x v="1301"/>
    <s v="PKG-003"/>
    <x v="2"/>
    <x v="1"/>
    <x v="3"/>
    <x v="3"/>
    <x v="2"/>
    <x v="626"/>
    <n v="96"/>
    <n v="420"/>
    <n v="0"/>
    <x v="1"/>
    <n v="40320"/>
    <n v="40320"/>
    <s v="Low"/>
  </r>
  <r>
    <x v="1302"/>
    <s v="PKG-002"/>
    <x v="1"/>
    <x v="1"/>
    <x v="1"/>
    <x v="1"/>
    <x v="4"/>
    <x v="626"/>
    <n v="73"/>
    <n v="350"/>
    <n v="0.08"/>
    <x v="1"/>
    <n v="25550"/>
    <n v="23506"/>
    <s v="Low"/>
  </r>
  <r>
    <x v="1303"/>
    <s v="PKG-001"/>
    <x v="0"/>
    <x v="0"/>
    <x v="4"/>
    <x v="2"/>
    <x v="4"/>
    <x v="627"/>
    <n v="270"/>
    <n v="990"/>
    <n v="0.13"/>
    <x v="0"/>
    <n v="267300"/>
    <n v="232551"/>
    <s v="Medium"/>
  </r>
  <r>
    <x v="1304"/>
    <s v="PKG-006"/>
    <x v="5"/>
    <x v="2"/>
    <x v="2"/>
    <x v="2"/>
    <x v="4"/>
    <x v="627"/>
    <n v="268"/>
    <n v="895"/>
    <n v="0.1"/>
    <x v="0"/>
    <n v="239860"/>
    <n v="215874"/>
    <s v="Medium"/>
  </r>
  <r>
    <x v="1305"/>
    <s v="PKG-004"/>
    <x v="3"/>
    <x v="0"/>
    <x v="3"/>
    <x v="4"/>
    <x v="2"/>
    <x v="627"/>
    <n v="175"/>
    <n v="1200"/>
    <n v="0.14000000000000001"/>
    <x v="1"/>
    <n v="210000"/>
    <n v="180600"/>
    <s v="Medium"/>
  </r>
  <r>
    <x v="1306"/>
    <s v="PKG-005"/>
    <x v="4"/>
    <x v="0"/>
    <x v="2"/>
    <x v="2"/>
    <x v="2"/>
    <x v="628"/>
    <n v="409"/>
    <n v="200"/>
    <n v="0.03"/>
    <x v="0"/>
    <n v="81800"/>
    <n v="79346"/>
    <s v="Low"/>
  </r>
  <r>
    <x v="1307"/>
    <s v="PKG-001"/>
    <x v="0"/>
    <x v="0"/>
    <x v="1"/>
    <x v="1"/>
    <x v="0"/>
    <x v="629"/>
    <n v="384"/>
    <n v="990"/>
    <n v="0.05"/>
    <x v="0"/>
    <n v="380160"/>
    <n v="361152"/>
    <s v="High"/>
  </r>
  <r>
    <x v="1308"/>
    <s v="PKG-005"/>
    <x v="4"/>
    <x v="0"/>
    <x v="1"/>
    <x v="1"/>
    <x v="3"/>
    <x v="630"/>
    <n v="92"/>
    <n v="200"/>
    <n v="0.08"/>
    <x v="1"/>
    <n v="18400"/>
    <n v="16928"/>
    <s v="Low"/>
  </r>
  <r>
    <x v="1309"/>
    <s v="PKG-012"/>
    <x v="11"/>
    <x v="0"/>
    <x v="4"/>
    <x v="3"/>
    <x v="5"/>
    <x v="630"/>
    <n v="214"/>
    <n v="450"/>
    <n v="0"/>
    <x v="1"/>
    <n v="96300"/>
    <n v="96300"/>
    <s v="Low"/>
  </r>
  <r>
    <x v="1310"/>
    <s v="PKG-010"/>
    <x v="9"/>
    <x v="2"/>
    <x v="0"/>
    <x v="3"/>
    <x v="0"/>
    <x v="631"/>
    <n v="323"/>
    <n v="750"/>
    <n v="0"/>
    <x v="0"/>
    <n v="242250"/>
    <n v="242250"/>
    <s v="Medium"/>
  </r>
  <r>
    <x v="1311"/>
    <s v="PKG-005"/>
    <x v="4"/>
    <x v="0"/>
    <x v="1"/>
    <x v="0"/>
    <x v="3"/>
    <x v="631"/>
    <n v="282"/>
    <n v="200"/>
    <n v="0.03"/>
    <x v="1"/>
    <n v="56400"/>
    <n v="54708"/>
    <s v="Low"/>
  </r>
  <r>
    <x v="1312"/>
    <s v="PKG-006"/>
    <x v="5"/>
    <x v="2"/>
    <x v="3"/>
    <x v="1"/>
    <x v="3"/>
    <x v="631"/>
    <n v="119"/>
    <n v="895"/>
    <n v="0.15"/>
    <x v="0"/>
    <n v="106505"/>
    <n v="90529.25"/>
    <s v="Low"/>
  </r>
  <r>
    <x v="1313"/>
    <s v="PKG-011"/>
    <x v="12"/>
    <x v="1"/>
    <x v="0"/>
    <x v="0"/>
    <x v="0"/>
    <x v="632"/>
    <n v="432"/>
    <n v="680"/>
    <n v="0.12"/>
    <x v="1"/>
    <n v="293760"/>
    <n v="258508.79999999999"/>
    <s v="Medium"/>
  </r>
  <r>
    <x v="1314"/>
    <s v="PKG-007"/>
    <x v="6"/>
    <x v="0"/>
    <x v="2"/>
    <x v="0"/>
    <x v="2"/>
    <x v="632"/>
    <n v="267"/>
    <n v="650"/>
    <n v="0.12"/>
    <x v="1"/>
    <n v="173550"/>
    <n v="152724"/>
    <s v="Medium"/>
  </r>
  <r>
    <x v="1315"/>
    <s v="PKG-011"/>
    <x v="12"/>
    <x v="1"/>
    <x v="3"/>
    <x v="2"/>
    <x v="1"/>
    <x v="632"/>
    <n v="116"/>
    <n v="680"/>
    <n v="0.15"/>
    <x v="1"/>
    <n v="78880"/>
    <n v="67048"/>
    <s v="Low"/>
  </r>
  <r>
    <x v="1316"/>
    <s v="PKG-005"/>
    <x v="4"/>
    <x v="0"/>
    <x v="3"/>
    <x v="2"/>
    <x v="1"/>
    <x v="633"/>
    <n v="446"/>
    <n v="200"/>
    <n v="0.1"/>
    <x v="1"/>
    <n v="89200"/>
    <n v="80280"/>
    <s v="Low"/>
  </r>
  <r>
    <x v="1317"/>
    <s v="PKG-009"/>
    <x v="8"/>
    <x v="1"/>
    <x v="0"/>
    <x v="0"/>
    <x v="2"/>
    <x v="633"/>
    <n v="248"/>
    <n v="280"/>
    <n v="7.0000000000000007E-2"/>
    <x v="0"/>
    <n v="69440"/>
    <n v="64579.199999999997"/>
    <s v="Low"/>
  </r>
  <r>
    <x v="1318"/>
    <s v="PKG-003"/>
    <x v="2"/>
    <x v="1"/>
    <x v="3"/>
    <x v="1"/>
    <x v="2"/>
    <x v="634"/>
    <n v="222"/>
    <n v="420"/>
    <n v="0.12"/>
    <x v="0"/>
    <n v="93240"/>
    <n v="82051.199999999997"/>
    <s v="Low"/>
  </r>
  <r>
    <x v="1319"/>
    <s v="PKG-008"/>
    <x v="7"/>
    <x v="3"/>
    <x v="1"/>
    <x v="3"/>
    <x v="1"/>
    <x v="634"/>
    <n v="181"/>
    <n v="2800"/>
    <n v="0.11"/>
    <x v="0"/>
    <n v="506800"/>
    <n v="451052"/>
    <s v="High"/>
  </r>
  <r>
    <x v="1320"/>
    <s v="PKG-007"/>
    <x v="6"/>
    <x v="0"/>
    <x v="4"/>
    <x v="4"/>
    <x v="1"/>
    <x v="634"/>
    <n v="163"/>
    <n v="650"/>
    <n v="0.15"/>
    <x v="0"/>
    <n v="105950"/>
    <n v="90057.5"/>
    <s v="Low"/>
  </r>
  <r>
    <x v="1321"/>
    <s v="PKG-004"/>
    <x v="3"/>
    <x v="0"/>
    <x v="1"/>
    <x v="4"/>
    <x v="3"/>
    <x v="635"/>
    <n v="372"/>
    <n v="1200"/>
    <n v="0"/>
    <x v="0"/>
    <n v="446400"/>
    <n v="446400"/>
    <s v="High"/>
  </r>
  <r>
    <x v="1322"/>
    <s v="PKG-004"/>
    <x v="3"/>
    <x v="0"/>
    <x v="3"/>
    <x v="1"/>
    <x v="0"/>
    <x v="635"/>
    <n v="206"/>
    <n v="1200"/>
    <n v="0.1"/>
    <x v="0"/>
    <n v="247200"/>
    <n v="222480"/>
    <s v="Medium"/>
  </r>
  <r>
    <x v="1323"/>
    <s v="PKG-008"/>
    <x v="7"/>
    <x v="3"/>
    <x v="2"/>
    <x v="4"/>
    <x v="4"/>
    <x v="635"/>
    <n v="117"/>
    <n v="2800"/>
    <n v="0.13"/>
    <x v="0"/>
    <n v="327600"/>
    <n v="285012"/>
    <s v="Medium"/>
  </r>
  <r>
    <x v="1324"/>
    <s v="PKG-010"/>
    <x v="9"/>
    <x v="2"/>
    <x v="4"/>
    <x v="4"/>
    <x v="1"/>
    <x v="636"/>
    <n v="239"/>
    <n v="750"/>
    <n v="0.05"/>
    <x v="1"/>
    <n v="179250"/>
    <n v="170287.5"/>
    <s v="Medium"/>
  </r>
  <r>
    <x v="1325"/>
    <s v="PKG-004"/>
    <x v="3"/>
    <x v="0"/>
    <x v="4"/>
    <x v="0"/>
    <x v="2"/>
    <x v="636"/>
    <n v="86"/>
    <n v="1200"/>
    <n v="0"/>
    <x v="0"/>
    <n v="103200"/>
    <n v="103200"/>
    <s v="Medium"/>
  </r>
  <r>
    <x v="1326"/>
    <s v="PKG-013"/>
    <x v="10"/>
    <x v="2"/>
    <x v="4"/>
    <x v="2"/>
    <x v="1"/>
    <x v="636"/>
    <n v="256"/>
    <n v="820"/>
    <n v="0.13"/>
    <x v="1"/>
    <n v="209920"/>
    <n v="182630.39999999999"/>
    <s v="Medium"/>
  </r>
  <r>
    <x v="1327"/>
    <s v="PKG-012"/>
    <x v="11"/>
    <x v="0"/>
    <x v="0"/>
    <x v="2"/>
    <x v="5"/>
    <x v="637"/>
    <n v="251"/>
    <n v="450"/>
    <n v="0.11"/>
    <x v="0"/>
    <n v="112950"/>
    <n v="100525.5"/>
    <s v="Medium"/>
  </r>
  <r>
    <x v="1328"/>
    <s v="PKG-008"/>
    <x v="7"/>
    <x v="3"/>
    <x v="0"/>
    <x v="1"/>
    <x v="0"/>
    <x v="637"/>
    <n v="366"/>
    <n v="2800"/>
    <n v="0.12"/>
    <x v="0"/>
    <n v="1024800"/>
    <n v="901824"/>
    <s v="High"/>
  </r>
  <r>
    <x v="1329"/>
    <s v="PKG-011"/>
    <x v="12"/>
    <x v="1"/>
    <x v="3"/>
    <x v="4"/>
    <x v="5"/>
    <x v="637"/>
    <n v="341"/>
    <n v="680"/>
    <n v="0.12"/>
    <x v="0"/>
    <n v="231880"/>
    <n v="204054.39999999999"/>
    <s v="Medium"/>
  </r>
  <r>
    <x v="1330"/>
    <s v="PKG-001"/>
    <x v="0"/>
    <x v="0"/>
    <x v="2"/>
    <x v="4"/>
    <x v="4"/>
    <x v="638"/>
    <n v="118"/>
    <n v="990"/>
    <n v="0.13"/>
    <x v="0"/>
    <n v="116820"/>
    <n v="101633.4"/>
    <s v="Medium"/>
  </r>
  <r>
    <x v="1331"/>
    <s v="PKG-001"/>
    <x v="0"/>
    <x v="0"/>
    <x v="2"/>
    <x v="4"/>
    <x v="4"/>
    <x v="638"/>
    <n v="42"/>
    <n v="990"/>
    <n v="0.14000000000000001"/>
    <x v="1"/>
    <n v="41580"/>
    <n v="35758.800000000003"/>
    <s v="Low"/>
  </r>
  <r>
    <x v="1332"/>
    <s v="PKG-012"/>
    <x v="11"/>
    <x v="0"/>
    <x v="4"/>
    <x v="4"/>
    <x v="5"/>
    <x v="638"/>
    <n v="373"/>
    <n v="450"/>
    <n v="0"/>
    <x v="1"/>
    <n v="167850"/>
    <n v="167850"/>
    <s v="Medium"/>
  </r>
  <r>
    <x v="1333"/>
    <s v="PKG-011"/>
    <x v="12"/>
    <x v="1"/>
    <x v="4"/>
    <x v="4"/>
    <x v="5"/>
    <x v="639"/>
    <n v="288"/>
    <n v="680"/>
    <n v="0.03"/>
    <x v="0"/>
    <n v="195840"/>
    <n v="189964.79999999999"/>
    <s v="Medium"/>
  </r>
  <r>
    <x v="1334"/>
    <s v="PKG-010"/>
    <x v="9"/>
    <x v="2"/>
    <x v="0"/>
    <x v="4"/>
    <x v="5"/>
    <x v="639"/>
    <n v="41"/>
    <n v="750"/>
    <n v="0"/>
    <x v="1"/>
    <n v="30750"/>
    <n v="30750"/>
    <s v="Low"/>
  </r>
  <r>
    <x v="1335"/>
    <s v="PKG-011"/>
    <x v="12"/>
    <x v="1"/>
    <x v="2"/>
    <x v="4"/>
    <x v="2"/>
    <x v="639"/>
    <n v="427"/>
    <n v="680"/>
    <n v="0.12"/>
    <x v="0"/>
    <n v="290360"/>
    <n v="255516.79999999999"/>
    <s v="Medium"/>
  </r>
  <r>
    <x v="1336"/>
    <s v="PKG-001"/>
    <x v="0"/>
    <x v="0"/>
    <x v="1"/>
    <x v="0"/>
    <x v="0"/>
    <x v="640"/>
    <n v="338"/>
    <n v="990"/>
    <n v="0.11"/>
    <x v="0"/>
    <n v="334620"/>
    <n v="297811.8"/>
    <s v="Medium"/>
  </r>
  <r>
    <x v="1337"/>
    <s v="PKG-008"/>
    <x v="7"/>
    <x v="3"/>
    <x v="3"/>
    <x v="2"/>
    <x v="1"/>
    <x v="640"/>
    <n v="204"/>
    <n v="2800"/>
    <n v="0.12"/>
    <x v="1"/>
    <n v="571200"/>
    <n v="502656"/>
    <s v="High"/>
  </r>
  <r>
    <x v="1338"/>
    <s v="PKG-011"/>
    <x v="12"/>
    <x v="1"/>
    <x v="1"/>
    <x v="4"/>
    <x v="3"/>
    <x v="640"/>
    <n v="391"/>
    <n v="680"/>
    <n v="0.13"/>
    <x v="0"/>
    <n v="265880"/>
    <n v="231315.6"/>
    <s v="Medium"/>
  </r>
  <r>
    <x v="1339"/>
    <s v="PKG-002"/>
    <x v="1"/>
    <x v="1"/>
    <x v="0"/>
    <x v="0"/>
    <x v="3"/>
    <x v="641"/>
    <n v="97"/>
    <n v="350"/>
    <n v="0"/>
    <x v="1"/>
    <n v="33950"/>
    <n v="33950"/>
    <s v="Low"/>
  </r>
  <r>
    <x v="1340"/>
    <s v="PKG-011"/>
    <x v="12"/>
    <x v="1"/>
    <x v="3"/>
    <x v="0"/>
    <x v="0"/>
    <x v="641"/>
    <n v="362"/>
    <n v="680"/>
    <n v="0.08"/>
    <x v="0"/>
    <n v="246160"/>
    <n v="226467.20000000001"/>
    <s v="Medium"/>
  </r>
  <r>
    <x v="1341"/>
    <s v="PKG-003"/>
    <x v="2"/>
    <x v="1"/>
    <x v="0"/>
    <x v="3"/>
    <x v="0"/>
    <x v="641"/>
    <n v="253"/>
    <n v="420"/>
    <n v="0.15"/>
    <x v="1"/>
    <n v="106260"/>
    <n v="90321"/>
    <s v="Low"/>
  </r>
  <r>
    <x v="1342"/>
    <s v="PKG-005"/>
    <x v="4"/>
    <x v="0"/>
    <x v="1"/>
    <x v="1"/>
    <x v="3"/>
    <x v="642"/>
    <n v="419"/>
    <n v="200"/>
    <n v="0.03"/>
    <x v="0"/>
    <n v="83800"/>
    <n v="81286"/>
    <s v="Low"/>
  </r>
  <r>
    <x v="1343"/>
    <s v="PKG-004"/>
    <x v="3"/>
    <x v="0"/>
    <x v="0"/>
    <x v="2"/>
    <x v="2"/>
    <x v="643"/>
    <n v="129"/>
    <n v="1200"/>
    <n v="0"/>
    <x v="1"/>
    <n v="154800"/>
    <n v="154800"/>
    <s v="Medium"/>
  </r>
  <r>
    <x v="1344"/>
    <s v="PKG-013"/>
    <x v="10"/>
    <x v="2"/>
    <x v="0"/>
    <x v="2"/>
    <x v="2"/>
    <x v="643"/>
    <n v="255"/>
    <n v="820"/>
    <n v="0.03"/>
    <x v="1"/>
    <n v="209100"/>
    <n v="202827"/>
    <s v="Medium"/>
  </r>
  <r>
    <x v="1345"/>
    <s v="PKG-002"/>
    <x v="1"/>
    <x v="1"/>
    <x v="3"/>
    <x v="3"/>
    <x v="5"/>
    <x v="643"/>
    <n v="411"/>
    <n v="350"/>
    <n v="0.05"/>
    <x v="1"/>
    <n v="143850"/>
    <n v="136657.5"/>
    <s v="Medium"/>
  </r>
  <r>
    <x v="1346"/>
    <s v="PKG-010"/>
    <x v="9"/>
    <x v="2"/>
    <x v="1"/>
    <x v="4"/>
    <x v="2"/>
    <x v="644"/>
    <n v="139"/>
    <n v="750"/>
    <n v="0"/>
    <x v="0"/>
    <n v="104250"/>
    <n v="104250"/>
    <s v="Medium"/>
  </r>
  <r>
    <x v="1347"/>
    <s v="PKG-013"/>
    <x v="10"/>
    <x v="2"/>
    <x v="0"/>
    <x v="2"/>
    <x v="3"/>
    <x v="644"/>
    <n v="257"/>
    <n v="820"/>
    <n v="0"/>
    <x v="1"/>
    <n v="210740"/>
    <n v="210740"/>
    <s v="Medium"/>
  </r>
  <r>
    <x v="1348"/>
    <s v="PKG-005"/>
    <x v="4"/>
    <x v="0"/>
    <x v="4"/>
    <x v="4"/>
    <x v="2"/>
    <x v="644"/>
    <n v="373"/>
    <n v="200"/>
    <n v="0.03"/>
    <x v="1"/>
    <n v="74600"/>
    <n v="72362"/>
    <s v="Low"/>
  </r>
  <r>
    <x v="1349"/>
    <s v="PKG-009"/>
    <x v="8"/>
    <x v="1"/>
    <x v="3"/>
    <x v="4"/>
    <x v="0"/>
    <x v="645"/>
    <n v="474"/>
    <n v="280"/>
    <n v="0"/>
    <x v="1"/>
    <n v="132720"/>
    <n v="132720"/>
    <s v="Medium"/>
  </r>
  <r>
    <x v="1350"/>
    <s v="PKG-009"/>
    <x v="8"/>
    <x v="1"/>
    <x v="1"/>
    <x v="0"/>
    <x v="1"/>
    <x v="646"/>
    <n v="352"/>
    <n v="280"/>
    <n v="0.13"/>
    <x v="0"/>
    <n v="98560"/>
    <n v="85747.199999999997"/>
    <s v="Low"/>
  </r>
  <r>
    <x v="1351"/>
    <s v="PKG-008"/>
    <x v="7"/>
    <x v="3"/>
    <x v="2"/>
    <x v="4"/>
    <x v="4"/>
    <x v="646"/>
    <n v="270"/>
    <n v="2800"/>
    <n v="0.08"/>
    <x v="0"/>
    <n v="756000"/>
    <n v="695520"/>
    <s v="High"/>
  </r>
  <r>
    <x v="1352"/>
    <s v="PKG-012"/>
    <x v="11"/>
    <x v="0"/>
    <x v="3"/>
    <x v="0"/>
    <x v="2"/>
    <x v="646"/>
    <n v="284"/>
    <n v="450"/>
    <n v="7.0000000000000007E-2"/>
    <x v="0"/>
    <n v="127800"/>
    <n v="118854"/>
    <s v="Medium"/>
  </r>
  <r>
    <x v="1353"/>
    <s v="PKG-005"/>
    <x v="4"/>
    <x v="0"/>
    <x v="1"/>
    <x v="4"/>
    <x v="4"/>
    <x v="647"/>
    <n v="492"/>
    <n v="200"/>
    <n v="0.11"/>
    <x v="0"/>
    <n v="98400"/>
    <n v="87576"/>
    <s v="Low"/>
  </r>
  <r>
    <x v="1354"/>
    <s v="PKG-010"/>
    <x v="9"/>
    <x v="2"/>
    <x v="1"/>
    <x v="1"/>
    <x v="3"/>
    <x v="647"/>
    <n v="40"/>
    <n v="750"/>
    <n v="0"/>
    <x v="0"/>
    <n v="30000"/>
    <n v="30000"/>
    <s v="Low"/>
  </r>
  <r>
    <x v="1355"/>
    <s v="PKG-006"/>
    <x v="5"/>
    <x v="2"/>
    <x v="4"/>
    <x v="4"/>
    <x v="1"/>
    <x v="647"/>
    <n v="393"/>
    <n v="895"/>
    <n v="0.12"/>
    <x v="1"/>
    <n v="351735"/>
    <n v="309526.8"/>
    <s v="Medium"/>
  </r>
  <r>
    <x v="1356"/>
    <s v="PKG-004"/>
    <x v="3"/>
    <x v="0"/>
    <x v="2"/>
    <x v="1"/>
    <x v="0"/>
    <x v="648"/>
    <n v="253"/>
    <n v="1200"/>
    <n v="0.03"/>
    <x v="1"/>
    <n v="303600"/>
    <n v="294492"/>
    <s v="Medium"/>
  </r>
  <r>
    <x v="1357"/>
    <s v="PKG-008"/>
    <x v="7"/>
    <x v="3"/>
    <x v="3"/>
    <x v="1"/>
    <x v="1"/>
    <x v="649"/>
    <n v="227"/>
    <n v="2800"/>
    <n v="0.15"/>
    <x v="0"/>
    <n v="635600"/>
    <n v="540260"/>
    <s v="High"/>
  </r>
  <r>
    <x v="1358"/>
    <s v="PKG-008"/>
    <x v="7"/>
    <x v="3"/>
    <x v="2"/>
    <x v="1"/>
    <x v="5"/>
    <x v="649"/>
    <n v="212"/>
    <n v="2800"/>
    <n v="0.08"/>
    <x v="0"/>
    <n v="593600"/>
    <n v="546112"/>
    <s v="High"/>
  </r>
  <r>
    <x v="1359"/>
    <s v="PKG-002"/>
    <x v="1"/>
    <x v="1"/>
    <x v="0"/>
    <x v="0"/>
    <x v="0"/>
    <x v="649"/>
    <n v="331"/>
    <n v="350"/>
    <n v="0.08"/>
    <x v="0"/>
    <n v="115850"/>
    <n v="106582"/>
    <s v="Medium"/>
  </r>
  <r>
    <x v="1360"/>
    <s v="PKG-006"/>
    <x v="5"/>
    <x v="2"/>
    <x v="1"/>
    <x v="2"/>
    <x v="3"/>
    <x v="650"/>
    <n v="277"/>
    <n v="895"/>
    <n v="7.0000000000000007E-2"/>
    <x v="1"/>
    <n v="247915"/>
    <n v="230560.95"/>
    <s v="Medium"/>
  </r>
  <r>
    <x v="1361"/>
    <s v="PKG-010"/>
    <x v="9"/>
    <x v="2"/>
    <x v="2"/>
    <x v="0"/>
    <x v="0"/>
    <x v="650"/>
    <n v="263"/>
    <n v="750"/>
    <n v="7.0000000000000007E-2"/>
    <x v="0"/>
    <n v="197250"/>
    <n v="183442.5"/>
    <s v="Medium"/>
  </r>
  <r>
    <x v="1362"/>
    <s v="PKG-003"/>
    <x v="2"/>
    <x v="1"/>
    <x v="2"/>
    <x v="4"/>
    <x v="4"/>
    <x v="651"/>
    <n v="93"/>
    <n v="420"/>
    <n v="0.13"/>
    <x v="0"/>
    <n v="39060"/>
    <n v="33982.199999999997"/>
    <s v="Low"/>
  </r>
  <r>
    <x v="1363"/>
    <s v="PKG-003"/>
    <x v="2"/>
    <x v="1"/>
    <x v="3"/>
    <x v="1"/>
    <x v="2"/>
    <x v="652"/>
    <n v="156"/>
    <n v="420"/>
    <n v="0"/>
    <x v="0"/>
    <n v="65520"/>
    <n v="65520"/>
    <s v="Low"/>
  </r>
  <r>
    <x v="1364"/>
    <s v="PKG-001"/>
    <x v="0"/>
    <x v="0"/>
    <x v="2"/>
    <x v="4"/>
    <x v="3"/>
    <x v="652"/>
    <n v="213"/>
    <n v="990"/>
    <n v="0"/>
    <x v="1"/>
    <n v="210870"/>
    <n v="210870"/>
    <s v="Medium"/>
  </r>
  <r>
    <x v="1365"/>
    <s v="PKG-005"/>
    <x v="4"/>
    <x v="0"/>
    <x v="1"/>
    <x v="1"/>
    <x v="0"/>
    <x v="653"/>
    <n v="95"/>
    <n v="200"/>
    <n v="0"/>
    <x v="0"/>
    <n v="19000"/>
    <n v="19000"/>
    <s v="Low"/>
  </r>
  <r>
    <x v="1366"/>
    <s v="PKG-002"/>
    <x v="1"/>
    <x v="1"/>
    <x v="4"/>
    <x v="3"/>
    <x v="3"/>
    <x v="653"/>
    <n v="252"/>
    <n v="350"/>
    <n v="7.0000000000000007E-2"/>
    <x v="1"/>
    <n v="88200"/>
    <n v="82026"/>
    <s v="Low"/>
  </r>
  <r>
    <x v="1367"/>
    <s v="PKG-007"/>
    <x v="6"/>
    <x v="0"/>
    <x v="4"/>
    <x v="3"/>
    <x v="3"/>
    <x v="653"/>
    <n v="287"/>
    <n v="650"/>
    <n v="0.11"/>
    <x v="1"/>
    <n v="186550"/>
    <n v="166029.5"/>
    <s v="Medium"/>
  </r>
  <r>
    <x v="1368"/>
    <s v="PKG-009"/>
    <x v="8"/>
    <x v="1"/>
    <x v="3"/>
    <x v="4"/>
    <x v="5"/>
    <x v="654"/>
    <n v="401"/>
    <n v="280"/>
    <n v="0"/>
    <x v="1"/>
    <n v="112280"/>
    <n v="112280"/>
    <s v="Medium"/>
  </r>
  <r>
    <x v="1369"/>
    <s v="PKG-003"/>
    <x v="2"/>
    <x v="1"/>
    <x v="3"/>
    <x v="1"/>
    <x v="5"/>
    <x v="654"/>
    <n v="213"/>
    <n v="420"/>
    <n v="0"/>
    <x v="1"/>
    <n v="89460"/>
    <n v="89460"/>
    <s v="Low"/>
  </r>
  <r>
    <x v="1370"/>
    <s v="PKG-009"/>
    <x v="8"/>
    <x v="1"/>
    <x v="1"/>
    <x v="3"/>
    <x v="0"/>
    <x v="654"/>
    <n v="170"/>
    <n v="280"/>
    <n v="0"/>
    <x v="0"/>
    <n v="47600"/>
    <n v="47600"/>
    <s v="Low"/>
  </r>
  <r>
    <x v="1371"/>
    <s v="PKG-013"/>
    <x v="10"/>
    <x v="2"/>
    <x v="2"/>
    <x v="4"/>
    <x v="0"/>
    <x v="655"/>
    <n v="182"/>
    <n v="820"/>
    <n v="0.13"/>
    <x v="1"/>
    <n v="149240"/>
    <n v="129838.8"/>
    <s v="Medium"/>
  </r>
  <r>
    <x v="1372"/>
    <s v="PKG-003"/>
    <x v="2"/>
    <x v="1"/>
    <x v="2"/>
    <x v="2"/>
    <x v="4"/>
    <x v="655"/>
    <n v="347"/>
    <n v="420"/>
    <n v="0.08"/>
    <x v="0"/>
    <n v="145740"/>
    <n v="134080.79999999999"/>
    <s v="Medium"/>
  </r>
  <r>
    <x v="1373"/>
    <s v="PKG-005"/>
    <x v="4"/>
    <x v="0"/>
    <x v="3"/>
    <x v="0"/>
    <x v="5"/>
    <x v="655"/>
    <n v="232"/>
    <n v="200"/>
    <n v="0"/>
    <x v="0"/>
    <n v="46400"/>
    <n v="46400"/>
    <s v="Low"/>
  </r>
  <r>
    <x v="1374"/>
    <s v="PKG-010"/>
    <x v="9"/>
    <x v="2"/>
    <x v="0"/>
    <x v="3"/>
    <x v="2"/>
    <x v="656"/>
    <n v="41"/>
    <n v="750"/>
    <n v="0"/>
    <x v="1"/>
    <n v="30750"/>
    <n v="30750"/>
    <s v="Low"/>
  </r>
  <r>
    <x v="1375"/>
    <s v="PKG-006"/>
    <x v="5"/>
    <x v="2"/>
    <x v="2"/>
    <x v="3"/>
    <x v="3"/>
    <x v="656"/>
    <n v="320"/>
    <n v="895"/>
    <n v="0.08"/>
    <x v="0"/>
    <n v="286400"/>
    <n v="263488"/>
    <s v="Medium"/>
  </r>
  <r>
    <x v="1376"/>
    <s v="PKG-010"/>
    <x v="9"/>
    <x v="2"/>
    <x v="3"/>
    <x v="2"/>
    <x v="0"/>
    <x v="657"/>
    <n v="43"/>
    <n v="750"/>
    <n v="0.05"/>
    <x v="0"/>
    <n v="32250"/>
    <n v="30637.5"/>
    <s v="Low"/>
  </r>
  <r>
    <x v="1377"/>
    <s v="PKG-012"/>
    <x v="11"/>
    <x v="0"/>
    <x v="1"/>
    <x v="1"/>
    <x v="5"/>
    <x v="657"/>
    <n v="88"/>
    <n v="450"/>
    <n v="0.03"/>
    <x v="0"/>
    <n v="39600"/>
    <n v="38412"/>
    <s v="Low"/>
  </r>
  <r>
    <x v="1378"/>
    <s v="PKG-013"/>
    <x v="10"/>
    <x v="2"/>
    <x v="3"/>
    <x v="3"/>
    <x v="4"/>
    <x v="658"/>
    <n v="263"/>
    <n v="820"/>
    <n v="7.0000000000000007E-2"/>
    <x v="0"/>
    <n v="215660"/>
    <n v="200563.8"/>
    <s v="Medium"/>
  </r>
  <r>
    <x v="1379"/>
    <s v="PKG-006"/>
    <x v="5"/>
    <x v="2"/>
    <x v="4"/>
    <x v="1"/>
    <x v="3"/>
    <x v="658"/>
    <n v="128"/>
    <n v="895"/>
    <n v="0.13"/>
    <x v="0"/>
    <n v="114560"/>
    <n v="99667.199999999997"/>
    <s v="Low"/>
  </r>
  <r>
    <x v="1380"/>
    <s v="PKG-012"/>
    <x v="11"/>
    <x v="0"/>
    <x v="2"/>
    <x v="2"/>
    <x v="0"/>
    <x v="658"/>
    <n v="316"/>
    <n v="450"/>
    <n v="0.14000000000000001"/>
    <x v="0"/>
    <n v="142200"/>
    <n v="122292"/>
    <s v="Medium"/>
  </r>
  <r>
    <x v="1381"/>
    <s v="PKG-005"/>
    <x v="4"/>
    <x v="0"/>
    <x v="1"/>
    <x v="3"/>
    <x v="0"/>
    <x v="659"/>
    <n v="429"/>
    <n v="200"/>
    <n v="0.13"/>
    <x v="0"/>
    <n v="85800"/>
    <n v="74646"/>
    <s v="Low"/>
  </r>
  <r>
    <x v="1382"/>
    <s v="PKG-013"/>
    <x v="10"/>
    <x v="2"/>
    <x v="1"/>
    <x v="4"/>
    <x v="3"/>
    <x v="659"/>
    <n v="373"/>
    <n v="820"/>
    <n v="0.11"/>
    <x v="0"/>
    <n v="305860"/>
    <n v="272215.40000000002"/>
    <s v="Medium"/>
  </r>
  <r>
    <x v="1383"/>
    <s v="PKG-002"/>
    <x v="1"/>
    <x v="1"/>
    <x v="3"/>
    <x v="0"/>
    <x v="4"/>
    <x v="659"/>
    <n v="276"/>
    <n v="350"/>
    <n v="0.13"/>
    <x v="0"/>
    <n v="96600"/>
    <n v="84042"/>
    <s v="Low"/>
  </r>
  <r>
    <x v="1384"/>
    <s v="PKG-005"/>
    <x v="4"/>
    <x v="0"/>
    <x v="0"/>
    <x v="4"/>
    <x v="2"/>
    <x v="660"/>
    <n v="279"/>
    <n v="200"/>
    <n v="0.11"/>
    <x v="0"/>
    <n v="55800"/>
    <n v="49662"/>
    <s v="Low"/>
  </r>
  <r>
    <x v="1385"/>
    <s v="PKG-004"/>
    <x v="3"/>
    <x v="0"/>
    <x v="2"/>
    <x v="4"/>
    <x v="0"/>
    <x v="660"/>
    <n v="136"/>
    <n v="1200"/>
    <n v="0.14000000000000001"/>
    <x v="0"/>
    <n v="163200"/>
    <n v="140352"/>
    <s v="Medium"/>
  </r>
  <r>
    <x v="1386"/>
    <s v="PKG-007"/>
    <x v="6"/>
    <x v="0"/>
    <x v="2"/>
    <x v="2"/>
    <x v="2"/>
    <x v="661"/>
    <n v="397"/>
    <n v="650"/>
    <n v="0"/>
    <x v="1"/>
    <n v="258050"/>
    <n v="258050"/>
    <s v="Medium"/>
  </r>
  <r>
    <x v="1387"/>
    <s v="PKG-006"/>
    <x v="5"/>
    <x v="2"/>
    <x v="3"/>
    <x v="4"/>
    <x v="3"/>
    <x v="662"/>
    <n v="135"/>
    <n v="895"/>
    <n v="0.1"/>
    <x v="1"/>
    <n v="120825"/>
    <n v="108742.5"/>
    <s v="Medium"/>
  </r>
  <r>
    <x v="1388"/>
    <s v="PKG-003"/>
    <x v="2"/>
    <x v="1"/>
    <x v="1"/>
    <x v="2"/>
    <x v="5"/>
    <x v="662"/>
    <n v="426"/>
    <n v="420"/>
    <n v="0.13"/>
    <x v="1"/>
    <n v="178920"/>
    <n v="155660.4"/>
    <s v="Medium"/>
  </r>
  <r>
    <x v="1389"/>
    <s v="PKG-003"/>
    <x v="2"/>
    <x v="1"/>
    <x v="4"/>
    <x v="1"/>
    <x v="1"/>
    <x v="663"/>
    <n v="291"/>
    <n v="420"/>
    <n v="0.14000000000000001"/>
    <x v="0"/>
    <n v="122220"/>
    <n v="105109.2"/>
    <s v="Medium"/>
  </r>
  <r>
    <x v="1390"/>
    <s v="PKG-010"/>
    <x v="9"/>
    <x v="2"/>
    <x v="1"/>
    <x v="0"/>
    <x v="5"/>
    <x v="663"/>
    <n v="345"/>
    <n v="750"/>
    <n v="0.14000000000000001"/>
    <x v="0"/>
    <n v="258750"/>
    <n v="222525"/>
    <s v="Medium"/>
  </r>
  <r>
    <x v="1391"/>
    <s v="PKG-009"/>
    <x v="8"/>
    <x v="1"/>
    <x v="0"/>
    <x v="0"/>
    <x v="4"/>
    <x v="663"/>
    <n v="308"/>
    <n v="280"/>
    <n v="0.03"/>
    <x v="0"/>
    <n v="86240"/>
    <n v="83652.800000000003"/>
    <s v="Low"/>
  </r>
  <r>
    <x v="1392"/>
    <s v="PKG-001"/>
    <x v="0"/>
    <x v="0"/>
    <x v="1"/>
    <x v="4"/>
    <x v="4"/>
    <x v="664"/>
    <n v="157"/>
    <n v="990"/>
    <n v="0.15"/>
    <x v="0"/>
    <n v="155430"/>
    <n v="132115.5"/>
    <s v="Medium"/>
  </r>
  <r>
    <x v="1393"/>
    <s v="PKG-004"/>
    <x v="3"/>
    <x v="0"/>
    <x v="4"/>
    <x v="1"/>
    <x v="4"/>
    <x v="664"/>
    <n v="39"/>
    <n v="1200"/>
    <n v="0.03"/>
    <x v="0"/>
    <n v="46800"/>
    <n v="45396"/>
    <s v="Low"/>
  </r>
  <r>
    <x v="1394"/>
    <s v="PKG-007"/>
    <x v="6"/>
    <x v="0"/>
    <x v="2"/>
    <x v="2"/>
    <x v="4"/>
    <x v="665"/>
    <n v="352"/>
    <n v="650"/>
    <n v="0.03"/>
    <x v="1"/>
    <n v="228800"/>
    <n v="221936"/>
    <s v="Medium"/>
  </r>
  <r>
    <x v="1395"/>
    <s v="PKG-002"/>
    <x v="1"/>
    <x v="1"/>
    <x v="4"/>
    <x v="2"/>
    <x v="2"/>
    <x v="665"/>
    <n v="211"/>
    <n v="350"/>
    <n v="0"/>
    <x v="1"/>
    <n v="73850"/>
    <n v="73850"/>
    <s v="Low"/>
  </r>
  <r>
    <x v="1396"/>
    <s v="PKG-003"/>
    <x v="2"/>
    <x v="1"/>
    <x v="4"/>
    <x v="0"/>
    <x v="0"/>
    <x v="665"/>
    <n v="372"/>
    <n v="420"/>
    <n v="0.05"/>
    <x v="0"/>
    <n v="156240"/>
    <n v="148428"/>
    <s v="Medium"/>
  </r>
  <r>
    <x v="1397"/>
    <s v="PKG-009"/>
    <x v="8"/>
    <x v="1"/>
    <x v="0"/>
    <x v="4"/>
    <x v="4"/>
    <x v="666"/>
    <n v="259"/>
    <n v="280"/>
    <n v="7.0000000000000007E-2"/>
    <x v="0"/>
    <n v="72520"/>
    <n v="67443.600000000006"/>
    <s v="Low"/>
  </r>
  <r>
    <x v="1398"/>
    <s v="PKG-013"/>
    <x v="10"/>
    <x v="2"/>
    <x v="4"/>
    <x v="3"/>
    <x v="5"/>
    <x v="666"/>
    <n v="311"/>
    <n v="820"/>
    <n v="0"/>
    <x v="1"/>
    <n v="255020"/>
    <n v="255020"/>
    <s v="Medium"/>
  </r>
  <r>
    <x v="1399"/>
    <s v="PKG-001"/>
    <x v="0"/>
    <x v="0"/>
    <x v="2"/>
    <x v="1"/>
    <x v="4"/>
    <x v="666"/>
    <n v="374"/>
    <n v="990"/>
    <n v="0.11"/>
    <x v="0"/>
    <n v="370260"/>
    <n v="329531.40000000002"/>
    <s v="Medium"/>
  </r>
  <r>
    <x v="1400"/>
    <s v="PKG-009"/>
    <x v="8"/>
    <x v="1"/>
    <x v="1"/>
    <x v="0"/>
    <x v="1"/>
    <x v="667"/>
    <n v="188"/>
    <n v="280"/>
    <n v="0"/>
    <x v="0"/>
    <n v="52640"/>
    <n v="52640"/>
    <s v="Low"/>
  </r>
  <r>
    <x v="1401"/>
    <s v="PKG-005"/>
    <x v="4"/>
    <x v="0"/>
    <x v="2"/>
    <x v="3"/>
    <x v="2"/>
    <x v="667"/>
    <n v="196"/>
    <n v="200"/>
    <n v="0.05"/>
    <x v="1"/>
    <n v="39200"/>
    <n v="37240"/>
    <s v="Low"/>
  </r>
  <r>
    <x v="1402"/>
    <s v="PKG-007"/>
    <x v="6"/>
    <x v="0"/>
    <x v="1"/>
    <x v="0"/>
    <x v="4"/>
    <x v="667"/>
    <n v="406"/>
    <n v="650"/>
    <n v="0"/>
    <x v="0"/>
    <n v="263900"/>
    <n v="263900"/>
    <s v="Medium"/>
  </r>
  <r>
    <x v="1403"/>
    <s v="PKG-006"/>
    <x v="5"/>
    <x v="2"/>
    <x v="4"/>
    <x v="3"/>
    <x v="4"/>
    <x v="668"/>
    <n v="228"/>
    <n v="895"/>
    <n v="0.12"/>
    <x v="0"/>
    <n v="204060"/>
    <n v="179572.8"/>
    <s v="Medium"/>
  </r>
  <r>
    <x v="1404"/>
    <s v="PKG-005"/>
    <x v="4"/>
    <x v="0"/>
    <x v="3"/>
    <x v="3"/>
    <x v="3"/>
    <x v="668"/>
    <n v="222"/>
    <n v="200"/>
    <n v="0.12"/>
    <x v="0"/>
    <n v="44400"/>
    <n v="39072"/>
    <s v="Low"/>
  </r>
  <r>
    <x v="1405"/>
    <s v="PKG-012"/>
    <x v="11"/>
    <x v="0"/>
    <x v="4"/>
    <x v="4"/>
    <x v="4"/>
    <x v="668"/>
    <n v="139"/>
    <n v="450"/>
    <n v="0.08"/>
    <x v="0"/>
    <n v="62550"/>
    <n v="57546"/>
    <s v="Low"/>
  </r>
  <r>
    <x v="1406"/>
    <s v="PKG-007"/>
    <x v="6"/>
    <x v="0"/>
    <x v="3"/>
    <x v="3"/>
    <x v="1"/>
    <x v="669"/>
    <n v="393"/>
    <n v="650"/>
    <n v="0.05"/>
    <x v="1"/>
    <n v="255450"/>
    <n v="242677.5"/>
    <s v="Medium"/>
  </r>
  <r>
    <x v="1407"/>
    <s v="PKG-002"/>
    <x v="1"/>
    <x v="1"/>
    <x v="0"/>
    <x v="4"/>
    <x v="3"/>
    <x v="670"/>
    <n v="252"/>
    <n v="350"/>
    <n v="0.13"/>
    <x v="0"/>
    <n v="88200"/>
    <n v="76734"/>
    <s v="Low"/>
  </r>
  <r>
    <x v="1408"/>
    <s v="PKG-004"/>
    <x v="3"/>
    <x v="0"/>
    <x v="0"/>
    <x v="4"/>
    <x v="0"/>
    <x v="671"/>
    <n v="223"/>
    <n v="1200"/>
    <n v="0.1"/>
    <x v="0"/>
    <n v="267600"/>
    <n v="240840"/>
    <s v="Medium"/>
  </r>
  <r>
    <x v="1409"/>
    <s v="PKG-013"/>
    <x v="10"/>
    <x v="2"/>
    <x v="2"/>
    <x v="4"/>
    <x v="2"/>
    <x v="671"/>
    <n v="176"/>
    <n v="820"/>
    <n v="0"/>
    <x v="0"/>
    <n v="144320"/>
    <n v="144320"/>
    <s v="Medium"/>
  </r>
  <r>
    <x v="1410"/>
    <s v="PKG-013"/>
    <x v="10"/>
    <x v="2"/>
    <x v="2"/>
    <x v="1"/>
    <x v="0"/>
    <x v="672"/>
    <n v="315"/>
    <n v="820"/>
    <n v="0"/>
    <x v="0"/>
    <n v="258300"/>
    <n v="258300"/>
    <s v="Medium"/>
  </r>
  <r>
    <x v="1411"/>
    <s v="PKG-006"/>
    <x v="5"/>
    <x v="2"/>
    <x v="1"/>
    <x v="4"/>
    <x v="5"/>
    <x v="672"/>
    <n v="198"/>
    <n v="895"/>
    <n v="0.1"/>
    <x v="1"/>
    <n v="177210"/>
    <n v="159489"/>
    <s v="Medium"/>
  </r>
  <r>
    <x v="1412"/>
    <s v="PKG-009"/>
    <x v="8"/>
    <x v="1"/>
    <x v="3"/>
    <x v="0"/>
    <x v="1"/>
    <x v="672"/>
    <n v="300"/>
    <n v="280"/>
    <n v="0.1"/>
    <x v="0"/>
    <n v="84000"/>
    <n v="75600"/>
    <s v="Low"/>
  </r>
  <r>
    <x v="1413"/>
    <s v="PKG-005"/>
    <x v="4"/>
    <x v="0"/>
    <x v="3"/>
    <x v="0"/>
    <x v="0"/>
    <x v="673"/>
    <n v="482"/>
    <n v="200"/>
    <n v="0.14000000000000001"/>
    <x v="0"/>
    <n v="96400"/>
    <n v="82904"/>
    <s v="Low"/>
  </r>
  <r>
    <x v="1414"/>
    <s v="PKG-010"/>
    <x v="9"/>
    <x v="2"/>
    <x v="4"/>
    <x v="0"/>
    <x v="3"/>
    <x v="673"/>
    <n v="299"/>
    <n v="750"/>
    <n v="0.05"/>
    <x v="0"/>
    <n v="224250"/>
    <n v="213037.5"/>
    <s v="Medium"/>
  </r>
  <r>
    <x v="1415"/>
    <s v="PKG-007"/>
    <x v="6"/>
    <x v="0"/>
    <x v="0"/>
    <x v="2"/>
    <x v="1"/>
    <x v="673"/>
    <n v="235"/>
    <n v="650"/>
    <n v="0.08"/>
    <x v="0"/>
    <n v="152750"/>
    <n v="140530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A5A40-3116-40A8-9500-999CC57819AF}" name="PivotTable23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9:R36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3"/>
        <item x="4"/>
        <item x="2"/>
        <item x="1"/>
        <item t="default"/>
      </items>
    </pivotField>
    <pivotField numFmtId="14" showAll="0">
      <items count="6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35"/>
        <item x="134"/>
        <item x="149"/>
        <item x="144"/>
        <item x="128"/>
        <item x="139"/>
        <item x="120"/>
        <item x="126"/>
        <item x="129"/>
        <item x="141"/>
        <item x="140"/>
        <item x="131"/>
        <item x="127"/>
        <item x="122"/>
        <item x="143"/>
        <item x="130"/>
        <item x="138"/>
        <item x="148"/>
        <item x="123"/>
        <item x="146"/>
        <item x="133"/>
        <item x="147"/>
        <item x="132"/>
        <item x="124"/>
        <item x="137"/>
        <item x="142"/>
        <item x="125"/>
        <item x="136"/>
        <item x="145"/>
        <item x="121"/>
        <item x="161"/>
        <item x="162"/>
        <item x="176"/>
        <item x="175"/>
        <item x="157"/>
        <item x="153"/>
        <item x="166"/>
        <item x="151"/>
        <item x="177"/>
        <item x="172"/>
        <item x="160"/>
        <item x="168"/>
        <item x="170"/>
        <item x="150"/>
        <item x="164"/>
        <item x="163"/>
        <item x="154"/>
        <item x="167"/>
        <item x="173"/>
        <item x="152"/>
        <item x="156"/>
        <item x="158"/>
        <item x="165"/>
        <item x="169"/>
        <item x="178"/>
        <item x="155"/>
        <item x="174"/>
        <item x="171"/>
        <item x="159"/>
        <item x="196"/>
        <item x="201"/>
        <item x="204"/>
        <item x="200"/>
        <item x="198"/>
        <item x="193"/>
        <item x="205"/>
        <item x="195"/>
        <item x="199"/>
        <item x="182"/>
        <item x="180"/>
        <item x="190"/>
        <item x="187"/>
        <item x="194"/>
        <item x="189"/>
        <item x="191"/>
        <item x="197"/>
        <item x="192"/>
        <item x="181"/>
        <item x="184"/>
        <item x="183"/>
        <item x="203"/>
        <item x="188"/>
        <item x="179"/>
        <item x="185"/>
        <item x="202"/>
        <item x="186"/>
        <item x="212"/>
        <item x="214"/>
        <item x="226"/>
        <item x="220"/>
        <item x="216"/>
        <item x="231"/>
        <item x="232"/>
        <item x="215"/>
        <item x="229"/>
        <item x="224"/>
        <item x="209"/>
        <item x="227"/>
        <item x="225"/>
        <item x="210"/>
        <item x="206"/>
        <item x="211"/>
        <item x="213"/>
        <item x="228"/>
        <item x="221"/>
        <item x="208"/>
        <item x="217"/>
        <item x="223"/>
        <item x="218"/>
        <item x="222"/>
        <item x="219"/>
        <item x="230"/>
        <item x="207"/>
        <item x="255"/>
        <item x="237"/>
        <item x="242"/>
        <item x="248"/>
        <item x="254"/>
        <item x="252"/>
        <item x="236"/>
        <item x="251"/>
        <item x="258"/>
        <item x="261"/>
        <item x="234"/>
        <item x="247"/>
        <item x="253"/>
        <item x="256"/>
        <item x="239"/>
        <item x="260"/>
        <item x="243"/>
        <item x="249"/>
        <item x="245"/>
        <item x="259"/>
        <item x="244"/>
        <item x="250"/>
        <item x="233"/>
        <item x="241"/>
        <item x="246"/>
        <item x="257"/>
        <item x="240"/>
        <item x="238"/>
        <item x="235"/>
        <item x="266"/>
        <item x="270"/>
        <item x="267"/>
        <item x="268"/>
        <item x="269"/>
        <item x="264"/>
        <item x="271"/>
        <item x="284"/>
        <item x="265"/>
        <item x="272"/>
        <item x="276"/>
        <item x="279"/>
        <item x="262"/>
        <item x="275"/>
        <item x="273"/>
        <item x="280"/>
        <item x="286"/>
        <item x="283"/>
        <item x="274"/>
        <item x="278"/>
        <item x="281"/>
        <item x="263"/>
        <item x="277"/>
        <item x="282"/>
        <item x="285"/>
        <item x="296"/>
        <item x="308"/>
        <item x="319"/>
        <item x="314"/>
        <item x="294"/>
        <item x="302"/>
        <item x="306"/>
        <item x="301"/>
        <item x="287"/>
        <item x="292"/>
        <item x="291"/>
        <item x="289"/>
        <item x="290"/>
        <item x="300"/>
        <item x="299"/>
        <item x="307"/>
        <item x="298"/>
        <item x="297"/>
        <item x="293"/>
        <item x="312"/>
        <item x="318"/>
        <item x="304"/>
        <item x="309"/>
        <item x="288"/>
        <item x="305"/>
        <item x="303"/>
        <item x="295"/>
        <item x="310"/>
        <item x="311"/>
        <item x="313"/>
        <item x="315"/>
        <item x="316"/>
        <item x="317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t="default"/>
      </items>
    </pivotField>
    <pivotField numFmtId="1" showAll="0"/>
    <pivotField numFmtId="165" showAll="0"/>
    <pivotField numFmtId="9" showAll="0"/>
    <pivotField axis="axisPage" showAll="0">
      <items count="3">
        <item x="0"/>
        <item x="1"/>
        <item t="default"/>
      </items>
    </pivotField>
    <pivotField numFmtId="168" showAll="0"/>
    <pivotField dataField="1" numFmtId="168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1" item="0" hier="-1"/>
  </pageFields>
  <dataFields count="1">
    <dataField name="Sum of Net Revenue (₦)" fld="13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AA9A0-A57C-4873-B9DE-40977525FE53}" name="PivotTable2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9:R15" firstHeaderRow="1" firstDataRow="1" firstDataCol="1" rowPageCount="1" colPageCount="1"/>
  <pivotFields count="18">
    <pivotField showAll="0"/>
    <pivotField showAll="0"/>
    <pivotField showAll="0"/>
    <pivotField showAll="0"/>
    <pivotField showAll="0"/>
    <pivotField axis="axisRow" showAll="0" sortType="de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6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35"/>
        <item x="134"/>
        <item x="149"/>
        <item x="144"/>
        <item x="128"/>
        <item x="139"/>
        <item x="120"/>
        <item x="126"/>
        <item x="129"/>
        <item x="141"/>
        <item x="140"/>
        <item x="131"/>
        <item x="127"/>
        <item x="122"/>
        <item x="143"/>
        <item x="130"/>
        <item x="138"/>
        <item x="148"/>
        <item x="123"/>
        <item x="146"/>
        <item x="133"/>
        <item x="147"/>
        <item x="132"/>
        <item x="124"/>
        <item x="137"/>
        <item x="142"/>
        <item x="125"/>
        <item x="136"/>
        <item x="145"/>
        <item x="121"/>
        <item x="161"/>
        <item x="162"/>
        <item x="176"/>
        <item x="175"/>
        <item x="157"/>
        <item x="153"/>
        <item x="166"/>
        <item x="151"/>
        <item x="177"/>
        <item x="172"/>
        <item x="160"/>
        <item x="168"/>
        <item x="170"/>
        <item x="150"/>
        <item x="164"/>
        <item x="163"/>
        <item x="154"/>
        <item x="167"/>
        <item x="173"/>
        <item x="152"/>
        <item x="156"/>
        <item x="158"/>
        <item x="165"/>
        <item x="169"/>
        <item x="178"/>
        <item x="155"/>
        <item x="174"/>
        <item x="171"/>
        <item x="159"/>
        <item x="196"/>
        <item x="201"/>
        <item x="204"/>
        <item x="200"/>
        <item x="198"/>
        <item x="193"/>
        <item x="205"/>
        <item x="195"/>
        <item x="199"/>
        <item x="182"/>
        <item x="180"/>
        <item x="190"/>
        <item x="187"/>
        <item x="194"/>
        <item x="189"/>
        <item x="191"/>
        <item x="197"/>
        <item x="192"/>
        <item x="181"/>
        <item x="184"/>
        <item x="183"/>
        <item x="203"/>
        <item x="188"/>
        <item x="179"/>
        <item x="185"/>
        <item x="202"/>
        <item x="186"/>
        <item x="212"/>
        <item x="214"/>
        <item x="226"/>
        <item x="220"/>
        <item x="216"/>
        <item x="231"/>
        <item x="232"/>
        <item x="215"/>
        <item x="229"/>
        <item x="224"/>
        <item x="209"/>
        <item x="227"/>
        <item x="225"/>
        <item x="210"/>
        <item x="206"/>
        <item x="211"/>
        <item x="213"/>
        <item x="228"/>
        <item x="221"/>
        <item x="208"/>
        <item x="217"/>
        <item x="223"/>
        <item x="218"/>
        <item x="222"/>
        <item x="219"/>
        <item x="230"/>
        <item x="207"/>
        <item x="255"/>
        <item x="237"/>
        <item x="242"/>
        <item x="248"/>
        <item x="254"/>
        <item x="252"/>
        <item x="236"/>
        <item x="251"/>
        <item x="258"/>
        <item x="261"/>
        <item x="234"/>
        <item x="247"/>
        <item x="253"/>
        <item x="256"/>
        <item x="239"/>
        <item x="260"/>
        <item x="243"/>
        <item x="249"/>
        <item x="245"/>
        <item x="259"/>
        <item x="244"/>
        <item x="250"/>
        <item x="233"/>
        <item x="241"/>
        <item x="246"/>
        <item x="257"/>
        <item x="240"/>
        <item x="238"/>
        <item x="235"/>
        <item x="266"/>
        <item x="270"/>
        <item x="267"/>
        <item x="268"/>
        <item x="269"/>
        <item x="264"/>
        <item x="271"/>
        <item x="284"/>
        <item x="265"/>
        <item x="272"/>
        <item x="276"/>
        <item x="279"/>
        <item x="262"/>
        <item x="275"/>
        <item x="273"/>
        <item x="280"/>
        <item x="286"/>
        <item x="283"/>
        <item x="274"/>
        <item x="278"/>
        <item x="281"/>
        <item x="263"/>
        <item x="277"/>
        <item x="282"/>
        <item x="285"/>
        <item x="296"/>
        <item x="308"/>
        <item x="319"/>
        <item x="314"/>
        <item x="294"/>
        <item x="302"/>
        <item x="306"/>
        <item x="301"/>
        <item x="287"/>
        <item x="292"/>
        <item x="291"/>
        <item x="289"/>
        <item x="290"/>
        <item x="300"/>
        <item x="299"/>
        <item x="307"/>
        <item x="298"/>
        <item x="297"/>
        <item x="293"/>
        <item x="312"/>
        <item x="318"/>
        <item x="304"/>
        <item x="309"/>
        <item x="288"/>
        <item x="305"/>
        <item x="303"/>
        <item x="295"/>
        <item x="310"/>
        <item x="311"/>
        <item x="313"/>
        <item x="315"/>
        <item x="316"/>
        <item x="317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t="default"/>
      </items>
    </pivotField>
    <pivotField numFmtId="1" showAll="0"/>
    <pivotField numFmtId="165" showAll="0"/>
    <pivotField numFmtId="9" showAll="0"/>
    <pivotField axis="axisPage" showAll="0">
      <items count="3">
        <item x="0"/>
        <item x="1"/>
        <item t="default"/>
      </items>
    </pivotField>
    <pivotField numFmtId="168" showAll="0"/>
    <pivotField dataField="1" numFmtId="168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6">
    <i>
      <x v="1"/>
    </i>
    <i>
      <x v="3"/>
    </i>
    <i>
      <x/>
    </i>
    <i>
      <x v="4"/>
    </i>
    <i>
      <x v="2"/>
    </i>
    <i t="grand">
      <x/>
    </i>
  </rowItems>
  <colItems count="1">
    <i/>
  </colItems>
  <pageFields count="1">
    <pageField fld="11" item="0" hier="-1"/>
  </pageFields>
  <dataFields count="1">
    <dataField name="Sum of Net Revenue (₦)" fld="13" baseField="0" baseItem="0" numFmtId="168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2906E-186A-42FE-8D06-37BE9FA71DDA}" name="PivotTable18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9:K35" firstHeaderRow="1" firstDataRow="1" firstDataCol="1" rowPageCount="1" colPageCount="1"/>
  <pivotFields count="18">
    <pivotField showAll="0"/>
    <pivotField showAll="0"/>
    <pivotField axis="axisRow" showAll="0" measureFilter="1" sortType="descending">
      <items count="14">
        <item x="8"/>
        <item x="2"/>
        <item x="3"/>
        <item x="6"/>
        <item x="0"/>
        <item x="5"/>
        <item x="9"/>
        <item x="10"/>
        <item x="4"/>
        <item x="12"/>
        <item x="7"/>
        <item x="1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>
      <items count="6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35"/>
        <item x="134"/>
        <item x="149"/>
        <item x="144"/>
        <item x="128"/>
        <item x="139"/>
        <item x="120"/>
        <item x="126"/>
        <item x="129"/>
        <item x="141"/>
        <item x="140"/>
        <item x="131"/>
        <item x="127"/>
        <item x="122"/>
        <item x="143"/>
        <item x="130"/>
        <item x="138"/>
        <item x="148"/>
        <item x="123"/>
        <item x="146"/>
        <item x="133"/>
        <item x="147"/>
        <item x="132"/>
        <item x="124"/>
        <item x="137"/>
        <item x="142"/>
        <item x="125"/>
        <item x="136"/>
        <item x="145"/>
        <item x="121"/>
        <item x="161"/>
        <item x="162"/>
        <item x="176"/>
        <item x="175"/>
        <item x="157"/>
        <item x="153"/>
        <item x="166"/>
        <item x="151"/>
        <item x="177"/>
        <item x="172"/>
        <item x="160"/>
        <item x="168"/>
        <item x="170"/>
        <item x="150"/>
        <item x="164"/>
        <item x="163"/>
        <item x="154"/>
        <item x="167"/>
        <item x="173"/>
        <item x="152"/>
        <item x="156"/>
        <item x="158"/>
        <item x="165"/>
        <item x="169"/>
        <item x="178"/>
        <item x="155"/>
        <item x="174"/>
        <item x="171"/>
        <item x="159"/>
        <item x="196"/>
        <item x="201"/>
        <item x="204"/>
        <item x="200"/>
        <item x="198"/>
        <item x="193"/>
        <item x="205"/>
        <item x="195"/>
        <item x="199"/>
        <item x="182"/>
        <item x="180"/>
        <item x="190"/>
        <item x="187"/>
        <item x="194"/>
        <item x="189"/>
        <item x="191"/>
        <item x="197"/>
        <item x="192"/>
        <item x="181"/>
        <item x="184"/>
        <item x="183"/>
        <item x="203"/>
        <item x="188"/>
        <item x="179"/>
        <item x="185"/>
        <item x="202"/>
        <item x="186"/>
        <item x="212"/>
        <item x="214"/>
        <item x="226"/>
        <item x="220"/>
        <item x="216"/>
        <item x="231"/>
        <item x="232"/>
        <item x="215"/>
        <item x="229"/>
        <item x="224"/>
        <item x="209"/>
        <item x="227"/>
        <item x="225"/>
        <item x="210"/>
        <item x="206"/>
        <item x="211"/>
        <item x="213"/>
        <item x="228"/>
        <item x="221"/>
        <item x="208"/>
        <item x="217"/>
        <item x="223"/>
        <item x="218"/>
        <item x="222"/>
        <item x="219"/>
        <item x="230"/>
        <item x="207"/>
        <item x="255"/>
        <item x="237"/>
        <item x="242"/>
        <item x="248"/>
        <item x="254"/>
        <item x="252"/>
        <item x="236"/>
        <item x="251"/>
        <item x="258"/>
        <item x="261"/>
        <item x="234"/>
        <item x="247"/>
        <item x="253"/>
        <item x="256"/>
        <item x="239"/>
        <item x="260"/>
        <item x="243"/>
        <item x="249"/>
        <item x="245"/>
        <item x="259"/>
        <item x="244"/>
        <item x="250"/>
        <item x="233"/>
        <item x="241"/>
        <item x="246"/>
        <item x="257"/>
        <item x="240"/>
        <item x="238"/>
        <item x="235"/>
        <item x="266"/>
        <item x="270"/>
        <item x="267"/>
        <item x="268"/>
        <item x="269"/>
        <item x="264"/>
        <item x="271"/>
        <item x="284"/>
        <item x="265"/>
        <item x="272"/>
        <item x="276"/>
        <item x="279"/>
        <item x="262"/>
        <item x="275"/>
        <item x="273"/>
        <item x="280"/>
        <item x="286"/>
        <item x="283"/>
        <item x="274"/>
        <item x="278"/>
        <item x="281"/>
        <item x="263"/>
        <item x="277"/>
        <item x="282"/>
        <item x="285"/>
        <item x="296"/>
        <item x="308"/>
        <item x="319"/>
        <item x="314"/>
        <item x="294"/>
        <item x="302"/>
        <item x="306"/>
        <item x="301"/>
        <item x="287"/>
        <item x="292"/>
        <item x="291"/>
        <item x="289"/>
        <item x="290"/>
        <item x="300"/>
        <item x="299"/>
        <item x="307"/>
        <item x="298"/>
        <item x="297"/>
        <item x="293"/>
        <item x="312"/>
        <item x="318"/>
        <item x="304"/>
        <item x="309"/>
        <item x="288"/>
        <item x="305"/>
        <item x="303"/>
        <item x="295"/>
        <item x="310"/>
        <item x="311"/>
        <item x="313"/>
        <item x="315"/>
        <item x="316"/>
        <item x="317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t="default"/>
      </items>
    </pivotField>
    <pivotField numFmtId="1" showAll="0"/>
    <pivotField numFmtId="165" showAll="0"/>
    <pivotField numFmtId="9" showAll="0"/>
    <pivotField axis="axisPage" showAll="0">
      <items count="3">
        <item x="0"/>
        <item x="1"/>
        <item t="default"/>
      </items>
    </pivotField>
    <pivotField numFmtId="168" showAll="0"/>
    <pivotField dataField="1" numFmtId="168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 v="10"/>
    </i>
    <i>
      <x v="2"/>
    </i>
    <i>
      <x v="5"/>
    </i>
    <i>
      <x v="4"/>
    </i>
    <i>
      <x v="6"/>
    </i>
    <i t="grand">
      <x/>
    </i>
  </rowItems>
  <colItems count="1">
    <i/>
  </colItems>
  <pageFields count="1">
    <pageField fld="11" item="0" hier="-1"/>
  </pageFields>
  <dataFields count="1">
    <dataField name="Sum of Net Revenue (₦)" fld="13" baseField="0" baseItem="0" numFmtId="169"/>
  </dataFields>
  <pivotTableStyleInfo name="PivotStyleLight19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8F4DF-F540-4527-8AFA-2EB8479F58DC}" name="PivotTable17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:K14" firstHeaderRow="1" firstDataRow="1" firstDataCol="1" rowPageCount="1" colPageCount="1"/>
  <pivotFields count="18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numFmtId="14" showAll="0">
      <items count="6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35"/>
        <item x="134"/>
        <item x="149"/>
        <item x="144"/>
        <item x="128"/>
        <item x="139"/>
        <item x="120"/>
        <item x="126"/>
        <item x="129"/>
        <item x="141"/>
        <item x="140"/>
        <item x="131"/>
        <item x="127"/>
        <item x="122"/>
        <item x="143"/>
        <item x="130"/>
        <item x="138"/>
        <item x="148"/>
        <item x="123"/>
        <item x="146"/>
        <item x="133"/>
        <item x="147"/>
        <item x="132"/>
        <item x="124"/>
        <item x="137"/>
        <item x="142"/>
        <item x="125"/>
        <item x="136"/>
        <item x="145"/>
        <item x="121"/>
        <item x="161"/>
        <item x="162"/>
        <item x="176"/>
        <item x="175"/>
        <item x="157"/>
        <item x="153"/>
        <item x="166"/>
        <item x="151"/>
        <item x="177"/>
        <item x="172"/>
        <item x="160"/>
        <item x="168"/>
        <item x="170"/>
        <item x="150"/>
        <item x="164"/>
        <item x="163"/>
        <item x="154"/>
        <item x="167"/>
        <item x="173"/>
        <item x="152"/>
        <item x="156"/>
        <item x="158"/>
        <item x="165"/>
        <item x="169"/>
        <item x="178"/>
        <item x="155"/>
        <item x="174"/>
        <item x="171"/>
        <item x="159"/>
        <item x="196"/>
        <item x="201"/>
        <item x="204"/>
        <item x="200"/>
        <item x="198"/>
        <item x="193"/>
        <item x="205"/>
        <item x="195"/>
        <item x="199"/>
        <item x="182"/>
        <item x="180"/>
        <item x="190"/>
        <item x="187"/>
        <item x="194"/>
        <item x="189"/>
        <item x="191"/>
        <item x="197"/>
        <item x="192"/>
        <item x="181"/>
        <item x="184"/>
        <item x="183"/>
        <item x="203"/>
        <item x="188"/>
        <item x="179"/>
        <item x="185"/>
        <item x="202"/>
        <item x="186"/>
        <item x="212"/>
        <item x="214"/>
        <item x="226"/>
        <item x="220"/>
        <item x="216"/>
        <item x="231"/>
        <item x="232"/>
        <item x="215"/>
        <item x="229"/>
        <item x="224"/>
        <item x="209"/>
        <item x="227"/>
        <item x="225"/>
        <item x="210"/>
        <item x="206"/>
        <item x="211"/>
        <item x="213"/>
        <item x="228"/>
        <item x="221"/>
        <item x="208"/>
        <item x="217"/>
        <item x="223"/>
        <item x="218"/>
        <item x="222"/>
        <item x="219"/>
        <item x="230"/>
        <item x="207"/>
        <item x="255"/>
        <item x="237"/>
        <item x="242"/>
        <item x="248"/>
        <item x="254"/>
        <item x="252"/>
        <item x="236"/>
        <item x="251"/>
        <item x="258"/>
        <item x="261"/>
        <item x="234"/>
        <item x="247"/>
        <item x="253"/>
        <item x="256"/>
        <item x="239"/>
        <item x="260"/>
        <item x="243"/>
        <item x="249"/>
        <item x="245"/>
        <item x="259"/>
        <item x="244"/>
        <item x="250"/>
        <item x="233"/>
        <item x="241"/>
        <item x="246"/>
        <item x="257"/>
        <item x="240"/>
        <item x="238"/>
        <item x="235"/>
        <item x="266"/>
        <item x="270"/>
        <item x="267"/>
        <item x="268"/>
        <item x="269"/>
        <item x="264"/>
        <item x="271"/>
        <item x="284"/>
        <item x="265"/>
        <item x="272"/>
        <item x="276"/>
        <item x="279"/>
        <item x="262"/>
        <item x="275"/>
        <item x="273"/>
        <item x="280"/>
        <item x="286"/>
        <item x="283"/>
        <item x="274"/>
        <item x="278"/>
        <item x="281"/>
        <item x="263"/>
        <item x="277"/>
        <item x="282"/>
        <item x="285"/>
        <item x="296"/>
        <item x="308"/>
        <item x="319"/>
        <item x="314"/>
        <item x="294"/>
        <item x="302"/>
        <item x="306"/>
        <item x="301"/>
        <item x="287"/>
        <item x="292"/>
        <item x="291"/>
        <item x="289"/>
        <item x="290"/>
        <item x="300"/>
        <item x="299"/>
        <item x="307"/>
        <item x="298"/>
        <item x="297"/>
        <item x="293"/>
        <item x="312"/>
        <item x="318"/>
        <item x="304"/>
        <item x="309"/>
        <item x="288"/>
        <item x="305"/>
        <item x="303"/>
        <item x="295"/>
        <item x="310"/>
        <item x="311"/>
        <item x="313"/>
        <item x="315"/>
        <item x="316"/>
        <item x="317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t="default"/>
      </items>
    </pivotField>
    <pivotField numFmtId="1" showAll="0"/>
    <pivotField numFmtId="165" showAll="0"/>
    <pivotField numFmtId="9" showAll="0"/>
    <pivotField axis="axisPage" showAll="0">
      <items count="3">
        <item x="0"/>
        <item x="1"/>
        <item t="default"/>
      </items>
    </pivotField>
    <pivotField numFmtId="168" showAll="0"/>
    <pivotField dataField="1" numFmtId="168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1" item="0" hier="-1"/>
  </pageFields>
  <dataFields count="1">
    <dataField name="Sum of Net Revenue (₦)" fld="13" baseField="0" baseItem="0" numFmtId="168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AAADD-2E74-4021-9EB8-B858EB27D0FB}" name="PivotTable16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1:D37" firstHeaderRow="1" firstDataRow="1" firstDataCol="1" rowPageCount="1" colPageCount="1"/>
  <pivotFields count="18"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6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35"/>
        <item x="134"/>
        <item x="149"/>
        <item x="144"/>
        <item x="128"/>
        <item x="139"/>
        <item x="120"/>
        <item x="126"/>
        <item x="129"/>
        <item x="141"/>
        <item x="140"/>
        <item x="131"/>
        <item x="127"/>
        <item x="122"/>
        <item x="143"/>
        <item x="130"/>
        <item x="138"/>
        <item x="148"/>
        <item x="123"/>
        <item x="146"/>
        <item x="133"/>
        <item x="147"/>
        <item x="132"/>
        <item x="124"/>
        <item x="137"/>
        <item x="142"/>
        <item x="125"/>
        <item x="136"/>
        <item x="145"/>
        <item x="121"/>
        <item x="161"/>
        <item x="162"/>
        <item x="176"/>
        <item x="175"/>
        <item x="157"/>
        <item x="153"/>
        <item x="166"/>
        <item x="151"/>
        <item x="177"/>
        <item x="172"/>
        <item x="160"/>
        <item x="168"/>
        <item x="170"/>
        <item x="150"/>
        <item x="164"/>
        <item x="163"/>
        <item x="154"/>
        <item x="167"/>
        <item x="173"/>
        <item x="152"/>
        <item x="156"/>
        <item x="158"/>
        <item x="165"/>
        <item x="169"/>
        <item x="178"/>
        <item x="155"/>
        <item x="174"/>
        <item x="171"/>
        <item x="159"/>
        <item x="196"/>
        <item x="201"/>
        <item x="204"/>
        <item x="200"/>
        <item x="198"/>
        <item x="193"/>
        <item x="205"/>
        <item x="195"/>
        <item x="199"/>
        <item x="182"/>
        <item x="180"/>
        <item x="190"/>
        <item x="187"/>
        <item x="194"/>
        <item x="189"/>
        <item x="191"/>
        <item x="197"/>
        <item x="192"/>
        <item x="181"/>
        <item x="184"/>
        <item x="183"/>
        <item x="203"/>
        <item x="188"/>
        <item x="179"/>
        <item x="185"/>
        <item x="202"/>
        <item x="186"/>
        <item x="212"/>
        <item x="214"/>
        <item x="226"/>
        <item x="220"/>
        <item x="216"/>
        <item x="231"/>
        <item x="232"/>
        <item x="215"/>
        <item x="229"/>
        <item x="224"/>
        <item x="209"/>
        <item x="227"/>
        <item x="225"/>
        <item x="210"/>
        <item x="206"/>
        <item x="211"/>
        <item x="213"/>
        <item x="228"/>
        <item x="221"/>
        <item x="208"/>
        <item x="217"/>
        <item x="223"/>
        <item x="218"/>
        <item x="222"/>
        <item x="219"/>
        <item x="230"/>
        <item x="207"/>
        <item x="255"/>
        <item x="237"/>
        <item x="242"/>
        <item x="248"/>
        <item x="254"/>
        <item x="252"/>
        <item x="236"/>
        <item x="251"/>
        <item x="258"/>
        <item x="261"/>
        <item x="234"/>
        <item x="247"/>
        <item x="253"/>
        <item x="256"/>
        <item x="239"/>
        <item x="260"/>
        <item x="243"/>
        <item x="249"/>
        <item x="245"/>
        <item x="259"/>
        <item x="244"/>
        <item x="250"/>
        <item x="233"/>
        <item x="241"/>
        <item x="246"/>
        <item x="257"/>
        <item x="240"/>
        <item x="238"/>
        <item x="235"/>
        <item x="266"/>
        <item x="270"/>
        <item x="267"/>
        <item x="268"/>
        <item x="269"/>
        <item x="264"/>
        <item x="271"/>
        <item x="284"/>
        <item x="265"/>
        <item x="272"/>
        <item x="276"/>
        <item x="279"/>
        <item x="262"/>
        <item x="275"/>
        <item x="273"/>
        <item x="280"/>
        <item x="286"/>
        <item x="283"/>
        <item x="274"/>
        <item x="278"/>
        <item x="281"/>
        <item x="263"/>
        <item x="277"/>
        <item x="282"/>
        <item x="285"/>
        <item x="296"/>
        <item x="308"/>
        <item x="319"/>
        <item x="314"/>
        <item x="294"/>
        <item x="302"/>
        <item x="306"/>
        <item x="301"/>
        <item x="287"/>
        <item x="292"/>
        <item x="291"/>
        <item x="289"/>
        <item x="290"/>
        <item x="300"/>
        <item x="299"/>
        <item x="307"/>
        <item x="298"/>
        <item x="297"/>
        <item x="293"/>
        <item x="312"/>
        <item x="318"/>
        <item x="304"/>
        <item x="309"/>
        <item x="288"/>
        <item x="305"/>
        <item x="303"/>
        <item x="295"/>
        <item x="310"/>
        <item x="311"/>
        <item x="313"/>
        <item x="315"/>
        <item x="316"/>
        <item x="317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t="default"/>
      </items>
    </pivotField>
    <pivotField numFmtId="1" showAll="0"/>
    <pivotField numFmtId="165" showAll="0"/>
    <pivotField numFmtId="9" showAll="0"/>
    <pivotField axis="axisPage" showAll="0">
      <items count="3">
        <item x="0"/>
        <item x="1"/>
        <item t="default"/>
      </items>
    </pivotField>
    <pivotField numFmtId="168" showAll="0"/>
    <pivotField dataField="1" numFmtId="168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 v="1"/>
    </i>
    <i>
      <x v="2"/>
    </i>
    <i>
      <x v="4"/>
    </i>
    <i>
      <x/>
    </i>
    <i>
      <x v="3"/>
    </i>
    <i t="grand">
      <x/>
    </i>
  </rowItems>
  <colItems count="1">
    <i/>
  </colItems>
  <pageFields count="1">
    <pageField fld="11" item="0" hier="-1"/>
  </pageFields>
  <dataFields count="1">
    <dataField name="Sum of Net Revenue (₦)" fld="13" baseField="0" baseItem="0" numFmtId="168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0A7B5-ACCE-48F6-9ABA-0A8E1639FB95}" name="PivotTable15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C9:G23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showAll="0"/>
    <pivotField showAll="0"/>
    <pivotField numFmtId="14" showAll="0">
      <items count="6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35"/>
        <item x="134"/>
        <item x="149"/>
        <item x="144"/>
        <item x="128"/>
        <item x="139"/>
        <item x="120"/>
        <item x="126"/>
        <item x="129"/>
        <item x="141"/>
        <item x="140"/>
        <item x="131"/>
        <item x="127"/>
        <item x="122"/>
        <item x="143"/>
        <item x="130"/>
        <item x="138"/>
        <item x="148"/>
        <item x="123"/>
        <item x="146"/>
        <item x="133"/>
        <item x="147"/>
        <item x="132"/>
        <item x="124"/>
        <item x="137"/>
        <item x="142"/>
        <item x="125"/>
        <item x="136"/>
        <item x="145"/>
        <item x="121"/>
        <item x="161"/>
        <item x="162"/>
        <item x="176"/>
        <item x="175"/>
        <item x="157"/>
        <item x="153"/>
        <item x="166"/>
        <item x="151"/>
        <item x="177"/>
        <item x="172"/>
        <item x="160"/>
        <item x="168"/>
        <item x="170"/>
        <item x="150"/>
        <item x="164"/>
        <item x="163"/>
        <item x="154"/>
        <item x="167"/>
        <item x="173"/>
        <item x="152"/>
        <item x="156"/>
        <item x="158"/>
        <item x="165"/>
        <item x="169"/>
        <item x="178"/>
        <item x="155"/>
        <item x="174"/>
        <item x="171"/>
        <item x="159"/>
        <item x="196"/>
        <item x="201"/>
        <item x="204"/>
        <item x="200"/>
        <item x="198"/>
        <item x="193"/>
        <item x="205"/>
        <item x="195"/>
        <item x="199"/>
        <item x="182"/>
        <item x="180"/>
        <item x="190"/>
        <item x="187"/>
        <item x="194"/>
        <item x="189"/>
        <item x="191"/>
        <item x="197"/>
        <item x="192"/>
        <item x="181"/>
        <item x="184"/>
        <item x="183"/>
        <item x="203"/>
        <item x="188"/>
        <item x="179"/>
        <item x="185"/>
        <item x="202"/>
        <item x="186"/>
        <item x="212"/>
        <item x="214"/>
        <item x="226"/>
        <item x="220"/>
        <item x="216"/>
        <item x="231"/>
        <item x="232"/>
        <item x="215"/>
        <item x="229"/>
        <item x="224"/>
        <item x="209"/>
        <item x="227"/>
        <item x="225"/>
        <item x="210"/>
        <item x="206"/>
        <item x="211"/>
        <item x="213"/>
        <item x="228"/>
        <item x="221"/>
        <item x="208"/>
        <item x="217"/>
        <item x="223"/>
        <item x="218"/>
        <item x="222"/>
        <item x="219"/>
        <item x="230"/>
        <item x="207"/>
        <item x="255"/>
        <item x="237"/>
        <item x="242"/>
        <item x="248"/>
        <item x="254"/>
        <item x="252"/>
        <item x="236"/>
        <item x="251"/>
        <item x="258"/>
        <item x="261"/>
        <item x="234"/>
        <item x="247"/>
        <item x="253"/>
        <item x="256"/>
        <item x="239"/>
        <item x="260"/>
        <item x="243"/>
        <item x="249"/>
        <item x="245"/>
        <item x="259"/>
        <item x="244"/>
        <item x="250"/>
        <item x="233"/>
        <item x="241"/>
        <item x="246"/>
        <item x="257"/>
        <item x="240"/>
        <item x="238"/>
        <item x="235"/>
        <item x="266"/>
        <item x="270"/>
        <item x="267"/>
        <item x="268"/>
        <item x="269"/>
        <item x="264"/>
        <item x="271"/>
        <item x="284"/>
        <item x="265"/>
        <item x="272"/>
        <item x="276"/>
        <item x="279"/>
        <item x="262"/>
        <item x="275"/>
        <item x="273"/>
        <item x="280"/>
        <item x="286"/>
        <item x="283"/>
        <item x="274"/>
        <item x="278"/>
        <item x="281"/>
        <item x="263"/>
        <item x="277"/>
        <item x="282"/>
        <item x="285"/>
        <item x="296"/>
        <item x="308"/>
        <item x="319"/>
        <item x="314"/>
        <item x="294"/>
        <item x="302"/>
        <item x="306"/>
        <item x="301"/>
        <item x="287"/>
        <item x="292"/>
        <item x="291"/>
        <item x="289"/>
        <item x="290"/>
        <item x="300"/>
        <item x="299"/>
        <item x="307"/>
        <item x="298"/>
        <item x="297"/>
        <item x="293"/>
        <item x="312"/>
        <item x="318"/>
        <item x="304"/>
        <item x="309"/>
        <item x="288"/>
        <item x="305"/>
        <item x="303"/>
        <item x="295"/>
        <item x="310"/>
        <item x="311"/>
        <item x="313"/>
        <item x="315"/>
        <item x="316"/>
        <item x="317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t="default"/>
      </items>
    </pivotField>
    <pivotField numFmtId="1" showAll="0"/>
    <pivotField numFmtId="165" showAll="0"/>
    <pivotField numFmtId="9" showAll="0"/>
    <pivotField axis="axisPage" showAll="0">
      <items count="3">
        <item x="0"/>
        <item x="1"/>
        <item t="default"/>
      </items>
    </pivotField>
    <pivotField numFmtId="168" showAll="0"/>
    <pivotField dataField="1" numFmtId="168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7"/>
  </colFields>
  <colItems count="4">
    <i>
      <x v="1"/>
    </i>
    <i>
      <x v="2"/>
    </i>
    <i>
      <x v="3"/>
    </i>
    <i t="grand">
      <x/>
    </i>
  </colItems>
  <pageFields count="1">
    <pageField fld="11" item="0" hier="-1"/>
  </pageFields>
  <dataFields count="1">
    <dataField name="Sum of Net Revenue (₦)" fld="13" baseField="0" baseItem="0" numFmtId="168"/>
  </dataFields>
  <chartFormats count="3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B34A6-E988-4F3E-B72A-895E447488A0}" name="old_data" displayName="old_data" ref="A1:O121" totalsRowShown="0">
  <autoFilter ref="A1:O121" xr:uid="{C79B34A6-E988-4F3E-B72A-895E447488A0}"/>
  <tableColumns count="15">
    <tableColumn id="1" xr3:uid="{F292F41E-03F3-4ED4-9D0B-84F0AECE8E8C}" name="Order ID"/>
    <tableColumn id="2" xr3:uid="{2F7AAE49-4144-4F92-8DAC-B3DC8F9EE545}" name="Product ID"/>
    <tableColumn id="3" xr3:uid="{98E6476C-AE96-4C4D-881D-5BB1B058CD94}" name="Product Name" dataDxfId="29"/>
    <tableColumn id="4" xr3:uid="{4865C806-81BC-4148-8FE9-6BB2727DC8F1}" name="Category" dataDxfId="28"/>
    <tableColumn id="17" xr3:uid="{32F5FB26-3AC1-4E8F-9C6C-DB997F2EF479}" name="Region" dataDxfId="27"/>
    <tableColumn id="19" xr3:uid="{62F3EB57-1095-4FFF-835F-902ECA609AE3}" name="Sales Channel" dataDxfId="26"/>
    <tableColumn id="21" xr3:uid="{29EF6C08-C669-4F12-A531-9A0496CD7948}" name="Sales Rep" dataDxfId="25"/>
    <tableColumn id="8" xr3:uid="{2F59375D-DB8A-479F-95C0-7C62026CDCA7}" name="Order Date" dataDxfId="24"/>
    <tableColumn id="25" xr3:uid="{7C246103-3D20-42B2-A066-737B47D6EF01}" name="Units Sold" dataDxfId="23"/>
    <tableColumn id="24" xr3:uid="{185E6831-018E-4DA7-AA9C-5E7F6A0A5DDA}" name="Unit Price (₦)" dataDxfId="22"/>
    <tableColumn id="27" xr3:uid="{90D67FC9-DC46-4AC5-A5DB-A0F3EB5646FF}" name="Discount (%)" dataCellStyle="Percent"/>
    <tableColumn id="29" xr3:uid="{A5E49AAD-4F1C-4FF8-A6AB-82AF720CF630}" name="Payment Status" dataDxfId="21"/>
    <tableColumn id="13" xr3:uid="{823F7001-9D11-4058-B634-6B4B91B98A6E}" name="Total Sales (₦)" dataDxfId="20"/>
    <tableColumn id="14" xr3:uid="{9ACF8963-3937-43C0-88BC-9169F82FB2B0}" name="Net Revenue (₦)" dataDxfId="19">
      <calculatedColumnFormula>old_data[[#This Row],[Total Sales (₦)]]*(1-old_data[[#This Row],[Discount (%)]])</calculatedColumnFormula>
    </tableColumn>
    <tableColumn id="15" xr3:uid="{ED4A3FEF-F580-4338-9BDF-6C89DB29A383}" name="Revenue Tier" dataDxfId="18">
      <calculatedColumnFormula>IF(old_data[[#This Row],[Net Revenue (₦)]]&gt;350000,"High",IF(old_data[[#This Row],[Net Revenue (₦)]]&gt;100000,"Medium","Low"))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C3FE2-B473-4E85-9EF6-DFCC30F290C9}" name="new_data" displayName="new_data" ref="A1:O1297" totalsRowShown="0" headerRowDxfId="49" dataDxfId="47" headerRowBorderDxfId="48" tableBorderDxfId="46" totalsRowBorderDxfId="45">
  <autoFilter ref="A1:O1297" xr:uid="{2BBC3FE2-B473-4E85-9EF6-DFCC30F290C9}"/>
  <sortState xmlns:xlrd2="http://schemas.microsoft.com/office/spreadsheetml/2017/richdata2" ref="A2:O1297">
    <sortCondition ref="A1:A1297"/>
  </sortState>
  <tableColumns count="15">
    <tableColumn id="1" xr3:uid="{DC531AB6-2C09-4BF3-846A-C194D0F30BF6}" name="Order ID" dataDxfId="44"/>
    <tableColumn id="2" xr3:uid="{41134B2B-C5C0-439B-ADF1-1C2DDFF8E5C2}" name="Product ID" dataDxfId="43"/>
    <tableColumn id="3" xr3:uid="{D832A151-985F-4325-B467-B267651C7E3A}" name="Product Name" dataDxfId="42"/>
    <tableColumn id="4" xr3:uid="{6A098E87-DD11-410B-9789-2A081A258314}" name="Category" dataDxfId="41"/>
    <tableColumn id="5" xr3:uid="{DF5156A2-5A18-402C-9C10-E23CB69F8DA9}" name="Region" dataDxfId="40"/>
    <tableColumn id="6" xr3:uid="{91DB7505-C51D-4050-A6DD-447BA6697FFF}" name="Sales Channel" dataDxfId="39"/>
    <tableColumn id="7" xr3:uid="{C6FEC317-895F-4879-8516-BCD9E3B474A6}" name="Sales Rep" dataDxfId="38"/>
    <tableColumn id="8" xr3:uid="{ADDF0ACA-46BA-4023-AE6C-D43489DB5A78}" name="Order Date" dataDxfId="37"/>
    <tableColumn id="9" xr3:uid="{341514B3-ED6F-4FFC-9AB5-B869711DD50E}" name="Units Sold" dataDxfId="36"/>
    <tableColumn id="10" xr3:uid="{C3457C18-8761-4649-8CCB-B1DF2D7EA21F}" name="Unit Price (₦)" dataDxfId="35"/>
    <tableColumn id="11" xr3:uid="{945F9033-F801-4A21-8C9F-2A207E044E4E}" name="Discount (%)" dataDxfId="34"/>
    <tableColumn id="12" xr3:uid="{F32FBE22-F9EB-45AE-A3CB-E1DA84D63AEF}" name="Payment Status" dataDxfId="33"/>
    <tableColumn id="13" xr3:uid="{905056F6-30E1-4BD0-BF53-790E9D826081}" name="Total Sales (₦)" dataDxfId="32"/>
    <tableColumn id="14" xr3:uid="{C41C0EAF-2724-4A66-BCA1-C6AC816D060C}" name="Net Revenue (₦)" dataDxfId="31"/>
    <tableColumn id="15" xr3:uid="{A04A5F31-7CA0-4CBF-A0CA-59356DC049E1}" name="Revenue Tier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3774C6-1976-4C14-A17E-FBD62EA707B7}" name="data" displayName="data" ref="A1:O1417" totalsRowShown="0" headerRowDxfId="11" dataDxfId="12" tableBorderDxfId="17">
  <autoFilter ref="A1:O1417" xr:uid="{B33774C6-1976-4C14-A17E-FBD62EA707B7}"/>
  <tableColumns count="15">
    <tableColumn id="1" xr3:uid="{66C91C87-D1BF-41AE-AC36-7D50558A8557}" name="Order ID" dataDxfId="16"/>
    <tableColumn id="2" xr3:uid="{DAAE40DA-32ED-4F90-81B9-72A9763FB245}" name="Product ID" dataDxfId="15"/>
    <tableColumn id="3" xr3:uid="{86F1DBA5-18CF-47B3-AA90-222E3EF8A504}" name="Product Name" dataDxfId="14"/>
    <tableColumn id="4" xr3:uid="{44A857E7-164A-48F2-9FFA-0C7B52E7DC82}" name="Category" dataDxfId="10"/>
    <tableColumn id="5" xr3:uid="{F394A689-BD2D-4C9D-BC0B-D726E0F3A135}" name="Region" dataDxfId="9"/>
    <tableColumn id="6" xr3:uid="{407BBB8B-769D-4C04-BACF-2BAF5E054C43}" name="Sales Channel" dataDxfId="8"/>
    <tableColumn id="7" xr3:uid="{46C0358F-5567-4654-ADD5-2F34FD4B5901}" name="Sales Rep" dataDxfId="7"/>
    <tableColumn id="8" xr3:uid="{1120A011-6B4D-4641-8419-8E7C978A37C5}" name="Order Date" dataDxfId="6"/>
    <tableColumn id="9" xr3:uid="{9A554424-F9E0-466D-A97E-0148C0C2F462}" name="Units Sold" dataDxfId="5"/>
    <tableColumn id="10" xr3:uid="{ECBF0BA5-1961-4371-8E8B-D0B605B23A51}" name="Unit Price (₦)" dataDxfId="4"/>
    <tableColumn id="11" xr3:uid="{5D70C4A4-8719-42D2-AADF-32B380DE3506}" name="Discount (%)" dataDxfId="13" dataCellStyle="Percent"/>
    <tableColumn id="12" xr3:uid="{37F4B858-612A-4719-8A76-0631271CB72D}" name="Payment Status" dataDxfId="1"/>
    <tableColumn id="13" xr3:uid="{C35EB94E-2869-4EF2-805B-C5DE3C82D871}" name="Total Sales (₦)" dataDxfId="3"/>
    <tableColumn id="14" xr3:uid="{C7B48CFA-BF9F-4CDE-B632-5408478E44C3}" name="Net Revenue (₦)" dataDxfId="2"/>
    <tableColumn id="15" xr3:uid="{3A512012-E1B8-4813-B777-89FBD1E84954}" name="Revenue Ti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"/>
  <sheetViews>
    <sheetView topLeftCell="I1" zoomScale="106" zoomScaleNormal="100" workbookViewId="0">
      <selection activeCell="G10" sqref="G10"/>
    </sheetView>
  </sheetViews>
  <sheetFormatPr defaultColWidth="8.6640625" defaultRowHeight="14.4" x14ac:dyDescent="0.3"/>
  <cols>
    <col min="1" max="1" width="9.21875" customWidth="1"/>
    <col min="2" max="2" width="9.5546875" customWidth="1"/>
    <col min="3" max="3" width="12.6640625" customWidth="1"/>
    <col min="4" max="4" width="13.6640625" customWidth="1"/>
    <col min="6" max="6" width="18.77734375" customWidth="1"/>
    <col min="7" max="7" width="14.44140625" customWidth="1"/>
    <col min="8" max="8" width="14.21875" customWidth="1"/>
    <col min="9" max="9" width="9.109375" customWidth="1"/>
    <col min="10" max="10" width="11.77734375" customWidth="1"/>
    <col min="11" max="11" width="11.21875" customWidth="1"/>
    <col min="12" max="12" width="13.77734375" customWidth="1"/>
    <col min="13" max="13" width="12.6640625" customWidth="1"/>
    <col min="14" max="14" width="14.44140625" customWidth="1"/>
    <col min="15" max="15" width="11.6640625" customWidth="1"/>
  </cols>
  <sheetData>
    <row r="1" spans="1:15" ht="14.2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4.25" customHeight="1" x14ac:dyDescent="0.3">
      <c r="A2" t="s">
        <v>15</v>
      </c>
      <c r="B2" t="s">
        <v>16</v>
      </c>
      <c r="D2" t="s">
        <v>17</v>
      </c>
      <c r="E2" t="s">
        <v>18</v>
      </c>
      <c r="F2" t="s">
        <v>19</v>
      </c>
      <c r="G2" t="s">
        <v>20</v>
      </c>
      <c r="H2" s="4">
        <v>45292</v>
      </c>
      <c r="I2" t="s">
        <v>21</v>
      </c>
      <c r="J2" t="s">
        <v>22</v>
      </c>
      <c r="K2">
        <v>0.12</v>
      </c>
      <c r="L2" t="s">
        <v>23</v>
      </c>
    </row>
    <row r="3" spans="1:15" ht="14.25" customHeight="1" x14ac:dyDescent="0.3">
      <c r="A3" t="s">
        <v>24</v>
      </c>
      <c r="B3" t="s">
        <v>25</v>
      </c>
      <c r="D3" t="s">
        <v>26</v>
      </c>
      <c r="E3" t="s">
        <v>27</v>
      </c>
      <c r="F3" t="s">
        <v>28</v>
      </c>
      <c r="G3" t="s">
        <v>29</v>
      </c>
      <c r="H3" s="4">
        <v>45293</v>
      </c>
      <c r="I3">
        <v>135</v>
      </c>
      <c r="J3">
        <v>350</v>
      </c>
      <c r="L3" t="s">
        <v>30</v>
      </c>
    </row>
    <row r="4" spans="1:15" ht="14.25" customHeight="1" x14ac:dyDescent="0.3">
      <c r="A4" t="s">
        <v>31</v>
      </c>
      <c r="B4" t="s">
        <v>32</v>
      </c>
      <c r="D4" t="s">
        <v>26</v>
      </c>
      <c r="E4" t="s">
        <v>33</v>
      </c>
      <c r="F4" t="s">
        <v>34</v>
      </c>
      <c r="G4" t="s">
        <v>35</v>
      </c>
      <c r="H4" s="4">
        <v>45294</v>
      </c>
      <c r="I4">
        <v>387</v>
      </c>
      <c r="J4">
        <v>420</v>
      </c>
      <c r="L4" t="s">
        <v>36</v>
      </c>
    </row>
    <row r="5" spans="1:15" ht="14.25" customHeight="1" x14ac:dyDescent="0.3">
      <c r="A5" t="s">
        <v>37</v>
      </c>
      <c r="B5" t="s">
        <v>38</v>
      </c>
      <c r="D5" t="s">
        <v>39</v>
      </c>
      <c r="E5" t="s">
        <v>40</v>
      </c>
      <c r="F5" t="s">
        <v>41</v>
      </c>
      <c r="G5" t="s">
        <v>42</v>
      </c>
      <c r="H5" s="4">
        <v>45295</v>
      </c>
      <c r="I5">
        <v>389</v>
      </c>
      <c r="J5">
        <v>1200</v>
      </c>
      <c r="K5">
        <v>0.03</v>
      </c>
      <c r="L5" t="s">
        <v>36</v>
      </c>
    </row>
    <row r="6" spans="1:15" ht="14.25" customHeight="1" x14ac:dyDescent="0.3">
      <c r="A6" t="s">
        <v>43</v>
      </c>
      <c r="B6" t="s">
        <v>44</v>
      </c>
      <c r="D6" t="s">
        <v>39</v>
      </c>
      <c r="E6" t="s">
        <v>45</v>
      </c>
      <c r="F6" t="s">
        <v>46</v>
      </c>
      <c r="G6" t="s">
        <v>47</v>
      </c>
      <c r="H6" s="4">
        <v>45296</v>
      </c>
      <c r="I6">
        <v>226</v>
      </c>
      <c r="J6">
        <v>200</v>
      </c>
      <c r="L6" t="s">
        <v>30</v>
      </c>
    </row>
    <row r="7" spans="1:15" ht="14.25" customHeight="1" x14ac:dyDescent="0.3">
      <c r="A7" t="s">
        <v>48</v>
      </c>
      <c r="B7" t="s">
        <v>49</v>
      </c>
      <c r="D7" t="s">
        <v>50</v>
      </c>
      <c r="E7" t="s">
        <v>51</v>
      </c>
      <c r="F7" t="s">
        <v>52</v>
      </c>
      <c r="G7" t="s">
        <v>53</v>
      </c>
      <c r="H7" s="4">
        <v>45297</v>
      </c>
      <c r="J7">
        <v>895</v>
      </c>
      <c r="L7" t="s">
        <v>36</v>
      </c>
      <c r="M7">
        <v>89500</v>
      </c>
    </row>
    <row r="8" spans="1:15" ht="14.25" customHeight="1" x14ac:dyDescent="0.3">
      <c r="A8" t="s">
        <v>54</v>
      </c>
      <c r="B8" t="s">
        <v>55</v>
      </c>
      <c r="D8" t="s">
        <v>39</v>
      </c>
      <c r="E8" t="s">
        <v>27</v>
      </c>
      <c r="F8" t="s">
        <v>28</v>
      </c>
      <c r="G8" t="s">
        <v>56</v>
      </c>
      <c r="H8" s="4">
        <v>45298</v>
      </c>
      <c r="I8">
        <v>268</v>
      </c>
      <c r="J8">
        <v>650</v>
      </c>
      <c r="K8">
        <v>0.09</v>
      </c>
      <c r="L8" t="s">
        <v>30</v>
      </c>
    </row>
    <row r="9" spans="1:15" ht="14.25" customHeight="1" x14ac:dyDescent="0.3">
      <c r="A9" t="s">
        <v>57</v>
      </c>
      <c r="B9" t="s">
        <v>58</v>
      </c>
      <c r="D9" t="s">
        <v>59</v>
      </c>
      <c r="E9" t="s">
        <v>33</v>
      </c>
      <c r="F9" t="s">
        <v>34</v>
      </c>
      <c r="G9" t="s">
        <v>29</v>
      </c>
      <c r="H9" s="4">
        <v>45299</v>
      </c>
      <c r="I9">
        <v>376</v>
      </c>
      <c r="J9">
        <v>2800</v>
      </c>
      <c r="L9" t="s">
        <v>36</v>
      </c>
    </row>
    <row r="10" spans="1:15" ht="14.25" customHeight="1" x14ac:dyDescent="0.3">
      <c r="A10" t="s">
        <v>60</v>
      </c>
      <c r="B10" t="s">
        <v>61</v>
      </c>
      <c r="D10" t="s">
        <v>26</v>
      </c>
      <c r="E10" t="s">
        <v>40</v>
      </c>
      <c r="F10" t="s">
        <v>41</v>
      </c>
      <c r="G10" t="s">
        <v>35</v>
      </c>
      <c r="H10" s="4">
        <v>45300</v>
      </c>
      <c r="I10">
        <v>289</v>
      </c>
      <c r="J10">
        <v>280</v>
      </c>
      <c r="L10" t="s">
        <v>36</v>
      </c>
    </row>
    <row r="11" spans="1:15" ht="14.25" customHeight="1" x14ac:dyDescent="0.3">
      <c r="A11" t="s">
        <v>62</v>
      </c>
      <c r="B11" t="s">
        <v>63</v>
      </c>
      <c r="D11" t="s">
        <v>50</v>
      </c>
      <c r="E11" t="s">
        <v>45</v>
      </c>
      <c r="F11" t="s">
        <v>46</v>
      </c>
      <c r="G11" t="s">
        <v>42</v>
      </c>
      <c r="H11" s="4">
        <v>45301</v>
      </c>
      <c r="I11">
        <v>239</v>
      </c>
      <c r="J11">
        <v>750</v>
      </c>
      <c r="K11">
        <v>0.13</v>
      </c>
      <c r="L11" t="s">
        <v>30</v>
      </c>
    </row>
    <row r="12" spans="1:15" ht="14.25" customHeight="1" x14ac:dyDescent="0.3">
      <c r="A12" t="s">
        <v>64</v>
      </c>
      <c r="B12" t="s">
        <v>16</v>
      </c>
      <c r="D12" t="s">
        <v>39</v>
      </c>
      <c r="E12" t="s">
        <v>51</v>
      </c>
      <c r="F12" t="s">
        <v>52</v>
      </c>
      <c r="G12" t="s">
        <v>47</v>
      </c>
      <c r="H12" s="4">
        <v>45302</v>
      </c>
      <c r="I12">
        <v>13</v>
      </c>
      <c r="J12">
        <v>990</v>
      </c>
      <c r="L12" t="s">
        <v>36</v>
      </c>
    </row>
    <row r="13" spans="1:15" ht="14.25" customHeight="1" x14ac:dyDescent="0.3">
      <c r="A13" t="s">
        <v>64</v>
      </c>
      <c r="B13" t="s">
        <v>16</v>
      </c>
      <c r="D13" t="s">
        <v>39</v>
      </c>
      <c r="E13" t="s">
        <v>51</v>
      </c>
      <c r="F13" t="s">
        <v>52</v>
      </c>
      <c r="G13" t="s">
        <v>47</v>
      </c>
      <c r="H13" s="4">
        <v>45303</v>
      </c>
      <c r="I13">
        <v>13</v>
      </c>
      <c r="J13">
        <v>990</v>
      </c>
      <c r="L13" t="s">
        <v>36</v>
      </c>
    </row>
    <row r="14" spans="1:15" ht="14.25" customHeight="1" x14ac:dyDescent="0.3">
      <c r="A14" t="s">
        <v>65</v>
      </c>
      <c r="B14" t="s">
        <v>25</v>
      </c>
      <c r="D14" t="s">
        <v>66</v>
      </c>
      <c r="E14" t="s">
        <v>67</v>
      </c>
      <c r="F14" t="s">
        <v>68</v>
      </c>
      <c r="G14" t="s">
        <v>69</v>
      </c>
      <c r="H14" s="4">
        <v>45304</v>
      </c>
      <c r="I14">
        <v>91</v>
      </c>
      <c r="J14">
        <v>350</v>
      </c>
      <c r="L14" t="s">
        <v>70</v>
      </c>
    </row>
    <row r="15" spans="1:15" ht="14.25" customHeight="1" x14ac:dyDescent="0.3">
      <c r="A15" t="s">
        <v>71</v>
      </c>
      <c r="B15" t="s">
        <v>32</v>
      </c>
      <c r="D15" t="s">
        <v>26</v>
      </c>
      <c r="E15" t="s">
        <v>33</v>
      </c>
      <c r="F15" t="s">
        <v>34</v>
      </c>
      <c r="G15" t="s">
        <v>56</v>
      </c>
      <c r="H15" s="4">
        <v>45305</v>
      </c>
      <c r="I15">
        <v>184</v>
      </c>
      <c r="K15">
        <v>0.05</v>
      </c>
      <c r="L15" t="s">
        <v>36</v>
      </c>
    </row>
    <row r="16" spans="1:15" ht="14.25" customHeight="1" x14ac:dyDescent="0.3">
      <c r="A16" t="s">
        <v>72</v>
      </c>
      <c r="B16" t="s">
        <v>38</v>
      </c>
      <c r="D16" t="s">
        <v>39</v>
      </c>
      <c r="E16" t="s">
        <v>40</v>
      </c>
      <c r="F16" t="s">
        <v>41</v>
      </c>
      <c r="G16" t="s">
        <v>29</v>
      </c>
      <c r="H16" s="4">
        <v>45306</v>
      </c>
      <c r="I16">
        <v>400</v>
      </c>
      <c r="J16">
        <v>1200</v>
      </c>
      <c r="L16" t="s">
        <v>36</v>
      </c>
    </row>
    <row r="17" spans="1:13" ht="14.25" customHeight="1" x14ac:dyDescent="0.3">
      <c r="A17" t="s">
        <v>73</v>
      </c>
      <c r="B17" t="s">
        <v>44</v>
      </c>
      <c r="D17" t="s">
        <v>39</v>
      </c>
      <c r="E17" t="s">
        <v>45</v>
      </c>
      <c r="F17" t="s">
        <v>46</v>
      </c>
      <c r="G17" t="s">
        <v>35</v>
      </c>
      <c r="H17" s="4">
        <v>45307</v>
      </c>
      <c r="I17">
        <v>57</v>
      </c>
      <c r="J17">
        <v>200</v>
      </c>
      <c r="L17" t="s">
        <v>30</v>
      </c>
    </row>
    <row r="18" spans="1:13" ht="14.25" customHeight="1" x14ac:dyDescent="0.3">
      <c r="A18" t="s">
        <v>74</v>
      </c>
      <c r="B18" t="s">
        <v>49</v>
      </c>
      <c r="D18" t="s">
        <v>50</v>
      </c>
      <c r="E18" t="s">
        <v>51</v>
      </c>
      <c r="F18" t="s">
        <v>52</v>
      </c>
      <c r="G18" t="s">
        <v>42</v>
      </c>
      <c r="H18" s="4">
        <v>45308</v>
      </c>
      <c r="I18">
        <v>193</v>
      </c>
      <c r="J18">
        <v>895</v>
      </c>
      <c r="K18">
        <v>0.1</v>
      </c>
      <c r="L18" t="s">
        <v>36</v>
      </c>
    </row>
    <row r="19" spans="1:13" ht="14.25" customHeight="1" x14ac:dyDescent="0.3">
      <c r="A19" t="s">
        <v>75</v>
      </c>
      <c r="B19" t="s">
        <v>55</v>
      </c>
      <c r="D19" t="s">
        <v>39</v>
      </c>
      <c r="E19" t="s">
        <v>27</v>
      </c>
      <c r="F19" t="s">
        <v>28</v>
      </c>
      <c r="G19" t="s">
        <v>47</v>
      </c>
      <c r="H19" s="4">
        <v>45309</v>
      </c>
      <c r="I19">
        <v>423</v>
      </c>
      <c r="J19">
        <v>650</v>
      </c>
      <c r="L19" t="s">
        <v>30</v>
      </c>
    </row>
    <row r="20" spans="1:13" ht="14.25" customHeight="1" x14ac:dyDescent="0.3">
      <c r="A20" t="s">
        <v>76</v>
      </c>
      <c r="B20" t="s">
        <v>58</v>
      </c>
      <c r="D20" t="s">
        <v>77</v>
      </c>
      <c r="E20" t="s">
        <v>78</v>
      </c>
      <c r="F20" t="s">
        <v>79</v>
      </c>
      <c r="G20" t="s">
        <v>80</v>
      </c>
      <c r="H20" s="4">
        <v>45310</v>
      </c>
      <c r="I20">
        <v>245</v>
      </c>
      <c r="J20">
        <v>2800</v>
      </c>
      <c r="L20" t="s">
        <v>23</v>
      </c>
    </row>
    <row r="21" spans="1:13" ht="14.25" customHeight="1" x14ac:dyDescent="0.3">
      <c r="A21" t="s">
        <v>81</v>
      </c>
      <c r="B21" t="s">
        <v>61</v>
      </c>
      <c r="D21" t="s">
        <v>26</v>
      </c>
      <c r="E21" t="s">
        <v>40</v>
      </c>
      <c r="F21" t="s">
        <v>41</v>
      </c>
      <c r="G21" t="s">
        <v>56</v>
      </c>
      <c r="H21" s="4">
        <v>45311</v>
      </c>
      <c r="I21">
        <v>482</v>
      </c>
      <c r="J21">
        <v>280</v>
      </c>
      <c r="K21">
        <v>0.09</v>
      </c>
      <c r="L21" t="s">
        <v>36</v>
      </c>
    </row>
    <row r="22" spans="1:13" ht="14.25" customHeight="1" x14ac:dyDescent="0.3">
      <c r="A22" t="s">
        <v>82</v>
      </c>
      <c r="B22" t="s">
        <v>63</v>
      </c>
      <c r="D22" t="s">
        <v>50</v>
      </c>
      <c r="E22" t="s">
        <v>45</v>
      </c>
      <c r="F22" t="s">
        <v>46</v>
      </c>
      <c r="G22" t="s">
        <v>29</v>
      </c>
      <c r="H22" s="4">
        <v>45312</v>
      </c>
      <c r="I22">
        <v>434</v>
      </c>
      <c r="J22" t="s">
        <v>83</v>
      </c>
      <c r="L22" t="s">
        <v>30</v>
      </c>
    </row>
    <row r="23" spans="1:13" ht="14.25" customHeight="1" x14ac:dyDescent="0.3">
      <c r="A23" t="s">
        <v>84</v>
      </c>
      <c r="B23" t="s">
        <v>16</v>
      </c>
      <c r="D23" t="s">
        <v>39</v>
      </c>
      <c r="E23" t="s">
        <v>51</v>
      </c>
      <c r="F23" t="s">
        <v>52</v>
      </c>
      <c r="G23" t="s">
        <v>35</v>
      </c>
      <c r="H23" s="4">
        <v>45313</v>
      </c>
      <c r="I23">
        <v>463</v>
      </c>
      <c r="J23">
        <v>990</v>
      </c>
      <c r="L23" t="s">
        <v>36</v>
      </c>
    </row>
    <row r="24" spans="1:13" ht="14.25" customHeight="1" x14ac:dyDescent="0.3">
      <c r="A24" t="s">
        <v>85</v>
      </c>
      <c r="B24" t="s">
        <v>25</v>
      </c>
      <c r="D24" t="s">
        <v>26</v>
      </c>
      <c r="E24" t="s">
        <v>27</v>
      </c>
      <c r="F24" t="s">
        <v>28</v>
      </c>
      <c r="G24" t="s">
        <v>42</v>
      </c>
      <c r="H24" s="4">
        <v>45314</v>
      </c>
      <c r="I24">
        <v>305</v>
      </c>
      <c r="J24">
        <v>350</v>
      </c>
      <c r="K24">
        <v>0.03</v>
      </c>
      <c r="L24" t="s">
        <v>30</v>
      </c>
    </row>
    <row r="25" spans="1:13" ht="14.25" customHeight="1" x14ac:dyDescent="0.3">
      <c r="A25" t="s">
        <v>86</v>
      </c>
      <c r="B25" t="s">
        <v>32</v>
      </c>
      <c r="D25" t="s">
        <v>66</v>
      </c>
      <c r="E25" t="s">
        <v>87</v>
      </c>
      <c r="F25" t="s">
        <v>88</v>
      </c>
      <c r="G25" t="s">
        <v>89</v>
      </c>
      <c r="H25" s="4">
        <v>45315</v>
      </c>
      <c r="J25">
        <v>420</v>
      </c>
      <c r="L25" t="s">
        <v>90</v>
      </c>
      <c r="M25">
        <v>63000</v>
      </c>
    </row>
    <row r="26" spans="1:13" ht="14.25" customHeight="1" x14ac:dyDescent="0.3">
      <c r="A26" t="s">
        <v>91</v>
      </c>
      <c r="B26" t="s">
        <v>38</v>
      </c>
      <c r="D26" t="s">
        <v>92</v>
      </c>
      <c r="E26" t="s">
        <v>93</v>
      </c>
      <c r="F26" t="s">
        <v>94</v>
      </c>
      <c r="G26" t="s">
        <v>95</v>
      </c>
      <c r="H26" s="4">
        <v>45316</v>
      </c>
      <c r="I26">
        <v>158</v>
      </c>
      <c r="J26">
        <v>1200</v>
      </c>
      <c r="L26" t="s">
        <v>96</v>
      </c>
    </row>
    <row r="27" spans="1:13" ht="14.25" customHeight="1" x14ac:dyDescent="0.3">
      <c r="A27" t="s">
        <v>97</v>
      </c>
      <c r="B27" t="s">
        <v>44</v>
      </c>
      <c r="D27" t="s">
        <v>39</v>
      </c>
      <c r="E27" t="s">
        <v>45</v>
      </c>
      <c r="F27" t="s">
        <v>46</v>
      </c>
      <c r="G27" t="s">
        <v>56</v>
      </c>
      <c r="H27" s="4">
        <v>45317</v>
      </c>
      <c r="I27">
        <v>447</v>
      </c>
      <c r="J27">
        <v>200</v>
      </c>
      <c r="K27">
        <v>0.03</v>
      </c>
      <c r="L27" t="s">
        <v>30</v>
      </c>
    </row>
    <row r="28" spans="1:13" ht="14.25" customHeight="1" x14ac:dyDescent="0.3">
      <c r="A28" t="s">
        <v>98</v>
      </c>
      <c r="B28" t="s">
        <v>49</v>
      </c>
      <c r="D28" t="s">
        <v>50</v>
      </c>
      <c r="E28" t="s">
        <v>51</v>
      </c>
      <c r="F28" t="s">
        <v>52</v>
      </c>
      <c r="G28" t="s">
        <v>29</v>
      </c>
      <c r="H28" s="4">
        <v>45318</v>
      </c>
      <c r="I28" t="s">
        <v>99</v>
      </c>
      <c r="J28">
        <v>895</v>
      </c>
      <c r="L28" t="s">
        <v>36</v>
      </c>
    </row>
    <row r="29" spans="1:13" ht="14.25" customHeight="1" x14ac:dyDescent="0.3">
      <c r="A29" t="s">
        <v>100</v>
      </c>
      <c r="B29" t="s">
        <v>55</v>
      </c>
      <c r="D29" t="s">
        <v>39</v>
      </c>
      <c r="E29" t="s">
        <v>27</v>
      </c>
      <c r="F29" t="s">
        <v>28</v>
      </c>
      <c r="G29" t="s">
        <v>35</v>
      </c>
      <c r="H29" s="4">
        <v>45319</v>
      </c>
      <c r="I29">
        <v>437</v>
      </c>
      <c r="J29">
        <v>650</v>
      </c>
      <c r="L29" t="s">
        <v>30</v>
      </c>
    </row>
    <row r="30" spans="1:13" ht="14.25" customHeight="1" x14ac:dyDescent="0.3">
      <c r="A30" t="s">
        <v>101</v>
      </c>
      <c r="B30" t="s">
        <v>58</v>
      </c>
      <c r="D30" t="s">
        <v>59</v>
      </c>
      <c r="E30" t="s">
        <v>33</v>
      </c>
      <c r="F30" t="s">
        <v>34</v>
      </c>
      <c r="G30" t="s">
        <v>42</v>
      </c>
      <c r="H30" s="4">
        <v>45320</v>
      </c>
      <c r="I30">
        <v>199</v>
      </c>
      <c r="J30">
        <v>2800</v>
      </c>
      <c r="K30">
        <v>0.11</v>
      </c>
      <c r="L30" t="s">
        <v>36</v>
      </c>
    </row>
    <row r="31" spans="1:13" ht="14.25" customHeight="1" x14ac:dyDescent="0.3">
      <c r="A31" t="s">
        <v>102</v>
      </c>
      <c r="B31" t="s">
        <v>61</v>
      </c>
      <c r="D31" t="s">
        <v>26</v>
      </c>
      <c r="E31" t="s">
        <v>40</v>
      </c>
      <c r="F31" t="s">
        <v>41</v>
      </c>
      <c r="G31" t="s">
        <v>47</v>
      </c>
      <c r="H31" s="4">
        <v>45321</v>
      </c>
      <c r="I31">
        <v>369</v>
      </c>
      <c r="J31">
        <v>280</v>
      </c>
      <c r="L31" t="s">
        <v>36</v>
      </c>
    </row>
    <row r="32" spans="1:13" ht="14.25" customHeight="1" x14ac:dyDescent="0.3">
      <c r="A32" t="s">
        <v>103</v>
      </c>
      <c r="B32" t="s">
        <v>63</v>
      </c>
      <c r="D32" t="s">
        <v>50</v>
      </c>
      <c r="E32" t="s">
        <v>45</v>
      </c>
      <c r="F32" t="s">
        <v>46</v>
      </c>
      <c r="G32" t="s">
        <v>53</v>
      </c>
      <c r="H32" s="4">
        <v>45322</v>
      </c>
      <c r="I32">
        <v>341</v>
      </c>
      <c r="J32">
        <v>750</v>
      </c>
      <c r="L32" t="s">
        <v>30</v>
      </c>
    </row>
    <row r="33" spans="1:13" ht="14.25" customHeight="1" x14ac:dyDescent="0.3">
      <c r="A33" t="s">
        <v>104</v>
      </c>
      <c r="B33" t="s">
        <v>16</v>
      </c>
      <c r="D33" t="s">
        <v>39</v>
      </c>
      <c r="E33" t="s">
        <v>51</v>
      </c>
      <c r="F33" t="s">
        <v>52</v>
      </c>
      <c r="G33" t="s">
        <v>56</v>
      </c>
      <c r="H33" s="4">
        <v>45323</v>
      </c>
      <c r="I33">
        <v>335</v>
      </c>
      <c r="J33">
        <v>990</v>
      </c>
      <c r="K33">
        <v>0.11</v>
      </c>
      <c r="L33" t="s">
        <v>36</v>
      </c>
    </row>
    <row r="34" spans="1:13" ht="14.25" customHeight="1" x14ac:dyDescent="0.3">
      <c r="A34" t="s">
        <v>105</v>
      </c>
      <c r="B34" t="s">
        <v>25</v>
      </c>
      <c r="D34" t="s">
        <v>26</v>
      </c>
      <c r="E34" t="s">
        <v>27</v>
      </c>
      <c r="F34" t="s">
        <v>28</v>
      </c>
      <c r="G34" t="s">
        <v>29</v>
      </c>
      <c r="H34" s="4">
        <v>45324</v>
      </c>
      <c r="I34">
        <v>93</v>
      </c>
      <c r="J34">
        <v>350</v>
      </c>
      <c r="L34" t="s">
        <v>30</v>
      </c>
    </row>
    <row r="35" spans="1:13" ht="14.25" customHeight="1" x14ac:dyDescent="0.3">
      <c r="A35" t="s">
        <v>106</v>
      </c>
      <c r="B35" t="s">
        <v>32</v>
      </c>
      <c r="D35" t="s">
        <v>26</v>
      </c>
      <c r="E35" t="s">
        <v>33</v>
      </c>
      <c r="F35" t="s">
        <v>34</v>
      </c>
      <c r="G35" t="s">
        <v>35</v>
      </c>
      <c r="H35" s="4">
        <v>45325</v>
      </c>
      <c r="I35">
        <v>148</v>
      </c>
      <c r="J35">
        <v>420</v>
      </c>
      <c r="L35" t="s">
        <v>36</v>
      </c>
    </row>
    <row r="36" spans="1:13" ht="14.25" customHeight="1" x14ac:dyDescent="0.3">
      <c r="A36" t="s">
        <v>107</v>
      </c>
      <c r="B36" t="s">
        <v>38</v>
      </c>
      <c r="D36" t="s">
        <v>108</v>
      </c>
      <c r="E36" t="s">
        <v>109</v>
      </c>
      <c r="F36" t="s">
        <v>110</v>
      </c>
      <c r="G36" t="s">
        <v>111</v>
      </c>
      <c r="H36" s="4">
        <v>45326</v>
      </c>
      <c r="I36">
        <v>337</v>
      </c>
      <c r="J36">
        <v>1200</v>
      </c>
      <c r="K36">
        <v>0.05</v>
      </c>
      <c r="L36" t="s">
        <v>90</v>
      </c>
    </row>
    <row r="37" spans="1:13" ht="14.25" customHeight="1" x14ac:dyDescent="0.3">
      <c r="A37" t="s">
        <v>112</v>
      </c>
      <c r="B37" t="s">
        <v>44</v>
      </c>
      <c r="D37" t="s">
        <v>17</v>
      </c>
      <c r="E37" t="s">
        <v>113</v>
      </c>
      <c r="F37" t="s">
        <v>114</v>
      </c>
      <c r="G37" t="s">
        <v>115</v>
      </c>
      <c r="H37" s="4">
        <v>45327</v>
      </c>
      <c r="I37">
        <v>176</v>
      </c>
      <c r="J37">
        <v>200</v>
      </c>
      <c r="L37" t="s">
        <v>116</v>
      </c>
    </row>
    <row r="38" spans="1:13" ht="14.25" customHeight="1" x14ac:dyDescent="0.3">
      <c r="A38" t="s">
        <v>117</v>
      </c>
      <c r="B38" t="s">
        <v>49</v>
      </c>
      <c r="D38" t="s">
        <v>50</v>
      </c>
      <c r="E38" t="s">
        <v>51</v>
      </c>
      <c r="F38" t="s">
        <v>52</v>
      </c>
      <c r="G38" t="s">
        <v>53</v>
      </c>
      <c r="H38" s="4">
        <v>45328</v>
      </c>
      <c r="I38">
        <v>407</v>
      </c>
      <c r="J38">
        <v>895</v>
      </c>
      <c r="L38" t="s">
        <v>36</v>
      </c>
    </row>
    <row r="39" spans="1:13" ht="14.25" customHeight="1" x14ac:dyDescent="0.3">
      <c r="A39" t="s">
        <v>118</v>
      </c>
      <c r="B39" t="s">
        <v>55</v>
      </c>
      <c r="D39" t="s">
        <v>39</v>
      </c>
      <c r="E39" t="s">
        <v>27</v>
      </c>
      <c r="F39" t="s">
        <v>28</v>
      </c>
      <c r="G39" t="s">
        <v>56</v>
      </c>
      <c r="H39" s="4">
        <v>45329</v>
      </c>
      <c r="I39">
        <v>430</v>
      </c>
      <c r="J39">
        <v>650</v>
      </c>
      <c r="K39">
        <v>0.06</v>
      </c>
      <c r="L39" t="s">
        <v>30</v>
      </c>
    </row>
    <row r="40" spans="1:13" ht="14.25" customHeight="1" x14ac:dyDescent="0.3">
      <c r="A40" t="s">
        <v>119</v>
      </c>
      <c r="B40" t="s">
        <v>58</v>
      </c>
      <c r="D40" t="s">
        <v>59</v>
      </c>
      <c r="E40" t="s">
        <v>33</v>
      </c>
      <c r="F40" t="s">
        <v>34</v>
      </c>
      <c r="G40" t="s">
        <v>29</v>
      </c>
      <c r="H40" s="4">
        <v>45330</v>
      </c>
      <c r="I40">
        <v>147</v>
      </c>
      <c r="J40">
        <v>2800</v>
      </c>
      <c r="L40" t="s">
        <v>36</v>
      </c>
    </row>
    <row r="41" spans="1:13" ht="14.25" customHeight="1" x14ac:dyDescent="0.3">
      <c r="A41" t="s">
        <v>120</v>
      </c>
      <c r="B41" t="s">
        <v>61</v>
      </c>
      <c r="D41" t="s">
        <v>26</v>
      </c>
      <c r="E41" t="s">
        <v>40</v>
      </c>
      <c r="F41" t="s">
        <v>41</v>
      </c>
      <c r="G41" t="s">
        <v>35</v>
      </c>
      <c r="H41" s="4">
        <v>45331</v>
      </c>
      <c r="J41" t="s">
        <v>121</v>
      </c>
      <c r="L41" t="s">
        <v>36</v>
      </c>
      <c r="M41">
        <v>17640</v>
      </c>
    </row>
    <row r="42" spans="1:13" ht="14.25" customHeight="1" x14ac:dyDescent="0.3">
      <c r="A42" t="s">
        <v>122</v>
      </c>
      <c r="B42" t="s">
        <v>63</v>
      </c>
      <c r="D42" t="s">
        <v>50</v>
      </c>
      <c r="E42" t="s">
        <v>45</v>
      </c>
      <c r="F42" t="s">
        <v>46</v>
      </c>
      <c r="G42" t="s">
        <v>42</v>
      </c>
      <c r="H42" s="4">
        <v>45332</v>
      </c>
      <c r="I42">
        <v>458</v>
      </c>
      <c r="J42">
        <v>750</v>
      </c>
      <c r="K42">
        <v>0.05</v>
      </c>
      <c r="L42" t="s">
        <v>30</v>
      </c>
    </row>
    <row r="43" spans="1:13" ht="14.25" customHeight="1" x14ac:dyDescent="0.3">
      <c r="A43" t="s">
        <v>123</v>
      </c>
      <c r="B43" t="s">
        <v>16</v>
      </c>
      <c r="D43" t="s">
        <v>39</v>
      </c>
      <c r="E43" t="s">
        <v>51</v>
      </c>
      <c r="F43" t="s">
        <v>52</v>
      </c>
      <c r="G43" t="s">
        <v>47</v>
      </c>
      <c r="H43" s="4">
        <v>45333</v>
      </c>
      <c r="I43">
        <v>265</v>
      </c>
      <c r="J43">
        <v>990</v>
      </c>
      <c r="L43" t="s">
        <v>36</v>
      </c>
    </row>
    <row r="44" spans="1:13" ht="14.25" customHeight="1" x14ac:dyDescent="0.3">
      <c r="A44" t="s">
        <v>124</v>
      </c>
      <c r="B44" t="s">
        <v>25</v>
      </c>
      <c r="D44" t="s">
        <v>26</v>
      </c>
      <c r="E44" t="s">
        <v>27</v>
      </c>
      <c r="F44" t="s">
        <v>28</v>
      </c>
      <c r="G44" t="s">
        <v>53</v>
      </c>
      <c r="H44" s="4">
        <v>45334</v>
      </c>
      <c r="I44">
        <v>478</v>
      </c>
      <c r="J44">
        <v>350</v>
      </c>
      <c r="L44" t="s">
        <v>30</v>
      </c>
    </row>
    <row r="45" spans="1:13" ht="14.25" customHeight="1" x14ac:dyDescent="0.3">
      <c r="A45" t="s">
        <v>125</v>
      </c>
      <c r="B45" t="s">
        <v>32</v>
      </c>
      <c r="D45" t="s">
        <v>26</v>
      </c>
      <c r="E45" t="s">
        <v>33</v>
      </c>
      <c r="F45" t="s">
        <v>34</v>
      </c>
      <c r="G45" t="s">
        <v>56</v>
      </c>
      <c r="H45" s="4">
        <v>45335</v>
      </c>
      <c r="I45">
        <v>83</v>
      </c>
      <c r="J45">
        <v>420</v>
      </c>
      <c r="K45">
        <v>0.05</v>
      </c>
      <c r="L45" t="s">
        <v>36</v>
      </c>
    </row>
    <row r="46" spans="1:13" ht="14.25" customHeight="1" x14ac:dyDescent="0.3">
      <c r="A46" t="s">
        <v>126</v>
      </c>
      <c r="B46" t="s">
        <v>38</v>
      </c>
      <c r="D46" t="s">
        <v>39</v>
      </c>
      <c r="E46" t="s">
        <v>40</v>
      </c>
      <c r="F46" t="s">
        <v>41</v>
      </c>
      <c r="G46" t="s">
        <v>29</v>
      </c>
      <c r="H46" s="4">
        <v>45336</v>
      </c>
      <c r="I46">
        <v>297</v>
      </c>
      <c r="J46">
        <v>1200</v>
      </c>
      <c r="L46" t="s">
        <v>36</v>
      </c>
    </row>
    <row r="47" spans="1:13" ht="14.25" customHeight="1" x14ac:dyDescent="0.3">
      <c r="A47" t="s">
        <v>127</v>
      </c>
      <c r="B47" t="s">
        <v>44</v>
      </c>
      <c r="D47" t="s">
        <v>108</v>
      </c>
      <c r="E47" t="s">
        <v>128</v>
      </c>
      <c r="F47" t="s">
        <v>129</v>
      </c>
      <c r="G47" t="s">
        <v>130</v>
      </c>
      <c r="H47" s="4">
        <v>45337</v>
      </c>
      <c r="I47">
        <v>392</v>
      </c>
      <c r="L47" t="s">
        <v>70</v>
      </c>
    </row>
    <row r="48" spans="1:13" ht="14.25" customHeight="1" x14ac:dyDescent="0.3">
      <c r="A48" t="s">
        <v>131</v>
      </c>
      <c r="B48" t="s">
        <v>49</v>
      </c>
      <c r="D48" t="s">
        <v>50</v>
      </c>
      <c r="E48" t="s">
        <v>51</v>
      </c>
      <c r="F48" t="s">
        <v>52</v>
      </c>
      <c r="G48" t="s">
        <v>42</v>
      </c>
      <c r="H48" s="4">
        <v>45338</v>
      </c>
      <c r="I48">
        <v>469</v>
      </c>
      <c r="J48">
        <v>895</v>
      </c>
      <c r="K48">
        <v>7.0000000000000007E-2</v>
      </c>
      <c r="L48" t="s">
        <v>36</v>
      </c>
    </row>
    <row r="49" spans="1:13" ht="14.25" customHeight="1" x14ac:dyDescent="0.3">
      <c r="A49" t="s">
        <v>131</v>
      </c>
      <c r="B49" t="s">
        <v>49</v>
      </c>
      <c r="D49" t="s">
        <v>50</v>
      </c>
      <c r="E49" t="s">
        <v>51</v>
      </c>
      <c r="F49" t="s">
        <v>52</v>
      </c>
      <c r="G49" t="s">
        <v>42</v>
      </c>
      <c r="H49" s="4">
        <v>45339</v>
      </c>
      <c r="I49">
        <v>469</v>
      </c>
      <c r="J49">
        <v>895</v>
      </c>
      <c r="K49">
        <v>7.0000000000000007E-2</v>
      </c>
      <c r="L49" t="s">
        <v>36</v>
      </c>
    </row>
    <row r="50" spans="1:13" ht="14.25" customHeight="1" x14ac:dyDescent="0.3">
      <c r="A50" t="s">
        <v>132</v>
      </c>
      <c r="B50" t="s">
        <v>55</v>
      </c>
      <c r="D50" t="s">
        <v>92</v>
      </c>
      <c r="E50" t="s">
        <v>133</v>
      </c>
      <c r="F50" t="s">
        <v>134</v>
      </c>
      <c r="G50" t="s">
        <v>135</v>
      </c>
      <c r="H50" s="4">
        <v>45340</v>
      </c>
      <c r="I50">
        <v>80</v>
      </c>
      <c r="J50">
        <v>650</v>
      </c>
      <c r="L50" t="s">
        <v>136</v>
      </c>
    </row>
    <row r="51" spans="1:13" ht="14.25" customHeight="1" x14ac:dyDescent="0.3">
      <c r="A51" t="s">
        <v>137</v>
      </c>
      <c r="B51" t="s">
        <v>58</v>
      </c>
      <c r="D51" t="s">
        <v>59</v>
      </c>
      <c r="E51" t="s">
        <v>33</v>
      </c>
      <c r="F51" t="s">
        <v>34</v>
      </c>
      <c r="G51" t="s">
        <v>53</v>
      </c>
      <c r="H51" s="4">
        <v>45341</v>
      </c>
      <c r="I51">
        <v>56</v>
      </c>
      <c r="J51">
        <v>2800</v>
      </c>
      <c r="L51" t="s">
        <v>36</v>
      </c>
    </row>
    <row r="52" spans="1:13" ht="14.25" customHeight="1" x14ac:dyDescent="0.3">
      <c r="A52" t="s">
        <v>138</v>
      </c>
      <c r="B52" t="s">
        <v>61</v>
      </c>
      <c r="D52" t="s">
        <v>26</v>
      </c>
      <c r="E52" t="s">
        <v>40</v>
      </c>
      <c r="F52" t="s">
        <v>41</v>
      </c>
      <c r="G52" t="s">
        <v>56</v>
      </c>
      <c r="H52" s="4">
        <v>45342</v>
      </c>
      <c r="I52">
        <v>450</v>
      </c>
      <c r="J52">
        <v>280</v>
      </c>
      <c r="K52">
        <v>0.1</v>
      </c>
      <c r="L52" t="s">
        <v>36</v>
      </c>
    </row>
    <row r="53" spans="1:13" ht="14.25" customHeight="1" x14ac:dyDescent="0.3">
      <c r="A53" t="s">
        <v>139</v>
      </c>
      <c r="B53" t="s">
        <v>63</v>
      </c>
      <c r="D53" t="s">
        <v>50</v>
      </c>
      <c r="E53" t="s">
        <v>45</v>
      </c>
      <c r="F53" t="s">
        <v>46</v>
      </c>
      <c r="G53" t="s">
        <v>29</v>
      </c>
      <c r="H53" s="4">
        <v>45343</v>
      </c>
      <c r="I53">
        <v>415</v>
      </c>
      <c r="J53">
        <v>750</v>
      </c>
      <c r="L53" t="s">
        <v>30</v>
      </c>
    </row>
    <row r="54" spans="1:13" ht="14.25" customHeight="1" x14ac:dyDescent="0.3">
      <c r="A54" t="s">
        <v>140</v>
      </c>
      <c r="B54" t="s">
        <v>16</v>
      </c>
      <c r="D54" t="s">
        <v>39</v>
      </c>
      <c r="E54" t="s">
        <v>51</v>
      </c>
      <c r="F54" t="s">
        <v>52</v>
      </c>
      <c r="G54" t="s">
        <v>35</v>
      </c>
      <c r="H54" s="4">
        <v>45344</v>
      </c>
      <c r="I54" t="s">
        <v>141</v>
      </c>
      <c r="J54">
        <v>990</v>
      </c>
      <c r="L54" t="s">
        <v>36</v>
      </c>
    </row>
    <row r="55" spans="1:13" ht="14.25" customHeight="1" x14ac:dyDescent="0.3">
      <c r="A55" t="s">
        <v>142</v>
      </c>
      <c r="B55" t="s">
        <v>25</v>
      </c>
      <c r="D55" t="s">
        <v>143</v>
      </c>
      <c r="E55" t="s">
        <v>144</v>
      </c>
      <c r="F55" t="s">
        <v>145</v>
      </c>
      <c r="G55" t="s">
        <v>146</v>
      </c>
      <c r="H55" s="4">
        <v>45345</v>
      </c>
      <c r="I55">
        <v>205</v>
      </c>
      <c r="J55">
        <v>350</v>
      </c>
      <c r="K55">
        <v>0.08</v>
      </c>
      <c r="L55" t="s">
        <v>116</v>
      </c>
    </row>
    <row r="56" spans="1:13" ht="14.25" customHeight="1" x14ac:dyDescent="0.3">
      <c r="A56" t="s">
        <v>147</v>
      </c>
      <c r="B56" t="s">
        <v>32</v>
      </c>
      <c r="D56" t="s">
        <v>26</v>
      </c>
      <c r="E56" t="s">
        <v>33</v>
      </c>
      <c r="F56" t="s">
        <v>34</v>
      </c>
      <c r="G56" t="s">
        <v>47</v>
      </c>
      <c r="H56" s="4">
        <v>45346</v>
      </c>
      <c r="I56">
        <v>138</v>
      </c>
      <c r="J56">
        <v>420</v>
      </c>
      <c r="L56" t="s">
        <v>36</v>
      </c>
    </row>
    <row r="57" spans="1:13" ht="14.25" customHeight="1" x14ac:dyDescent="0.3">
      <c r="A57" t="s">
        <v>148</v>
      </c>
      <c r="B57" t="s">
        <v>38</v>
      </c>
      <c r="D57" t="s">
        <v>39</v>
      </c>
      <c r="E57" t="s">
        <v>40</v>
      </c>
      <c r="F57" t="s">
        <v>41</v>
      </c>
      <c r="G57" t="s">
        <v>53</v>
      </c>
      <c r="H57" s="4">
        <v>45347</v>
      </c>
      <c r="I57">
        <v>450</v>
      </c>
      <c r="J57">
        <v>1200</v>
      </c>
      <c r="L57" t="s">
        <v>36</v>
      </c>
    </row>
    <row r="58" spans="1:13" ht="14.25" customHeight="1" x14ac:dyDescent="0.3">
      <c r="A58" t="s">
        <v>149</v>
      </c>
      <c r="B58" t="s">
        <v>44</v>
      </c>
      <c r="D58" t="s">
        <v>39</v>
      </c>
      <c r="E58" t="s">
        <v>45</v>
      </c>
      <c r="F58" t="s">
        <v>46</v>
      </c>
      <c r="G58" t="s">
        <v>56</v>
      </c>
      <c r="H58" s="4">
        <v>45348</v>
      </c>
      <c r="I58">
        <v>358</v>
      </c>
      <c r="J58">
        <v>200</v>
      </c>
      <c r="K58">
        <v>0.11</v>
      </c>
      <c r="L58" t="s">
        <v>30</v>
      </c>
    </row>
    <row r="59" spans="1:13" ht="14.25" customHeight="1" x14ac:dyDescent="0.3">
      <c r="A59" t="s">
        <v>150</v>
      </c>
      <c r="B59" t="s">
        <v>49</v>
      </c>
      <c r="D59" t="s">
        <v>151</v>
      </c>
      <c r="E59" t="s">
        <v>152</v>
      </c>
      <c r="F59" t="s">
        <v>153</v>
      </c>
      <c r="G59" t="s">
        <v>154</v>
      </c>
      <c r="H59" s="4">
        <v>45349</v>
      </c>
      <c r="J59">
        <v>895</v>
      </c>
      <c r="L59" t="s">
        <v>90</v>
      </c>
      <c r="M59">
        <v>143200</v>
      </c>
    </row>
    <row r="60" spans="1:13" ht="14.25" customHeight="1" x14ac:dyDescent="0.3">
      <c r="A60" t="s">
        <v>155</v>
      </c>
      <c r="B60" t="s">
        <v>55</v>
      </c>
      <c r="D60" t="s">
        <v>39</v>
      </c>
      <c r="E60" t="s">
        <v>27</v>
      </c>
      <c r="F60" t="s">
        <v>28</v>
      </c>
      <c r="G60" t="s">
        <v>35</v>
      </c>
      <c r="H60" s="4">
        <v>45350</v>
      </c>
      <c r="I60">
        <v>403</v>
      </c>
      <c r="J60">
        <v>650</v>
      </c>
      <c r="L60" t="s">
        <v>30</v>
      </c>
    </row>
    <row r="61" spans="1:13" ht="14.25" customHeight="1" x14ac:dyDescent="0.3">
      <c r="A61" t="s">
        <v>156</v>
      </c>
      <c r="B61" t="s">
        <v>58</v>
      </c>
      <c r="D61" t="s">
        <v>59</v>
      </c>
      <c r="E61" t="s">
        <v>33</v>
      </c>
      <c r="F61" t="s">
        <v>34</v>
      </c>
      <c r="G61" t="s">
        <v>42</v>
      </c>
      <c r="H61" s="4">
        <v>45351</v>
      </c>
      <c r="I61">
        <v>67</v>
      </c>
      <c r="J61" t="s">
        <v>157</v>
      </c>
      <c r="K61">
        <v>0.04</v>
      </c>
      <c r="L61" t="s">
        <v>36</v>
      </c>
    </row>
    <row r="62" spans="1:13" ht="14.25" customHeight="1" x14ac:dyDescent="0.3">
      <c r="A62" t="s">
        <v>158</v>
      </c>
      <c r="B62" t="s">
        <v>61</v>
      </c>
      <c r="D62" t="s">
        <v>26</v>
      </c>
      <c r="E62" t="s">
        <v>40</v>
      </c>
      <c r="F62" t="s">
        <v>41</v>
      </c>
      <c r="G62" t="s">
        <v>47</v>
      </c>
      <c r="H62" s="4">
        <v>45352</v>
      </c>
      <c r="I62">
        <v>11</v>
      </c>
      <c r="J62">
        <v>280</v>
      </c>
      <c r="L62" t="s">
        <v>36</v>
      </c>
    </row>
    <row r="63" spans="1:13" ht="14.25" customHeight="1" x14ac:dyDescent="0.3">
      <c r="A63" t="s">
        <v>159</v>
      </c>
      <c r="B63" t="s">
        <v>63</v>
      </c>
      <c r="D63" t="s">
        <v>50</v>
      </c>
      <c r="E63" t="s">
        <v>45</v>
      </c>
      <c r="F63" t="s">
        <v>46</v>
      </c>
      <c r="G63" t="s">
        <v>53</v>
      </c>
      <c r="H63" s="4">
        <v>45353</v>
      </c>
      <c r="I63">
        <v>458</v>
      </c>
      <c r="J63">
        <v>750</v>
      </c>
      <c r="L63" t="s">
        <v>30</v>
      </c>
    </row>
    <row r="64" spans="1:13" ht="14.25" customHeight="1" x14ac:dyDescent="0.3">
      <c r="A64" t="s">
        <v>160</v>
      </c>
      <c r="B64" t="s">
        <v>16</v>
      </c>
      <c r="D64" t="s">
        <v>39</v>
      </c>
      <c r="E64" t="s">
        <v>51</v>
      </c>
      <c r="F64" t="s">
        <v>52</v>
      </c>
      <c r="G64" t="s">
        <v>56</v>
      </c>
      <c r="H64" s="4">
        <v>45354</v>
      </c>
      <c r="I64">
        <v>266</v>
      </c>
      <c r="J64">
        <v>990</v>
      </c>
      <c r="K64">
        <v>0.09</v>
      </c>
      <c r="L64" t="s">
        <v>36</v>
      </c>
    </row>
    <row r="65" spans="1:13" ht="14.25" customHeight="1" x14ac:dyDescent="0.3">
      <c r="A65" t="s">
        <v>161</v>
      </c>
      <c r="B65" t="s">
        <v>25</v>
      </c>
      <c r="D65" t="s">
        <v>26</v>
      </c>
      <c r="E65" t="s">
        <v>27</v>
      </c>
      <c r="F65" t="s">
        <v>28</v>
      </c>
      <c r="G65" t="s">
        <v>29</v>
      </c>
      <c r="H65" s="4">
        <v>45355</v>
      </c>
      <c r="I65">
        <v>64</v>
      </c>
      <c r="J65">
        <v>350</v>
      </c>
      <c r="L65" t="s">
        <v>30</v>
      </c>
    </row>
    <row r="66" spans="1:13" ht="14.25" customHeight="1" x14ac:dyDescent="0.3">
      <c r="A66" t="s">
        <v>162</v>
      </c>
      <c r="B66" t="s">
        <v>32</v>
      </c>
      <c r="D66" t="s">
        <v>26</v>
      </c>
      <c r="E66" t="s">
        <v>33</v>
      </c>
      <c r="F66" t="s">
        <v>34</v>
      </c>
      <c r="G66" t="s">
        <v>35</v>
      </c>
      <c r="H66" s="4">
        <v>45356</v>
      </c>
      <c r="I66">
        <v>162</v>
      </c>
      <c r="J66">
        <v>420</v>
      </c>
      <c r="L66" t="s">
        <v>36</v>
      </c>
    </row>
    <row r="67" spans="1:13" ht="14.25" customHeight="1" x14ac:dyDescent="0.3">
      <c r="A67" t="s">
        <v>163</v>
      </c>
      <c r="B67" t="s">
        <v>38</v>
      </c>
      <c r="D67" t="s">
        <v>39</v>
      </c>
      <c r="E67" t="s">
        <v>40</v>
      </c>
      <c r="F67" t="s">
        <v>41</v>
      </c>
      <c r="G67" t="s">
        <v>42</v>
      </c>
      <c r="H67" s="4">
        <v>45357</v>
      </c>
      <c r="I67">
        <v>269</v>
      </c>
      <c r="J67">
        <v>1200</v>
      </c>
      <c r="K67">
        <v>0.04</v>
      </c>
      <c r="L67" t="s">
        <v>36</v>
      </c>
    </row>
    <row r="68" spans="1:13" ht="14.25" customHeight="1" x14ac:dyDescent="0.3">
      <c r="A68" t="s">
        <v>164</v>
      </c>
      <c r="B68" t="s">
        <v>44</v>
      </c>
      <c r="D68" t="s">
        <v>39</v>
      </c>
      <c r="E68" t="s">
        <v>45</v>
      </c>
      <c r="F68" t="s">
        <v>46</v>
      </c>
      <c r="G68" t="s">
        <v>47</v>
      </c>
      <c r="H68" s="4">
        <v>45358</v>
      </c>
      <c r="I68">
        <v>400</v>
      </c>
      <c r="J68">
        <v>200</v>
      </c>
      <c r="L68" t="s">
        <v>30</v>
      </c>
    </row>
    <row r="69" spans="1:13" ht="14.25" customHeight="1" x14ac:dyDescent="0.3">
      <c r="A69" t="s">
        <v>165</v>
      </c>
      <c r="B69" t="s">
        <v>49</v>
      </c>
      <c r="D69" t="s">
        <v>50</v>
      </c>
      <c r="E69" t="s">
        <v>51</v>
      </c>
      <c r="F69" t="s">
        <v>52</v>
      </c>
      <c r="G69" t="s">
        <v>53</v>
      </c>
      <c r="H69" s="4">
        <v>45359</v>
      </c>
      <c r="I69">
        <v>498</v>
      </c>
      <c r="J69">
        <v>895</v>
      </c>
      <c r="L69" t="s">
        <v>36</v>
      </c>
    </row>
    <row r="70" spans="1:13" ht="14.25" customHeight="1" x14ac:dyDescent="0.3">
      <c r="A70" t="s">
        <v>166</v>
      </c>
      <c r="B70" t="s">
        <v>55</v>
      </c>
      <c r="D70" t="s">
        <v>108</v>
      </c>
      <c r="E70" t="s">
        <v>67</v>
      </c>
      <c r="F70" t="s">
        <v>68</v>
      </c>
      <c r="G70" t="s">
        <v>167</v>
      </c>
      <c r="H70" s="4">
        <v>45360</v>
      </c>
      <c r="I70">
        <v>281</v>
      </c>
      <c r="J70">
        <v>650</v>
      </c>
      <c r="K70">
        <v>0.1</v>
      </c>
      <c r="L70" t="s">
        <v>70</v>
      </c>
    </row>
    <row r="71" spans="1:13" ht="14.25" customHeight="1" x14ac:dyDescent="0.3">
      <c r="A71" t="s">
        <v>168</v>
      </c>
      <c r="B71" t="s">
        <v>58</v>
      </c>
      <c r="D71" t="s">
        <v>59</v>
      </c>
      <c r="E71" t="s">
        <v>33</v>
      </c>
      <c r="F71" t="s">
        <v>34</v>
      </c>
      <c r="G71" t="s">
        <v>29</v>
      </c>
      <c r="H71" s="4">
        <v>45361</v>
      </c>
      <c r="I71">
        <v>260</v>
      </c>
      <c r="L71" t="s">
        <v>36</v>
      </c>
    </row>
    <row r="72" spans="1:13" ht="14.25" customHeight="1" x14ac:dyDescent="0.3">
      <c r="A72" t="s">
        <v>169</v>
      </c>
      <c r="B72" t="s">
        <v>61</v>
      </c>
      <c r="D72" t="s">
        <v>143</v>
      </c>
      <c r="E72" t="s">
        <v>170</v>
      </c>
      <c r="F72" t="s">
        <v>171</v>
      </c>
      <c r="G72" t="s">
        <v>172</v>
      </c>
      <c r="H72" s="4">
        <v>45362</v>
      </c>
      <c r="I72">
        <v>485</v>
      </c>
      <c r="J72">
        <v>280</v>
      </c>
      <c r="L72" t="s">
        <v>23</v>
      </c>
    </row>
    <row r="73" spans="1:13" ht="14.25" customHeight="1" x14ac:dyDescent="0.3">
      <c r="A73" t="s">
        <v>173</v>
      </c>
      <c r="B73" t="s">
        <v>63</v>
      </c>
      <c r="D73" t="s">
        <v>174</v>
      </c>
      <c r="E73" t="s">
        <v>175</v>
      </c>
      <c r="F73" t="s">
        <v>176</v>
      </c>
      <c r="G73" t="s">
        <v>177</v>
      </c>
      <c r="H73" s="4">
        <v>45363</v>
      </c>
      <c r="I73">
        <v>435</v>
      </c>
      <c r="J73">
        <v>750</v>
      </c>
      <c r="K73">
        <v>0.05</v>
      </c>
      <c r="L73" t="s">
        <v>136</v>
      </c>
    </row>
    <row r="74" spans="1:13" ht="14.25" customHeight="1" x14ac:dyDescent="0.3">
      <c r="A74" t="s">
        <v>178</v>
      </c>
      <c r="B74" t="s">
        <v>16</v>
      </c>
      <c r="D74" t="s">
        <v>39</v>
      </c>
      <c r="E74" t="s">
        <v>51</v>
      </c>
      <c r="F74" t="s">
        <v>52</v>
      </c>
      <c r="G74" t="s">
        <v>47</v>
      </c>
      <c r="H74" s="4">
        <v>45364</v>
      </c>
      <c r="I74">
        <v>133</v>
      </c>
      <c r="J74">
        <v>990</v>
      </c>
      <c r="L74" t="s">
        <v>36</v>
      </c>
    </row>
    <row r="75" spans="1:13" ht="14.25" customHeight="1" x14ac:dyDescent="0.3">
      <c r="A75" t="s">
        <v>179</v>
      </c>
      <c r="B75" t="s">
        <v>25</v>
      </c>
      <c r="D75" t="s">
        <v>26</v>
      </c>
      <c r="E75" t="s">
        <v>27</v>
      </c>
      <c r="F75" t="s">
        <v>28</v>
      </c>
      <c r="G75" t="s">
        <v>53</v>
      </c>
      <c r="H75" s="4">
        <v>45365</v>
      </c>
      <c r="J75">
        <v>350</v>
      </c>
      <c r="L75" t="s">
        <v>30</v>
      </c>
      <c r="M75">
        <v>31150</v>
      </c>
    </row>
    <row r="76" spans="1:13" ht="14.25" customHeight="1" x14ac:dyDescent="0.3">
      <c r="A76" t="s">
        <v>180</v>
      </c>
      <c r="B76" t="s">
        <v>32</v>
      </c>
      <c r="D76" t="s">
        <v>26</v>
      </c>
      <c r="E76" t="s">
        <v>33</v>
      </c>
      <c r="F76" t="s">
        <v>34</v>
      </c>
      <c r="G76" t="s">
        <v>56</v>
      </c>
      <c r="H76" s="4">
        <v>45366</v>
      </c>
      <c r="I76">
        <v>384</v>
      </c>
      <c r="J76">
        <v>420</v>
      </c>
      <c r="K76">
        <v>0.03</v>
      </c>
      <c r="L76" t="s">
        <v>36</v>
      </c>
    </row>
    <row r="77" spans="1:13" ht="14.25" customHeight="1" x14ac:dyDescent="0.3">
      <c r="A77" t="s">
        <v>181</v>
      </c>
      <c r="B77" t="s">
        <v>38</v>
      </c>
      <c r="D77" t="s">
        <v>39</v>
      </c>
      <c r="E77" t="s">
        <v>40</v>
      </c>
      <c r="F77" t="s">
        <v>41</v>
      </c>
      <c r="G77" t="s">
        <v>29</v>
      </c>
      <c r="H77" s="4">
        <v>45367</v>
      </c>
      <c r="I77">
        <v>399</v>
      </c>
      <c r="J77">
        <v>1200</v>
      </c>
      <c r="L77" t="s">
        <v>36</v>
      </c>
    </row>
    <row r="78" spans="1:13" ht="14.25" customHeight="1" x14ac:dyDescent="0.3">
      <c r="A78" t="s">
        <v>182</v>
      </c>
      <c r="B78" t="s">
        <v>44</v>
      </c>
      <c r="D78" t="s">
        <v>39</v>
      </c>
      <c r="E78" t="s">
        <v>45</v>
      </c>
      <c r="F78" t="s">
        <v>46</v>
      </c>
      <c r="G78" t="s">
        <v>35</v>
      </c>
      <c r="H78" s="4">
        <v>45368</v>
      </c>
      <c r="I78">
        <v>74</v>
      </c>
      <c r="J78">
        <v>200</v>
      </c>
      <c r="L78" t="s">
        <v>30</v>
      </c>
    </row>
    <row r="79" spans="1:13" ht="14.25" customHeight="1" x14ac:dyDescent="0.3">
      <c r="A79" t="s">
        <v>183</v>
      </c>
      <c r="B79" t="s">
        <v>49</v>
      </c>
      <c r="D79" t="s">
        <v>50</v>
      </c>
      <c r="E79" t="s">
        <v>51</v>
      </c>
      <c r="F79" t="s">
        <v>52</v>
      </c>
      <c r="G79" t="s">
        <v>42</v>
      </c>
      <c r="H79" s="4">
        <v>45369</v>
      </c>
      <c r="I79" t="s">
        <v>184</v>
      </c>
      <c r="J79">
        <v>895</v>
      </c>
      <c r="K79">
        <v>0.04</v>
      </c>
      <c r="L79" t="s">
        <v>36</v>
      </c>
    </row>
    <row r="80" spans="1:13" ht="14.25" customHeight="1" x14ac:dyDescent="0.3">
      <c r="A80" t="s">
        <v>185</v>
      </c>
      <c r="B80" t="s">
        <v>55</v>
      </c>
      <c r="D80" t="s">
        <v>39</v>
      </c>
      <c r="E80" t="s">
        <v>27</v>
      </c>
      <c r="F80" t="s">
        <v>28</v>
      </c>
      <c r="G80" t="s">
        <v>47</v>
      </c>
      <c r="H80" s="4">
        <v>45370</v>
      </c>
      <c r="I80">
        <v>280</v>
      </c>
      <c r="J80" t="s">
        <v>186</v>
      </c>
      <c r="L80" t="s">
        <v>30</v>
      </c>
    </row>
    <row r="81" spans="1:13" ht="14.25" customHeight="1" x14ac:dyDescent="0.3">
      <c r="A81" t="s">
        <v>187</v>
      </c>
      <c r="B81" t="s">
        <v>58</v>
      </c>
      <c r="D81" t="s">
        <v>188</v>
      </c>
      <c r="E81" t="s">
        <v>87</v>
      </c>
      <c r="F81" t="s">
        <v>88</v>
      </c>
      <c r="G81" t="s">
        <v>69</v>
      </c>
      <c r="H81" s="4">
        <v>45371</v>
      </c>
      <c r="I81">
        <v>226</v>
      </c>
      <c r="J81">
        <v>2800</v>
      </c>
      <c r="L81" t="s">
        <v>90</v>
      </c>
    </row>
    <row r="82" spans="1:13" ht="14.25" customHeight="1" x14ac:dyDescent="0.3">
      <c r="A82" t="s">
        <v>189</v>
      </c>
      <c r="B82" t="s">
        <v>61</v>
      </c>
      <c r="D82" t="s">
        <v>26</v>
      </c>
      <c r="E82" t="s">
        <v>40</v>
      </c>
      <c r="F82" t="s">
        <v>41</v>
      </c>
      <c r="G82" t="s">
        <v>56</v>
      </c>
      <c r="H82" s="4">
        <v>45372</v>
      </c>
      <c r="I82">
        <v>485</v>
      </c>
      <c r="J82">
        <v>280</v>
      </c>
      <c r="K82">
        <v>0.11</v>
      </c>
      <c r="L82" t="s">
        <v>36</v>
      </c>
    </row>
    <row r="83" spans="1:13" ht="14.25" customHeight="1" x14ac:dyDescent="0.3">
      <c r="A83" t="s">
        <v>190</v>
      </c>
      <c r="B83" t="s">
        <v>63</v>
      </c>
      <c r="D83" t="s">
        <v>50</v>
      </c>
      <c r="E83" t="s">
        <v>45</v>
      </c>
      <c r="F83" t="s">
        <v>46</v>
      </c>
      <c r="G83" t="s">
        <v>29</v>
      </c>
      <c r="H83" s="4">
        <v>45373</v>
      </c>
      <c r="I83">
        <v>112</v>
      </c>
      <c r="J83">
        <v>750</v>
      </c>
      <c r="L83" t="s">
        <v>30</v>
      </c>
    </row>
    <row r="84" spans="1:13" ht="14.25" customHeight="1" x14ac:dyDescent="0.3">
      <c r="A84" t="s">
        <v>191</v>
      </c>
      <c r="B84" t="s">
        <v>16</v>
      </c>
      <c r="D84" t="s">
        <v>39</v>
      </c>
      <c r="E84" t="s">
        <v>51</v>
      </c>
      <c r="F84" t="s">
        <v>52</v>
      </c>
      <c r="G84" t="s">
        <v>35</v>
      </c>
      <c r="H84" s="4">
        <v>45374</v>
      </c>
      <c r="I84">
        <v>214</v>
      </c>
      <c r="J84">
        <v>990</v>
      </c>
      <c r="L84" t="s">
        <v>36</v>
      </c>
    </row>
    <row r="85" spans="1:13" ht="14.25" customHeight="1" x14ac:dyDescent="0.3">
      <c r="A85" t="s">
        <v>192</v>
      </c>
      <c r="B85" t="s">
        <v>25</v>
      </c>
      <c r="D85" t="s">
        <v>26</v>
      </c>
      <c r="E85" t="s">
        <v>27</v>
      </c>
      <c r="F85" t="s">
        <v>28</v>
      </c>
      <c r="G85" t="s">
        <v>42</v>
      </c>
      <c r="H85" s="4">
        <v>45375</v>
      </c>
      <c r="I85">
        <v>342</v>
      </c>
      <c r="J85">
        <v>350</v>
      </c>
      <c r="K85">
        <v>0.14000000000000001</v>
      </c>
      <c r="L85" t="s">
        <v>30</v>
      </c>
    </row>
    <row r="86" spans="1:13" ht="14.25" customHeight="1" x14ac:dyDescent="0.3">
      <c r="A86" t="s">
        <v>193</v>
      </c>
      <c r="B86" t="s">
        <v>32</v>
      </c>
      <c r="D86" t="s">
        <v>26</v>
      </c>
      <c r="E86" t="s">
        <v>33</v>
      </c>
      <c r="F86" t="s">
        <v>34</v>
      </c>
      <c r="G86" t="s">
        <v>47</v>
      </c>
      <c r="H86" s="4">
        <v>45376</v>
      </c>
      <c r="I86">
        <v>241</v>
      </c>
      <c r="J86">
        <v>420</v>
      </c>
      <c r="L86" t="s">
        <v>36</v>
      </c>
    </row>
    <row r="87" spans="1:13" ht="14.25" customHeight="1" x14ac:dyDescent="0.3">
      <c r="A87" t="s">
        <v>194</v>
      </c>
      <c r="B87" t="s">
        <v>38</v>
      </c>
      <c r="D87" t="s">
        <v>39</v>
      </c>
      <c r="E87" t="s">
        <v>40</v>
      </c>
      <c r="F87" t="s">
        <v>41</v>
      </c>
      <c r="G87" t="s">
        <v>53</v>
      </c>
      <c r="H87" s="4">
        <v>45377</v>
      </c>
      <c r="I87">
        <v>125</v>
      </c>
      <c r="J87">
        <v>1200</v>
      </c>
      <c r="L87" t="s">
        <v>36</v>
      </c>
    </row>
    <row r="88" spans="1:13" ht="14.25" customHeight="1" x14ac:dyDescent="0.3">
      <c r="A88" t="s">
        <v>195</v>
      </c>
      <c r="B88" t="s">
        <v>44</v>
      </c>
      <c r="D88" t="s">
        <v>39</v>
      </c>
      <c r="E88" t="s">
        <v>45</v>
      </c>
      <c r="F88" t="s">
        <v>46</v>
      </c>
      <c r="G88" t="s">
        <v>56</v>
      </c>
      <c r="H88" s="4">
        <v>45378</v>
      </c>
      <c r="I88">
        <v>20</v>
      </c>
      <c r="J88">
        <v>200</v>
      </c>
      <c r="K88">
        <v>0.05</v>
      </c>
      <c r="L88" t="s">
        <v>30</v>
      </c>
    </row>
    <row r="89" spans="1:13" ht="14.25" customHeight="1" x14ac:dyDescent="0.3">
      <c r="A89" t="s">
        <v>196</v>
      </c>
      <c r="B89" t="s">
        <v>49</v>
      </c>
      <c r="D89" t="s">
        <v>197</v>
      </c>
      <c r="E89" t="s">
        <v>18</v>
      </c>
      <c r="F89" t="s">
        <v>19</v>
      </c>
      <c r="G89" t="s">
        <v>198</v>
      </c>
      <c r="H89" s="4">
        <v>45379</v>
      </c>
      <c r="I89">
        <v>122</v>
      </c>
      <c r="J89">
        <v>895</v>
      </c>
      <c r="L89" t="s">
        <v>23</v>
      </c>
    </row>
    <row r="90" spans="1:13" ht="14.25" customHeight="1" x14ac:dyDescent="0.3">
      <c r="A90" t="s">
        <v>196</v>
      </c>
      <c r="B90" t="s">
        <v>49</v>
      </c>
      <c r="D90" t="s">
        <v>197</v>
      </c>
      <c r="E90" t="s">
        <v>18</v>
      </c>
      <c r="F90" t="s">
        <v>19</v>
      </c>
      <c r="G90" t="s">
        <v>198</v>
      </c>
      <c r="H90" s="4">
        <v>45380</v>
      </c>
      <c r="I90">
        <v>122</v>
      </c>
      <c r="J90">
        <v>895</v>
      </c>
      <c r="L90" t="s">
        <v>23</v>
      </c>
    </row>
    <row r="91" spans="1:13" ht="14.25" customHeight="1" x14ac:dyDescent="0.3">
      <c r="A91" t="s">
        <v>199</v>
      </c>
      <c r="B91" t="s">
        <v>58</v>
      </c>
      <c r="D91" t="s">
        <v>59</v>
      </c>
      <c r="E91" t="s">
        <v>33</v>
      </c>
      <c r="F91" t="s">
        <v>34</v>
      </c>
      <c r="G91" t="s">
        <v>29</v>
      </c>
      <c r="H91" s="4">
        <v>45381</v>
      </c>
      <c r="I91">
        <v>120</v>
      </c>
      <c r="J91">
        <v>2800</v>
      </c>
      <c r="K91">
        <v>0.02</v>
      </c>
      <c r="L91" t="s">
        <v>36</v>
      </c>
    </row>
    <row r="92" spans="1:13" ht="14.25" customHeight="1" x14ac:dyDescent="0.3">
      <c r="A92" t="s">
        <v>200</v>
      </c>
      <c r="B92" t="s">
        <v>58</v>
      </c>
      <c r="D92" t="s">
        <v>59</v>
      </c>
      <c r="E92" t="s">
        <v>33</v>
      </c>
      <c r="F92" t="s">
        <v>34</v>
      </c>
      <c r="G92" t="s">
        <v>42</v>
      </c>
      <c r="H92" s="4">
        <v>45382</v>
      </c>
      <c r="I92">
        <v>127</v>
      </c>
      <c r="J92">
        <v>2800</v>
      </c>
      <c r="K92">
        <v>0.02</v>
      </c>
      <c r="L92" t="s">
        <v>36</v>
      </c>
    </row>
    <row r="93" spans="1:13" ht="14.25" customHeight="1" x14ac:dyDescent="0.3">
      <c r="A93" t="s">
        <v>201</v>
      </c>
      <c r="B93" t="s">
        <v>61</v>
      </c>
      <c r="D93" t="s">
        <v>66</v>
      </c>
      <c r="E93" t="s">
        <v>109</v>
      </c>
      <c r="F93" t="s">
        <v>110</v>
      </c>
      <c r="G93" t="s">
        <v>89</v>
      </c>
      <c r="H93" s="4">
        <v>45383</v>
      </c>
      <c r="I93">
        <v>179</v>
      </c>
      <c r="L93" t="s">
        <v>90</v>
      </c>
    </row>
    <row r="94" spans="1:13" ht="14.25" customHeight="1" x14ac:dyDescent="0.3">
      <c r="A94" t="s">
        <v>202</v>
      </c>
      <c r="B94" t="s">
        <v>63</v>
      </c>
      <c r="D94" t="s">
        <v>50</v>
      </c>
      <c r="E94" t="s">
        <v>45</v>
      </c>
      <c r="F94" t="s">
        <v>46</v>
      </c>
      <c r="G94" t="s">
        <v>53</v>
      </c>
      <c r="H94" s="4">
        <v>45384</v>
      </c>
      <c r="J94">
        <v>750</v>
      </c>
      <c r="L94" t="s">
        <v>30</v>
      </c>
      <c r="M94">
        <v>83250</v>
      </c>
    </row>
    <row r="95" spans="1:13" ht="14.25" customHeight="1" x14ac:dyDescent="0.3">
      <c r="A95" t="s">
        <v>203</v>
      </c>
      <c r="B95" t="s">
        <v>16</v>
      </c>
      <c r="D95" t="s">
        <v>39</v>
      </c>
      <c r="E95" t="s">
        <v>51</v>
      </c>
      <c r="F95" t="s">
        <v>52</v>
      </c>
      <c r="G95" t="s">
        <v>56</v>
      </c>
      <c r="H95" s="4">
        <v>45385</v>
      </c>
      <c r="I95">
        <v>258</v>
      </c>
      <c r="J95">
        <v>990</v>
      </c>
      <c r="K95">
        <v>0.04</v>
      </c>
      <c r="L95" t="s">
        <v>36</v>
      </c>
    </row>
    <row r="96" spans="1:13" ht="14.25" customHeight="1" x14ac:dyDescent="0.3">
      <c r="A96" t="s">
        <v>204</v>
      </c>
      <c r="B96" t="s">
        <v>25</v>
      </c>
      <c r="D96" t="s">
        <v>26</v>
      </c>
      <c r="E96" t="s">
        <v>27</v>
      </c>
      <c r="F96" t="s">
        <v>28</v>
      </c>
      <c r="G96" t="s">
        <v>29</v>
      </c>
      <c r="H96" s="4">
        <v>45386</v>
      </c>
      <c r="I96">
        <v>488</v>
      </c>
      <c r="J96">
        <v>350</v>
      </c>
      <c r="L96" t="s">
        <v>30</v>
      </c>
    </row>
    <row r="97" spans="1:13" ht="14.25" customHeight="1" x14ac:dyDescent="0.3">
      <c r="A97" t="s">
        <v>205</v>
      </c>
      <c r="B97" t="s">
        <v>32</v>
      </c>
      <c r="D97" t="s">
        <v>206</v>
      </c>
      <c r="E97" t="s">
        <v>207</v>
      </c>
      <c r="F97" t="s">
        <v>208</v>
      </c>
      <c r="G97" t="s">
        <v>209</v>
      </c>
      <c r="H97" s="4">
        <v>45387</v>
      </c>
      <c r="I97">
        <v>305</v>
      </c>
      <c r="J97">
        <v>420</v>
      </c>
      <c r="L97" t="s">
        <v>96</v>
      </c>
    </row>
    <row r="98" spans="1:13" ht="14.25" customHeight="1" x14ac:dyDescent="0.3">
      <c r="A98" t="s">
        <v>210</v>
      </c>
      <c r="B98" t="s">
        <v>38</v>
      </c>
      <c r="D98" t="s">
        <v>39</v>
      </c>
      <c r="E98" t="s">
        <v>40</v>
      </c>
      <c r="F98" t="s">
        <v>41</v>
      </c>
      <c r="G98" t="s">
        <v>42</v>
      </c>
      <c r="H98" s="4">
        <v>45388</v>
      </c>
      <c r="I98">
        <v>411</v>
      </c>
      <c r="J98">
        <v>1200</v>
      </c>
      <c r="K98">
        <v>7.0000000000000007E-2</v>
      </c>
      <c r="L98" t="s">
        <v>36</v>
      </c>
    </row>
    <row r="99" spans="1:13" ht="14.25" customHeight="1" x14ac:dyDescent="0.3">
      <c r="A99" t="s">
        <v>211</v>
      </c>
      <c r="B99" t="s">
        <v>44</v>
      </c>
      <c r="D99" t="s">
        <v>39</v>
      </c>
      <c r="E99" t="s">
        <v>45</v>
      </c>
      <c r="F99" t="s">
        <v>46</v>
      </c>
      <c r="G99" t="s">
        <v>47</v>
      </c>
      <c r="H99" s="4">
        <v>45389</v>
      </c>
      <c r="I99">
        <v>58</v>
      </c>
      <c r="J99">
        <v>200</v>
      </c>
      <c r="L99" t="s">
        <v>30</v>
      </c>
    </row>
    <row r="100" spans="1:13" ht="14.25" customHeight="1" x14ac:dyDescent="0.3">
      <c r="A100" t="s">
        <v>212</v>
      </c>
      <c r="B100" t="s">
        <v>49</v>
      </c>
      <c r="D100" t="s">
        <v>50</v>
      </c>
      <c r="E100" t="s">
        <v>51</v>
      </c>
      <c r="F100" t="s">
        <v>52</v>
      </c>
      <c r="G100" t="s">
        <v>53</v>
      </c>
      <c r="H100" s="4">
        <v>45390</v>
      </c>
      <c r="I100">
        <v>230</v>
      </c>
      <c r="J100" t="s">
        <v>213</v>
      </c>
      <c r="L100" t="s">
        <v>36</v>
      </c>
    </row>
    <row r="101" spans="1:13" ht="14.25" customHeight="1" x14ac:dyDescent="0.3">
      <c r="A101" t="s">
        <v>214</v>
      </c>
      <c r="B101" t="s">
        <v>55</v>
      </c>
      <c r="D101" t="s">
        <v>39</v>
      </c>
      <c r="E101" t="s">
        <v>27</v>
      </c>
      <c r="F101" t="s">
        <v>28</v>
      </c>
      <c r="G101" t="s">
        <v>56</v>
      </c>
      <c r="H101" s="4">
        <v>45391</v>
      </c>
      <c r="I101">
        <v>220</v>
      </c>
      <c r="J101">
        <v>650</v>
      </c>
      <c r="K101">
        <v>0.11</v>
      </c>
      <c r="L101" t="s">
        <v>30</v>
      </c>
    </row>
    <row r="102" spans="1:13" ht="14.25" customHeight="1" x14ac:dyDescent="0.3">
      <c r="A102" t="s">
        <v>215</v>
      </c>
      <c r="B102" t="s">
        <v>58</v>
      </c>
      <c r="D102" t="s">
        <v>59</v>
      </c>
      <c r="E102" t="s">
        <v>33</v>
      </c>
      <c r="F102" t="s">
        <v>34</v>
      </c>
      <c r="G102" t="s">
        <v>29</v>
      </c>
      <c r="H102" s="4">
        <v>45392</v>
      </c>
      <c r="I102">
        <v>354</v>
      </c>
      <c r="J102">
        <v>2800</v>
      </c>
      <c r="L102" t="s">
        <v>36</v>
      </c>
    </row>
    <row r="103" spans="1:13" ht="14.25" customHeight="1" x14ac:dyDescent="0.3">
      <c r="A103" t="s">
        <v>216</v>
      </c>
      <c r="B103" t="s">
        <v>61</v>
      </c>
      <c r="D103" t="s">
        <v>26</v>
      </c>
      <c r="E103" t="s">
        <v>40</v>
      </c>
      <c r="F103" t="s">
        <v>41</v>
      </c>
      <c r="G103" t="s">
        <v>35</v>
      </c>
      <c r="H103" s="4">
        <v>45393</v>
      </c>
      <c r="I103">
        <v>340</v>
      </c>
      <c r="J103">
        <v>280</v>
      </c>
      <c r="L103" t="s">
        <v>36</v>
      </c>
    </row>
    <row r="104" spans="1:13" ht="14.25" customHeight="1" x14ac:dyDescent="0.3">
      <c r="A104" t="s">
        <v>217</v>
      </c>
      <c r="B104" t="s">
        <v>63</v>
      </c>
      <c r="D104" t="s">
        <v>151</v>
      </c>
      <c r="E104" t="s">
        <v>128</v>
      </c>
      <c r="F104" t="s">
        <v>129</v>
      </c>
      <c r="G104" t="s">
        <v>111</v>
      </c>
      <c r="H104" s="4">
        <v>45394</v>
      </c>
      <c r="I104">
        <v>216</v>
      </c>
      <c r="J104">
        <v>750</v>
      </c>
      <c r="K104">
        <v>0.12</v>
      </c>
      <c r="L104" t="s">
        <v>70</v>
      </c>
    </row>
    <row r="105" spans="1:13" ht="14.25" customHeight="1" x14ac:dyDescent="0.3">
      <c r="A105" t="s">
        <v>218</v>
      </c>
      <c r="B105" t="s">
        <v>16</v>
      </c>
      <c r="D105" t="s">
        <v>39</v>
      </c>
      <c r="E105" t="s">
        <v>51</v>
      </c>
      <c r="F105" t="s">
        <v>52</v>
      </c>
      <c r="G105" t="s">
        <v>47</v>
      </c>
      <c r="H105" s="4">
        <v>45395</v>
      </c>
      <c r="I105" t="s">
        <v>219</v>
      </c>
      <c r="J105">
        <v>990</v>
      </c>
      <c r="L105" t="s">
        <v>36</v>
      </c>
    </row>
    <row r="106" spans="1:13" ht="14.25" customHeight="1" x14ac:dyDescent="0.3">
      <c r="A106" t="s">
        <v>220</v>
      </c>
      <c r="B106" t="s">
        <v>25</v>
      </c>
      <c r="D106" t="s">
        <v>26</v>
      </c>
      <c r="E106" t="s">
        <v>27</v>
      </c>
      <c r="F106" t="s">
        <v>28</v>
      </c>
      <c r="G106" t="s">
        <v>53</v>
      </c>
      <c r="H106" s="4">
        <v>45396</v>
      </c>
      <c r="I106">
        <v>107</v>
      </c>
      <c r="J106">
        <v>350</v>
      </c>
      <c r="L106" t="s">
        <v>30</v>
      </c>
    </row>
    <row r="107" spans="1:13" ht="14.25" customHeight="1" x14ac:dyDescent="0.3">
      <c r="A107" t="s">
        <v>221</v>
      </c>
      <c r="B107" t="s">
        <v>32</v>
      </c>
      <c r="D107" t="s">
        <v>143</v>
      </c>
      <c r="E107" t="s">
        <v>78</v>
      </c>
      <c r="F107" t="s">
        <v>79</v>
      </c>
      <c r="G107" t="s">
        <v>20</v>
      </c>
      <c r="H107" s="4">
        <v>45397</v>
      </c>
      <c r="I107">
        <v>81</v>
      </c>
      <c r="J107">
        <v>420</v>
      </c>
      <c r="K107">
        <v>0.06</v>
      </c>
      <c r="L107" t="s">
        <v>23</v>
      </c>
    </row>
    <row r="108" spans="1:13" ht="14.25" customHeight="1" x14ac:dyDescent="0.3">
      <c r="A108" t="s">
        <v>222</v>
      </c>
      <c r="B108" t="s">
        <v>38</v>
      </c>
      <c r="D108" t="s">
        <v>39</v>
      </c>
      <c r="E108" t="s">
        <v>40</v>
      </c>
      <c r="F108" t="s">
        <v>41</v>
      </c>
      <c r="G108" t="s">
        <v>29</v>
      </c>
      <c r="H108" s="4">
        <v>45398</v>
      </c>
      <c r="J108">
        <v>1200</v>
      </c>
      <c r="L108" t="s">
        <v>36</v>
      </c>
      <c r="M108">
        <v>120000</v>
      </c>
    </row>
    <row r="109" spans="1:13" ht="14.25" customHeight="1" x14ac:dyDescent="0.3">
      <c r="A109" t="s">
        <v>223</v>
      </c>
      <c r="B109" t="s">
        <v>44</v>
      </c>
      <c r="D109" t="s">
        <v>39</v>
      </c>
      <c r="E109" t="s">
        <v>45</v>
      </c>
      <c r="F109" t="s">
        <v>46</v>
      </c>
      <c r="G109" t="s">
        <v>35</v>
      </c>
      <c r="H109" s="4">
        <v>45399</v>
      </c>
      <c r="I109">
        <v>48</v>
      </c>
      <c r="J109">
        <v>200</v>
      </c>
      <c r="L109" t="s">
        <v>30</v>
      </c>
    </row>
    <row r="110" spans="1:13" ht="14.25" customHeight="1" x14ac:dyDescent="0.3">
      <c r="A110" t="s">
        <v>224</v>
      </c>
      <c r="B110" t="s">
        <v>49</v>
      </c>
      <c r="D110" t="s">
        <v>50</v>
      </c>
      <c r="E110" t="s">
        <v>51</v>
      </c>
      <c r="F110" t="s">
        <v>52</v>
      </c>
      <c r="G110" t="s">
        <v>42</v>
      </c>
      <c r="H110" s="4">
        <v>45400</v>
      </c>
      <c r="I110">
        <v>451</v>
      </c>
      <c r="J110">
        <v>895</v>
      </c>
      <c r="K110">
        <v>0.03</v>
      </c>
      <c r="L110" t="s">
        <v>36</v>
      </c>
    </row>
    <row r="111" spans="1:13" ht="14.25" customHeight="1" x14ac:dyDescent="0.3">
      <c r="A111" t="s">
        <v>225</v>
      </c>
      <c r="B111" t="s">
        <v>55</v>
      </c>
      <c r="D111" t="s">
        <v>39</v>
      </c>
      <c r="E111" t="s">
        <v>27</v>
      </c>
      <c r="F111" t="s">
        <v>28</v>
      </c>
      <c r="G111" t="s">
        <v>47</v>
      </c>
      <c r="H111" s="4">
        <v>45401</v>
      </c>
      <c r="I111">
        <v>343</v>
      </c>
      <c r="J111">
        <v>650</v>
      </c>
      <c r="L111" t="s">
        <v>30</v>
      </c>
    </row>
    <row r="112" spans="1:13" ht="14.25" customHeight="1" x14ac:dyDescent="0.3">
      <c r="A112" t="s">
        <v>226</v>
      </c>
      <c r="B112" t="s">
        <v>58</v>
      </c>
      <c r="D112" t="s">
        <v>59</v>
      </c>
      <c r="E112" t="s">
        <v>33</v>
      </c>
      <c r="F112" t="s">
        <v>34</v>
      </c>
      <c r="G112" t="s">
        <v>53</v>
      </c>
      <c r="H112" s="4">
        <v>45402</v>
      </c>
      <c r="I112">
        <v>438</v>
      </c>
      <c r="J112">
        <v>2800</v>
      </c>
      <c r="L112" t="s">
        <v>36</v>
      </c>
    </row>
    <row r="113" spans="1:13" ht="14.25" customHeight="1" x14ac:dyDescent="0.3">
      <c r="A113" t="s">
        <v>227</v>
      </c>
      <c r="B113" t="s">
        <v>61</v>
      </c>
      <c r="D113" t="s">
        <v>26</v>
      </c>
      <c r="E113" t="s">
        <v>40</v>
      </c>
      <c r="F113" t="s">
        <v>41</v>
      </c>
      <c r="G113" t="s">
        <v>56</v>
      </c>
      <c r="H113" s="4">
        <v>45403</v>
      </c>
      <c r="I113">
        <v>57</v>
      </c>
      <c r="J113">
        <v>280</v>
      </c>
      <c r="K113">
        <v>0.13</v>
      </c>
      <c r="L113" t="s">
        <v>36</v>
      </c>
    </row>
    <row r="114" spans="1:13" ht="14.25" customHeight="1" x14ac:dyDescent="0.3">
      <c r="A114" t="s">
        <v>228</v>
      </c>
      <c r="B114" t="s">
        <v>63</v>
      </c>
      <c r="D114" t="s">
        <v>50</v>
      </c>
      <c r="E114" t="s">
        <v>45</v>
      </c>
      <c r="F114" t="s">
        <v>46</v>
      </c>
      <c r="G114" t="s">
        <v>29</v>
      </c>
      <c r="H114" s="4">
        <v>45404</v>
      </c>
      <c r="I114">
        <v>95</v>
      </c>
      <c r="J114">
        <v>750</v>
      </c>
      <c r="L114" t="s">
        <v>30</v>
      </c>
    </row>
    <row r="115" spans="1:13" ht="14.25" customHeight="1" x14ac:dyDescent="0.3">
      <c r="A115" t="s">
        <v>229</v>
      </c>
      <c r="B115" t="s">
        <v>16</v>
      </c>
      <c r="D115" t="s">
        <v>108</v>
      </c>
      <c r="E115" t="s">
        <v>152</v>
      </c>
      <c r="F115" t="s">
        <v>153</v>
      </c>
      <c r="G115" t="s">
        <v>130</v>
      </c>
      <c r="H115" s="4">
        <v>45405</v>
      </c>
      <c r="I115">
        <v>256</v>
      </c>
      <c r="J115">
        <v>990</v>
      </c>
      <c r="L115" t="s">
        <v>90</v>
      </c>
    </row>
    <row r="116" spans="1:13" ht="14.25" customHeight="1" x14ac:dyDescent="0.3">
      <c r="A116" t="s">
        <v>230</v>
      </c>
      <c r="B116" t="s">
        <v>25</v>
      </c>
      <c r="D116" t="s">
        <v>26</v>
      </c>
      <c r="E116" t="s">
        <v>27</v>
      </c>
      <c r="F116" t="s">
        <v>28</v>
      </c>
      <c r="G116" t="s">
        <v>42</v>
      </c>
      <c r="H116" s="4">
        <v>45406</v>
      </c>
      <c r="I116">
        <v>215</v>
      </c>
      <c r="J116">
        <v>350</v>
      </c>
      <c r="K116">
        <v>0.04</v>
      </c>
      <c r="L116" t="s">
        <v>30</v>
      </c>
    </row>
    <row r="117" spans="1:13" ht="14.25" customHeight="1" x14ac:dyDescent="0.3">
      <c r="A117" t="s">
        <v>231</v>
      </c>
      <c r="B117" t="s">
        <v>32</v>
      </c>
      <c r="D117" t="s">
        <v>26</v>
      </c>
      <c r="E117" t="s">
        <v>33</v>
      </c>
      <c r="F117" t="s">
        <v>34</v>
      </c>
      <c r="G117" t="s">
        <v>47</v>
      </c>
      <c r="H117" s="4">
        <v>45407</v>
      </c>
      <c r="J117">
        <v>420</v>
      </c>
      <c r="L117" t="s">
        <v>36</v>
      </c>
      <c r="M117">
        <v>67200</v>
      </c>
    </row>
    <row r="118" spans="1:13" ht="14.25" customHeight="1" x14ac:dyDescent="0.3">
      <c r="A118" t="s">
        <v>232</v>
      </c>
      <c r="B118" t="s">
        <v>38</v>
      </c>
      <c r="D118" t="s">
        <v>39</v>
      </c>
      <c r="E118" t="s">
        <v>40</v>
      </c>
      <c r="F118" t="s">
        <v>41</v>
      </c>
      <c r="G118" t="s">
        <v>53</v>
      </c>
      <c r="H118" s="4">
        <v>45408</v>
      </c>
      <c r="I118">
        <v>145</v>
      </c>
      <c r="J118">
        <v>1200</v>
      </c>
      <c r="L118" t="s">
        <v>36</v>
      </c>
    </row>
    <row r="119" spans="1:13" ht="14.25" customHeight="1" x14ac:dyDescent="0.3">
      <c r="A119" t="s">
        <v>233</v>
      </c>
      <c r="B119" t="s">
        <v>44</v>
      </c>
      <c r="D119" t="s">
        <v>39</v>
      </c>
      <c r="E119" t="s">
        <v>45</v>
      </c>
      <c r="F119" t="s">
        <v>46</v>
      </c>
      <c r="G119" t="s">
        <v>56</v>
      </c>
      <c r="H119" s="4">
        <v>45409</v>
      </c>
      <c r="I119">
        <v>411</v>
      </c>
      <c r="J119" t="s">
        <v>234</v>
      </c>
      <c r="K119">
        <v>7.0000000000000007E-2</v>
      </c>
      <c r="L119" t="s">
        <v>30</v>
      </c>
    </row>
    <row r="120" spans="1:13" ht="14.25" customHeight="1" x14ac:dyDescent="0.3">
      <c r="A120" t="s">
        <v>235</v>
      </c>
      <c r="B120" t="s">
        <v>49</v>
      </c>
      <c r="D120" t="s">
        <v>174</v>
      </c>
      <c r="E120" t="s">
        <v>236</v>
      </c>
      <c r="F120" t="s">
        <v>237</v>
      </c>
      <c r="G120" t="s">
        <v>238</v>
      </c>
      <c r="H120" s="4">
        <v>45410</v>
      </c>
      <c r="I120">
        <v>500</v>
      </c>
      <c r="J120">
        <v>895</v>
      </c>
      <c r="L120" t="s">
        <v>96</v>
      </c>
    </row>
    <row r="121" spans="1:13" ht="14.25" customHeight="1" x14ac:dyDescent="0.3">
      <c r="A121" t="s">
        <v>239</v>
      </c>
      <c r="B121" t="s">
        <v>55</v>
      </c>
      <c r="D121" t="s">
        <v>39</v>
      </c>
      <c r="E121" t="s">
        <v>27</v>
      </c>
      <c r="F121" t="s">
        <v>28</v>
      </c>
      <c r="G121" t="s">
        <v>35</v>
      </c>
      <c r="H121" s="4">
        <v>45411</v>
      </c>
      <c r="I121">
        <v>411</v>
      </c>
      <c r="J121">
        <v>650</v>
      </c>
      <c r="L121" t="s">
        <v>30</v>
      </c>
    </row>
    <row r="122" spans="1:13" ht="14.25" customHeight="1" x14ac:dyDescent="0.3">
      <c r="A122" t="s">
        <v>240</v>
      </c>
      <c r="B122" t="s">
        <v>58</v>
      </c>
      <c r="D122" t="s">
        <v>59</v>
      </c>
      <c r="E122" t="s">
        <v>33</v>
      </c>
      <c r="F122" t="s">
        <v>34</v>
      </c>
      <c r="G122" t="s">
        <v>42</v>
      </c>
      <c r="H122" s="4">
        <v>45412</v>
      </c>
      <c r="I122">
        <v>377</v>
      </c>
      <c r="J122">
        <v>2800</v>
      </c>
      <c r="K122">
        <v>0.04</v>
      </c>
      <c r="L122" t="s">
        <v>36</v>
      </c>
    </row>
    <row r="123" spans="1:13" ht="14.25" customHeight="1" x14ac:dyDescent="0.3">
      <c r="A123" t="s">
        <v>241</v>
      </c>
      <c r="B123" t="s">
        <v>61</v>
      </c>
      <c r="D123" t="s">
        <v>26</v>
      </c>
      <c r="E123" t="s">
        <v>40</v>
      </c>
      <c r="F123" t="s">
        <v>41</v>
      </c>
      <c r="G123" t="s">
        <v>47</v>
      </c>
      <c r="H123" s="4">
        <v>45413</v>
      </c>
      <c r="I123">
        <v>121</v>
      </c>
      <c r="J123">
        <v>280</v>
      </c>
      <c r="L123" t="s">
        <v>36</v>
      </c>
    </row>
    <row r="124" spans="1:13" ht="14.25" customHeight="1" x14ac:dyDescent="0.3">
      <c r="A124" t="s">
        <v>242</v>
      </c>
      <c r="B124" t="s">
        <v>63</v>
      </c>
      <c r="D124" t="s">
        <v>197</v>
      </c>
      <c r="E124" t="s">
        <v>113</v>
      </c>
      <c r="F124" t="s">
        <v>114</v>
      </c>
      <c r="G124" t="s">
        <v>80</v>
      </c>
      <c r="H124" s="4">
        <v>45414</v>
      </c>
      <c r="I124">
        <v>306</v>
      </c>
      <c r="J124">
        <v>750</v>
      </c>
      <c r="L124" t="s">
        <v>116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zoomScaleNormal="100" workbookViewId="0">
      <selection activeCell="A13" sqref="A13"/>
    </sheetView>
  </sheetViews>
  <sheetFormatPr defaultColWidth="8.6640625" defaultRowHeight="14.4" x14ac:dyDescent="0.3"/>
  <cols>
    <col min="1" max="1" width="14" customWidth="1"/>
    <col min="2" max="2" width="32" customWidth="1"/>
    <col min="3" max="5" width="16" customWidth="1"/>
  </cols>
  <sheetData>
    <row r="1" spans="1:5" ht="27.75" customHeight="1" x14ac:dyDescent="0.3">
      <c r="A1" s="1" t="s">
        <v>1</v>
      </c>
      <c r="B1" s="1" t="s">
        <v>2</v>
      </c>
      <c r="C1" s="1" t="s">
        <v>3</v>
      </c>
      <c r="D1" s="1" t="s">
        <v>9</v>
      </c>
      <c r="E1" s="1" t="s">
        <v>243</v>
      </c>
    </row>
    <row r="2" spans="1:5" ht="14.25" customHeight="1" x14ac:dyDescent="0.3">
      <c r="A2" s="2" t="s">
        <v>61</v>
      </c>
      <c r="B2" s="2" t="s">
        <v>244</v>
      </c>
      <c r="C2" s="2" t="s">
        <v>26</v>
      </c>
      <c r="D2" s="2">
        <v>280</v>
      </c>
      <c r="E2" s="2" t="s">
        <v>245</v>
      </c>
    </row>
    <row r="3" spans="1:5" ht="14.25" customHeight="1" x14ac:dyDescent="0.3">
      <c r="A3" s="2" t="s">
        <v>32</v>
      </c>
      <c r="B3" s="2" t="s">
        <v>246</v>
      </c>
      <c r="C3" s="2" t="s">
        <v>26</v>
      </c>
      <c r="D3" s="2">
        <v>420</v>
      </c>
      <c r="E3" s="2" t="s">
        <v>245</v>
      </c>
    </row>
    <row r="4" spans="1:5" ht="14.25" customHeight="1" x14ac:dyDescent="0.3">
      <c r="A4" s="3" t="s">
        <v>38</v>
      </c>
      <c r="B4" s="3" t="s">
        <v>247</v>
      </c>
      <c r="C4" s="3" t="s">
        <v>39</v>
      </c>
      <c r="D4" s="3">
        <v>1200</v>
      </c>
      <c r="E4" s="3" t="s">
        <v>248</v>
      </c>
    </row>
    <row r="5" spans="1:5" ht="14.25" customHeight="1" x14ac:dyDescent="0.3">
      <c r="A5" s="2" t="s">
        <v>55</v>
      </c>
      <c r="B5" s="2" t="s">
        <v>249</v>
      </c>
      <c r="C5" s="2" t="s">
        <v>39</v>
      </c>
      <c r="D5" s="2">
        <v>650</v>
      </c>
      <c r="E5" s="2" t="s">
        <v>248</v>
      </c>
    </row>
    <row r="6" spans="1:5" ht="14.25" customHeight="1" x14ac:dyDescent="0.3">
      <c r="A6" s="2" t="s">
        <v>16</v>
      </c>
      <c r="B6" s="2" t="s">
        <v>250</v>
      </c>
      <c r="C6" s="2" t="s">
        <v>39</v>
      </c>
      <c r="D6" s="2">
        <v>990</v>
      </c>
      <c r="E6" s="2" t="s">
        <v>248</v>
      </c>
    </row>
    <row r="7" spans="1:5" ht="14.25" customHeight="1" x14ac:dyDescent="0.3">
      <c r="A7" s="3" t="s">
        <v>49</v>
      </c>
      <c r="B7" s="3" t="s">
        <v>251</v>
      </c>
      <c r="C7" s="3" t="s">
        <v>50</v>
      </c>
      <c r="D7" s="3">
        <v>895</v>
      </c>
      <c r="E7" s="3" t="s">
        <v>252</v>
      </c>
    </row>
    <row r="8" spans="1:5" ht="14.25" customHeight="1" x14ac:dyDescent="0.3">
      <c r="A8" s="3" t="s">
        <v>63</v>
      </c>
      <c r="B8" s="3" t="s">
        <v>253</v>
      </c>
      <c r="C8" s="3" t="s">
        <v>50</v>
      </c>
      <c r="D8" s="3">
        <v>750</v>
      </c>
      <c r="E8" s="3" t="s">
        <v>252</v>
      </c>
    </row>
    <row r="9" spans="1:5" ht="14.25" customHeight="1" x14ac:dyDescent="0.3">
      <c r="A9" s="2" t="s">
        <v>44</v>
      </c>
      <c r="B9" s="2" t="s">
        <v>254</v>
      </c>
      <c r="C9" s="2" t="s">
        <v>39</v>
      </c>
      <c r="D9" s="2">
        <v>200</v>
      </c>
      <c r="E9" s="2" t="s">
        <v>248</v>
      </c>
    </row>
    <row r="10" spans="1:5" ht="14.25" customHeight="1" x14ac:dyDescent="0.3">
      <c r="A10" s="3" t="s">
        <v>58</v>
      </c>
      <c r="B10" s="3" t="s">
        <v>255</v>
      </c>
      <c r="C10" s="3" t="s">
        <v>59</v>
      </c>
      <c r="D10" s="3">
        <v>2800</v>
      </c>
      <c r="E10" s="3" t="s">
        <v>256</v>
      </c>
    </row>
    <row r="11" spans="1:5" ht="14.25" customHeight="1" x14ac:dyDescent="0.3">
      <c r="A11" s="3" t="s">
        <v>25</v>
      </c>
      <c r="B11" s="3" t="s">
        <v>257</v>
      </c>
      <c r="C11" s="3" t="s">
        <v>26</v>
      </c>
      <c r="D11" s="3">
        <v>350</v>
      </c>
      <c r="E11" s="3" t="s">
        <v>245</v>
      </c>
    </row>
    <row r="12" spans="1:5" x14ac:dyDescent="0.3">
      <c r="A12" t="s">
        <v>258</v>
      </c>
      <c r="B12" t="s">
        <v>259</v>
      </c>
      <c r="C12" t="s">
        <v>26</v>
      </c>
      <c r="D12">
        <v>680</v>
      </c>
      <c r="E12" t="s">
        <v>245</v>
      </c>
    </row>
    <row r="13" spans="1:5" x14ac:dyDescent="0.3">
      <c r="A13" t="s">
        <v>260</v>
      </c>
      <c r="B13" t="s">
        <v>261</v>
      </c>
      <c r="C13" t="s">
        <v>39</v>
      </c>
      <c r="D13">
        <v>450</v>
      </c>
      <c r="E13" t="s">
        <v>248</v>
      </c>
    </row>
    <row r="14" spans="1:5" x14ac:dyDescent="0.3">
      <c r="A14" t="s">
        <v>262</v>
      </c>
      <c r="B14" t="s">
        <v>263</v>
      </c>
      <c r="C14" t="s">
        <v>50</v>
      </c>
      <c r="D14">
        <v>820</v>
      </c>
      <c r="E14" t="s">
        <v>252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A5B14-CF03-4C4D-A4D6-6E1F1C9FDF3C}">
  <dimension ref="A1:O121"/>
  <sheetViews>
    <sheetView zoomScale="110" zoomScaleNormal="110" workbookViewId="0">
      <selection activeCell="F10" sqref="F10"/>
    </sheetView>
  </sheetViews>
  <sheetFormatPr defaultRowHeight="14.4" x14ac:dyDescent="0.3"/>
  <cols>
    <col min="1" max="1" width="10" customWidth="1"/>
    <col min="2" max="2" width="11.77734375" customWidth="1"/>
    <col min="3" max="3" width="23.33203125" customWidth="1"/>
    <col min="4" max="7" width="12.6640625" customWidth="1"/>
    <col min="8" max="9" width="14.77734375" customWidth="1"/>
    <col min="10" max="12" width="16" customWidth="1"/>
    <col min="13" max="13" width="14.77734375" customWidth="1"/>
    <col min="14" max="14" width="16.5546875" customWidth="1"/>
    <col min="15" max="15" width="13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5" t="s">
        <v>250</v>
      </c>
      <c r="D2" s="5" t="s">
        <v>39</v>
      </c>
      <c r="E2" s="5" t="s">
        <v>51</v>
      </c>
      <c r="F2" s="5" t="s">
        <v>52</v>
      </c>
      <c r="G2" s="5" t="s">
        <v>56</v>
      </c>
      <c r="H2" s="4">
        <v>45292</v>
      </c>
      <c r="I2" s="6">
        <v>337</v>
      </c>
      <c r="J2" s="8">
        <v>990</v>
      </c>
      <c r="K2" s="7">
        <v>0.12</v>
      </c>
      <c r="L2" s="5" t="s">
        <v>36</v>
      </c>
      <c r="M2" s="8">
        <f>old_data[[#This Row],[Units Sold]]*old_data[[#This Row],[Unit Price (₦)]]</f>
        <v>333630</v>
      </c>
      <c r="N2" s="9">
        <f>old_data[[#This Row],[Total Sales (₦)]]*(1-old_data[[#This Row],[Discount (%)]])</f>
        <v>293594.40000000002</v>
      </c>
      <c r="O2" s="5" t="str">
        <f>IF(old_data[[#This Row],[Net Revenue (₦)]]&gt;350000,"High",IF(old_data[[#This Row],[Net Revenue (₦)]]&gt;100000,"Medium","Low"))</f>
        <v>Medium</v>
      </c>
    </row>
    <row r="3" spans="1:15" x14ac:dyDescent="0.3">
      <c r="A3" t="s">
        <v>24</v>
      </c>
      <c r="B3" t="s">
        <v>25</v>
      </c>
      <c r="C3" s="5" t="s">
        <v>257</v>
      </c>
      <c r="D3" s="5" t="s">
        <v>26</v>
      </c>
      <c r="E3" s="5" t="s">
        <v>27</v>
      </c>
      <c r="F3" s="5" t="s">
        <v>28</v>
      </c>
      <c r="G3" s="5" t="s">
        <v>29</v>
      </c>
      <c r="H3" s="4">
        <v>45293</v>
      </c>
      <c r="I3" s="6">
        <v>135</v>
      </c>
      <c r="J3" s="8">
        <v>350</v>
      </c>
      <c r="K3" s="7">
        <v>0</v>
      </c>
      <c r="L3" s="5" t="s">
        <v>30</v>
      </c>
      <c r="M3" s="8">
        <f>old_data[[#This Row],[Units Sold]]*old_data[[#This Row],[Unit Price (₦)]]</f>
        <v>47250</v>
      </c>
      <c r="N3" s="9">
        <f>old_data[[#This Row],[Total Sales (₦)]]*(1-old_data[[#This Row],[Discount (%)]])</f>
        <v>47250</v>
      </c>
      <c r="O3" s="5" t="str">
        <f>IF(old_data[[#This Row],[Net Revenue (₦)]]&gt;350000,"High",IF(old_data[[#This Row],[Net Revenue (₦)]]&gt;100000,"Medium","Low"))</f>
        <v>Low</v>
      </c>
    </row>
    <row r="4" spans="1:15" x14ac:dyDescent="0.3">
      <c r="A4" t="s">
        <v>31</v>
      </c>
      <c r="B4" t="s">
        <v>32</v>
      </c>
      <c r="C4" s="5" t="s">
        <v>246</v>
      </c>
      <c r="D4" s="5" t="s">
        <v>26</v>
      </c>
      <c r="E4" s="5" t="s">
        <v>33</v>
      </c>
      <c r="F4" s="5" t="s">
        <v>34</v>
      </c>
      <c r="G4" s="5" t="s">
        <v>35</v>
      </c>
      <c r="H4" s="4">
        <v>45294</v>
      </c>
      <c r="I4" s="6">
        <v>387</v>
      </c>
      <c r="J4" s="8">
        <v>420</v>
      </c>
      <c r="K4" s="7">
        <v>0</v>
      </c>
      <c r="L4" s="5" t="s">
        <v>36</v>
      </c>
      <c r="M4" s="8">
        <f>old_data[[#This Row],[Units Sold]]*old_data[[#This Row],[Unit Price (₦)]]</f>
        <v>162540</v>
      </c>
      <c r="N4" s="9">
        <f>old_data[[#This Row],[Total Sales (₦)]]*(1-old_data[[#This Row],[Discount (%)]])</f>
        <v>162540</v>
      </c>
      <c r="O4" s="5" t="str">
        <f>IF(old_data[[#This Row],[Net Revenue (₦)]]&gt;350000,"High",IF(old_data[[#This Row],[Net Revenue (₦)]]&gt;100000,"Medium","Low"))</f>
        <v>Medium</v>
      </c>
    </row>
    <row r="5" spans="1:15" x14ac:dyDescent="0.3">
      <c r="A5" t="s">
        <v>37</v>
      </c>
      <c r="B5" t="s">
        <v>38</v>
      </c>
      <c r="C5" s="5" t="s">
        <v>247</v>
      </c>
      <c r="D5" s="5" t="s">
        <v>39</v>
      </c>
      <c r="E5" s="5" t="s">
        <v>40</v>
      </c>
      <c r="F5" s="5" t="s">
        <v>41</v>
      </c>
      <c r="G5" s="5" t="s">
        <v>42</v>
      </c>
      <c r="H5" s="4">
        <v>45295</v>
      </c>
      <c r="I5" s="6">
        <v>389</v>
      </c>
      <c r="J5" s="8">
        <v>1200</v>
      </c>
      <c r="K5" s="7">
        <v>0.03</v>
      </c>
      <c r="L5" s="5" t="s">
        <v>36</v>
      </c>
      <c r="M5" s="8">
        <f>old_data[[#This Row],[Units Sold]]*old_data[[#This Row],[Unit Price (₦)]]</f>
        <v>466800</v>
      </c>
      <c r="N5" s="9">
        <f>old_data[[#This Row],[Total Sales (₦)]]*(1-old_data[[#This Row],[Discount (%)]])</f>
        <v>452796</v>
      </c>
      <c r="O5" s="5" t="str">
        <f>IF(old_data[[#This Row],[Net Revenue (₦)]]&gt;350000,"High",IF(old_data[[#This Row],[Net Revenue (₦)]]&gt;100000,"Medium","Low"))</f>
        <v>High</v>
      </c>
    </row>
    <row r="6" spans="1:15" x14ac:dyDescent="0.3">
      <c r="A6" t="s">
        <v>43</v>
      </c>
      <c r="B6" t="s">
        <v>44</v>
      </c>
      <c r="C6" s="5" t="s">
        <v>254</v>
      </c>
      <c r="D6" s="5" t="s">
        <v>39</v>
      </c>
      <c r="E6" s="5" t="s">
        <v>45</v>
      </c>
      <c r="F6" s="5" t="s">
        <v>46</v>
      </c>
      <c r="G6" s="5" t="s">
        <v>47</v>
      </c>
      <c r="H6" s="4">
        <v>45296</v>
      </c>
      <c r="I6" s="6">
        <v>226</v>
      </c>
      <c r="J6" s="8">
        <v>200</v>
      </c>
      <c r="K6" s="7">
        <v>0</v>
      </c>
      <c r="L6" s="5" t="s">
        <v>30</v>
      </c>
      <c r="M6" s="8">
        <f>old_data[[#This Row],[Units Sold]]*old_data[[#This Row],[Unit Price (₦)]]</f>
        <v>45200</v>
      </c>
      <c r="N6" s="9">
        <f>old_data[[#This Row],[Total Sales (₦)]]*(1-old_data[[#This Row],[Discount (%)]])</f>
        <v>45200</v>
      </c>
      <c r="O6" s="5" t="str">
        <f>IF(old_data[[#This Row],[Net Revenue (₦)]]&gt;350000,"High",IF(old_data[[#This Row],[Net Revenue (₦)]]&gt;100000,"Medium","Low"))</f>
        <v>Low</v>
      </c>
    </row>
    <row r="7" spans="1:15" x14ac:dyDescent="0.3">
      <c r="A7" t="s">
        <v>48</v>
      </c>
      <c r="B7" t="s">
        <v>49</v>
      </c>
      <c r="C7" s="5" t="s">
        <v>251</v>
      </c>
      <c r="D7" s="5" t="s">
        <v>50</v>
      </c>
      <c r="E7" s="5" t="s">
        <v>51</v>
      </c>
      <c r="F7" s="5" t="s">
        <v>52</v>
      </c>
      <c r="G7" s="5" t="s">
        <v>53</v>
      </c>
      <c r="H7" s="4">
        <v>45297</v>
      </c>
      <c r="I7" s="6">
        <v>100</v>
      </c>
      <c r="J7" s="8">
        <v>895</v>
      </c>
      <c r="K7" s="7">
        <v>0</v>
      </c>
      <c r="L7" s="5" t="s">
        <v>36</v>
      </c>
      <c r="M7" s="8">
        <v>89500</v>
      </c>
      <c r="N7" s="9">
        <f>old_data[[#This Row],[Total Sales (₦)]]*(1-old_data[[#This Row],[Discount (%)]])</f>
        <v>89500</v>
      </c>
      <c r="O7" s="5" t="str">
        <f>IF(old_data[[#This Row],[Net Revenue (₦)]]&gt;350000,"High",IF(old_data[[#This Row],[Net Revenue (₦)]]&gt;100000,"Medium","Low"))</f>
        <v>Low</v>
      </c>
    </row>
    <row r="8" spans="1:15" x14ac:dyDescent="0.3">
      <c r="A8" t="s">
        <v>54</v>
      </c>
      <c r="B8" t="s">
        <v>55</v>
      </c>
      <c r="C8" s="5" t="s">
        <v>249</v>
      </c>
      <c r="D8" s="5" t="s">
        <v>39</v>
      </c>
      <c r="E8" s="5" t="s">
        <v>27</v>
      </c>
      <c r="F8" s="5" t="s">
        <v>28</v>
      </c>
      <c r="G8" s="5" t="s">
        <v>56</v>
      </c>
      <c r="H8" s="4">
        <v>45298</v>
      </c>
      <c r="I8" s="6">
        <v>268</v>
      </c>
      <c r="J8" s="8">
        <v>650</v>
      </c>
      <c r="K8" s="7">
        <v>0.09</v>
      </c>
      <c r="L8" s="5" t="s">
        <v>30</v>
      </c>
      <c r="M8" s="8">
        <f>old_data[[#This Row],[Units Sold]]*old_data[[#This Row],[Unit Price (₦)]]</f>
        <v>174200</v>
      </c>
      <c r="N8" s="9">
        <f>old_data[[#This Row],[Total Sales (₦)]]*(1-old_data[[#This Row],[Discount (%)]])</f>
        <v>158522</v>
      </c>
      <c r="O8" s="5" t="str">
        <f>IF(old_data[[#This Row],[Net Revenue (₦)]]&gt;350000,"High",IF(old_data[[#This Row],[Net Revenue (₦)]]&gt;100000,"Medium","Low"))</f>
        <v>Medium</v>
      </c>
    </row>
    <row r="9" spans="1:15" x14ac:dyDescent="0.3">
      <c r="A9" t="s">
        <v>57</v>
      </c>
      <c r="B9" t="s">
        <v>58</v>
      </c>
      <c r="C9" s="5" t="s">
        <v>255</v>
      </c>
      <c r="D9" s="5" t="s">
        <v>59</v>
      </c>
      <c r="E9" s="5" t="s">
        <v>33</v>
      </c>
      <c r="F9" s="5" t="s">
        <v>34</v>
      </c>
      <c r="G9" s="5" t="s">
        <v>29</v>
      </c>
      <c r="H9" s="4">
        <v>45299</v>
      </c>
      <c r="I9" s="6">
        <v>376</v>
      </c>
      <c r="J9" s="8">
        <v>2800</v>
      </c>
      <c r="K9" s="7">
        <v>0</v>
      </c>
      <c r="L9" s="5" t="s">
        <v>36</v>
      </c>
      <c r="M9" s="8">
        <f>old_data[[#This Row],[Units Sold]]*old_data[[#This Row],[Unit Price (₦)]]</f>
        <v>1052800</v>
      </c>
      <c r="N9" s="9">
        <f>old_data[[#This Row],[Total Sales (₦)]]*(1-old_data[[#This Row],[Discount (%)]])</f>
        <v>1052800</v>
      </c>
      <c r="O9" s="5" t="str">
        <f>IF(old_data[[#This Row],[Net Revenue (₦)]]&gt;350000,"High",IF(old_data[[#This Row],[Net Revenue (₦)]]&gt;100000,"Medium","Low"))</f>
        <v>High</v>
      </c>
    </row>
    <row r="10" spans="1:15" x14ac:dyDescent="0.3">
      <c r="A10" t="s">
        <v>60</v>
      </c>
      <c r="B10" t="s">
        <v>61</v>
      </c>
      <c r="C10" s="5" t="s">
        <v>244</v>
      </c>
      <c r="D10" s="5" t="s">
        <v>26</v>
      </c>
      <c r="E10" s="5" t="s">
        <v>40</v>
      </c>
      <c r="F10" s="5" t="s">
        <v>41</v>
      </c>
      <c r="G10" s="5" t="s">
        <v>35</v>
      </c>
      <c r="H10" s="4">
        <v>45300</v>
      </c>
      <c r="I10" s="6">
        <v>289</v>
      </c>
      <c r="J10" s="8">
        <v>280</v>
      </c>
      <c r="K10" s="7">
        <v>0</v>
      </c>
      <c r="L10" s="5" t="s">
        <v>36</v>
      </c>
      <c r="M10" s="8">
        <f>old_data[[#This Row],[Units Sold]]*old_data[[#This Row],[Unit Price (₦)]]</f>
        <v>80920</v>
      </c>
      <c r="N10" s="9">
        <f>old_data[[#This Row],[Total Sales (₦)]]*(1-old_data[[#This Row],[Discount (%)]])</f>
        <v>80920</v>
      </c>
      <c r="O10" s="5" t="str">
        <f>IF(old_data[[#This Row],[Net Revenue (₦)]]&gt;350000,"High",IF(old_data[[#This Row],[Net Revenue (₦)]]&gt;100000,"Medium","Low"))</f>
        <v>Low</v>
      </c>
    </row>
    <row r="11" spans="1:15" x14ac:dyDescent="0.3">
      <c r="A11" t="s">
        <v>62</v>
      </c>
      <c r="B11" t="s">
        <v>63</v>
      </c>
      <c r="C11" s="5" t="s">
        <v>253</v>
      </c>
      <c r="D11" s="5" t="s">
        <v>50</v>
      </c>
      <c r="E11" s="5" t="s">
        <v>45</v>
      </c>
      <c r="F11" s="5" t="s">
        <v>46</v>
      </c>
      <c r="G11" s="5" t="s">
        <v>42</v>
      </c>
      <c r="H11" s="4">
        <v>45301</v>
      </c>
      <c r="I11" s="6">
        <v>239</v>
      </c>
      <c r="J11" s="8">
        <v>750</v>
      </c>
      <c r="K11" s="7">
        <v>0.13</v>
      </c>
      <c r="L11" s="5" t="s">
        <v>30</v>
      </c>
      <c r="M11" s="8">
        <f>old_data[[#This Row],[Units Sold]]*old_data[[#This Row],[Unit Price (₦)]]</f>
        <v>179250</v>
      </c>
      <c r="N11" s="9">
        <f>old_data[[#This Row],[Total Sales (₦)]]*(1-old_data[[#This Row],[Discount (%)]])</f>
        <v>155947.5</v>
      </c>
      <c r="O11" s="5" t="str">
        <f>IF(old_data[[#This Row],[Net Revenue (₦)]]&gt;350000,"High",IF(old_data[[#This Row],[Net Revenue (₦)]]&gt;100000,"Medium","Low"))</f>
        <v>Medium</v>
      </c>
    </row>
    <row r="12" spans="1:15" x14ac:dyDescent="0.3">
      <c r="A12" t="s">
        <v>64</v>
      </c>
      <c r="B12" t="s">
        <v>16</v>
      </c>
      <c r="C12" s="5" t="s">
        <v>250</v>
      </c>
      <c r="D12" s="5" t="s">
        <v>39</v>
      </c>
      <c r="E12" s="5" t="s">
        <v>51</v>
      </c>
      <c r="F12" s="5" t="s">
        <v>52</v>
      </c>
      <c r="G12" s="5" t="s">
        <v>47</v>
      </c>
      <c r="H12" s="4">
        <v>45302</v>
      </c>
      <c r="I12" s="6">
        <v>13</v>
      </c>
      <c r="J12" s="8">
        <v>990</v>
      </c>
      <c r="K12" s="7">
        <v>0</v>
      </c>
      <c r="L12" s="5" t="s">
        <v>36</v>
      </c>
      <c r="M12" s="8">
        <f>old_data[[#This Row],[Units Sold]]*old_data[[#This Row],[Unit Price (₦)]]</f>
        <v>12870</v>
      </c>
      <c r="N12" s="9">
        <f>old_data[[#This Row],[Total Sales (₦)]]*(1-old_data[[#This Row],[Discount (%)]])</f>
        <v>12870</v>
      </c>
      <c r="O12" s="5" t="str">
        <f>IF(old_data[[#This Row],[Net Revenue (₦)]]&gt;350000,"High",IF(old_data[[#This Row],[Net Revenue (₦)]]&gt;100000,"Medium","Low"))</f>
        <v>Low</v>
      </c>
    </row>
    <row r="13" spans="1:15" x14ac:dyDescent="0.3">
      <c r="A13" t="s">
        <v>65</v>
      </c>
      <c r="B13" t="s">
        <v>25</v>
      </c>
      <c r="C13" s="5" t="s">
        <v>257</v>
      </c>
      <c r="D13" s="5" t="s">
        <v>26</v>
      </c>
      <c r="E13" s="5" t="s">
        <v>27</v>
      </c>
      <c r="F13" s="5" t="s">
        <v>28</v>
      </c>
      <c r="G13" s="5" t="s">
        <v>53</v>
      </c>
      <c r="H13" s="4">
        <v>45304</v>
      </c>
      <c r="I13" s="6">
        <v>91</v>
      </c>
      <c r="J13" s="8">
        <v>350</v>
      </c>
      <c r="K13" s="7">
        <v>0</v>
      </c>
      <c r="L13" s="5" t="s">
        <v>30</v>
      </c>
      <c r="M13" s="8">
        <f>old_data[[#This Row],[Units Sold]]*old_data[[#This Row],[Unit Price (₦)]]</f>
        <v>31850</v>
      </c>
      <c r="N13" s="9">
        <f>old_data[[#This Row],[Total Sales (₦)]]*(1-old_data[[#This Row],[Discount (%)]])</f>
        <v>31850</v>
      </c>
      <c r="O13" s="5" t="str">
        <f>IF(old_data[[#This Row],[Net Revenue (₦)]]&gt;350000,"High",IF(old_data[[#This Row],[Net Revenue (₦)]]&gt;100000,"Medium","Low"))</f>
        <v>Low</v>
      </c>
    </row>
    <row r="14" spans="1:15" x14ac:dyDescent="0.3">
      <c r="A14" t="s">
        <v>71</v>
      </c>
      <c r="B14" t="s">
        <v>32</v>
      </c>
      <c r="C14" s="5" t="s">
        <v>246</v>
      </c>
      <c r="D14" s="5" t="s">
        <v>26</v>
      </c>
      <c r="E14" s="5" t="s">
        <v>33</v>
      </c>
      <c r="F14" s="5" t="s">
        <v>34</v>
      </c>
      <c r="G14" s="5" t="s">
        <v>56</v>
      </c>
      <c r="H14" s="4">
        <v>45305</v>
      </c>
      <c r="I14" s="6">
        <v>184</v>
      </c>
      <c r="J14" s="8">
        <v>420</v>
      </c>
      <c r="K14" s="7">
        <v>0.05</v>
      </c>
      <c r="L14" s="5" t="s">
        <v>36</v>
      </c>
      <c r="M14" s="8">
        <f>old_data[[#This Row],[Units Sold]]*old_data[[#This Row],[Unit Price (₦)]]</f>
        <v>77280</v>
      </c>
      <c r="N14" s="9">
        <f>old_data[[#This Row],[Total Sales (₦)]]*(1-old_data[[#This Row],[Discount (%)]])</f>
        <v>73416</v>
      </c>
      <c r="O14" s="5" t="str">
        <f>IF(old_data[[#This Row],[Net Revenue (₦)]]&gt;350000,"High",IF(old_data[[#This Row],[Net Revenue (₦)]]&gt;100000,"Medium","Low"))</f>
        <v>Low</v>
      </c>
    </row>
    <row r="15" spans="1:15" x14ac:dyDescent="0.3">
      <c r="A15" t="s">
        <v>72</v>
      </c>
      <c r="B15" t="s">
        <v>38</v>
      </c>
      <c r="C15" s="5" t="s">
        <v>247</v>
      </c>
      <c r="D15" s="5" t="s">
        <v>39</v>
      </c>
      <c r="E15" s="5" t="s">
        <v>40</v>
      </c>
      <c r="F15" s="5" t="s">
        <v>41</v>
      </c>
      <c r="G15" s="5" t="s">
        <v>29</v>
      </c>
      <c r="H15" s="4">
        <v>45306</v>
      </c>
      <c r="I15" s="6">
        <v>400</v>
      </c>
      <c r="J15" s="8">
        <v>1200</v>
      </c>
      <c r="K15" s="7">
        <v>0</v>
      </c>
      <c r="L15" s="5" t="s">
        <v>36</v>
      </c>
      <c r="M15" s="8">
        <f>old_data[[#This Row],[Units Sold]]*old_data[[#This Row],[Unit Price (₦)]]</f>
        <v>480000</v>
      </c>
      <c r="N15" s="9">
        <f>old_data[[#This Row],[Total Sales (₦)]]*(1-old_data[[#This Row],[Discount (%)]])</f>
        <v>480000</v>
      </c>
      <c r="O15" s="5" t="str">
        <f>IF(old_data[[#This Row],[Net Revenue (₦)]]&gt;350000,"High",IF(old_data[[#This Row],[Net Revenue (₦)]]&gt;100000,"Medium","Low"))</f>
        <v>High</v>
      </c>
    </row>
    <row r="16" spans="1:15" x14ac:dyDescent="0.3">
      <c r="A16" t="s">
        <v>73</v>
      </c>
      <c r="B16" t="s">
        <v>44</v>
      </c>
      <c r="C16" s="5" t="s">
        <v>254</v>
      </c>
      <c r="D16" s="5" t="s">
        <v>39</v>
      </c>
      <c r="E16" s="5" t="s">
        <v>45</v>
      </c>
      <c r="F16" s="5" t="s">
        <v>46</v>
      </c>
      <c r="G16" s="5" t="s">
        <v>35</v>
      </c>
      <c r="H16" s="4">
        <v>45307</v>
      </c>
      <c r="I16" s="6">
        <v>57</v>
      </c>
      <c r="J16" s="8">
        <v>200</v>
      </c>
      <c r="K16" s="7">
        <v>0</v>
      </c>
      <c r="L16" s="5" t="s">
        <v>30</v>
      </c>
      <c r="M16" s="8">
        <f>old_data[[#This Row],[Units Sold]]*old_data[[#This Row],[Unit Price (₦)]]</f>
        <v>11400</v>
      </c>
      <c r="N16" s="9">
        <f>old_data[[#This Row],[Total Sales (₦)]]*(1-old_data[[#This Row],[Discount (%)]])</f>
        <v>11400</v>
      </c>
      <c r="O16" s="5" t="str">
        <f>IF(old_data[[#This Row],[Net Revenue (₦)]]&gt;350000,"High",IF(old_data[[#This Row],[Net Revenue (₦)]]&gt;100000,"Medium","Low"))</f>
        <v>Low</v>
      </c>
    </row>
    <row r="17" spans="1:15" x14ac:dyDescent="0.3">
      <c r="A17" t="s">
        <v>74</v>
      </c>
      <c r="B17" t="s">
        <v>49</v>
      </c>
      <c r="C17" s="5" t="s">
        <v>251</v>
      </c>
      <c r="D17" s="5" t="s">
        <v>50</v>
      </c>
      <c r="E17" s="5" t="s">
        <v>51</v>
      </c>
      <c r="F17" s="5" t="s">
        <v>52</v>
      </c>
      <c r="G17" s="5" t="s">
        <v>42</v>
      </c>
      <c r="H17" s="4">
        <v>45308</v>
      </c>
      <c r="I17" s="6">
        <v>193</v>
      </c>
      <c r="J17" s="8">
        <v>895</v>
      </c>
      <c r="K17" s="7">
        <v>0.1</v>
      </c>
      <c r="L17" s="5" t="s">
        <v>36</v>
      </c>
      <c r="M17" s="8">
        <f>old_data[[#This Row],[Units Sold]]*old_data[[#This Row],[Unit Price (₦)]]</f>
        <v>172735</v>
      </c>
      <c r="N17" s="9">
        <f>old_data[[#This Row],[Total Sales (₦)]]*(1-old_data[[#This Row],[Discount (%)]])</f>
        <v>155461.5</v>
      </c>
      <c r="O17" s="5" t="str">
        <f>IF(old_data[[#This Row],[Net Revenue (₦)]]&gt;350000,"High",IF(old_data[[#This Row],[Net Revenue (₦)]]&gt;100000,"Medium","Low"))</f>
        <v>Medium</v>
      </c>
    </row>
    <row r="18" spans="1:15" x14ac:dyDescent="0.3">
      <c r="A18" t="s">
        <v>75</v>
      </c>
      <c r="B18" t="s">
        <v>55</v>
      </c>
      <c r="C18" s="5" t="s">
        <v>249</v>
      </c>
      <c r="D18" s="5" t="s">
        <v>39</v>
      </c>
      <c r="E18" s="5" t="s">
        <v>27</v>
      </c>
      <c r="F18" s="5" t="s">
        <v>28</v>
      </c>
      <c r="G18" s="5" t="s">
        <v>47</v>
      </c>
      <c r="H18" s="4">
        <v>45309</v>
      </c>
      <c r="I18" s="6">
        <v>423</v>
      </c>
      <c r="J18" s="8">
        <v>650</v>
      </c>
      <c r="K18" s="7">
        <v>0</v>
      </c>
      <c r="L18" s="5" t="s">
        <v>30</v>
      </c>
      <c r="M18" s="8">
        <f>old_data[[#This Row],[Units Sold]]*old_data[[#This Row],[Unit Price (₦)]]</f>
        <v>274950</v>
      </c>
      <c r="N18" s="9">
        <f>old_data[[#This Row],[Total Sales (₦)]]*(1-old_data[[#This Row],[Discount (%)]])</f>
        <v>274950</v>
      </c>
      <c r="O18" s="5" t="str">
        <f>IF(old_data[[#This Row],[Net Revenue (₦)]]&gt;350000,"High",IF(old_data[[#This Row],[Net Revenue (₦)]]&gt;100000,"Medium","Low"))</f>
        <v>Medium</v>
      </c>
    </row>
    <row r="19" spans="1:15" x14ac:dyDescent="0.3">
      <c r="A19" t="s">
        <v>76</v>
      </c>
      <c r="B19" t="s">
        <v>58</v>
      </c>
      <c r="C19" s="5" t="s">
        <v>255</v>
      </c>
      <c r="D19" s="5" t="s">
        <v>59</v>
      </c>
      <c r="E19" s="5" t="s">
        <v>33</v>
      </c>
      <c r="F19" s="5" t="s">
        <v>34</v>
      </c>
      <c r="G19" s="5" t="s">
        <v>53</v>
      </c>
      <c r="H19" s="4">
        <v>45310</v>
      </c>
      <c r="I19" s="6">
        <v>245</v>
      </c>
      <c r="J19" s="8">
        <v>2800</v>
      </c>
      <c r="K19" s="7">
        <v>0</v>
      </c>
      <c r="L19" s="5" t="s">
        <v>36</v>
      </c>
      <c r="M19" s="8">
        <f>old_data[[#This Row],[Units Sold]]*old_data[[#This Row],[Unit Price (₦)]]</f>
        <v>686000</v>
      </c>
      <c r="N19" s="9">
        <f>old_data[[#This Row],[Total Sales (₦)]]*(1-old_data[[#This Row],[Discount (%)]])</f>
        <v>686000</v>
      </c>
      <c r="O19" s="5" t="str">
        <f>IF(old_data[[#This Row],[Net Revenue (₦)]]&gt;350000,"High",IF(old_data[[#This Row],[Net Revenue (₦)]]&gt;100000,"Medium","Low"))</f>
        <v>High</v>
      </c>
    </row>
    <row r="20" spans="1:15" x14ac:dyDescent="0.3">
      <c r="A20" t="s">
        <v>81</v>
      </c>
      <c r="B20" t="s">
        <v>61</v>
      </c>
      <c r="C20" s="5" t="s">
        <v>244</v>
      </c>
      <c r="D20" s="5" t="s">
        <v>26</v>
      </c>
      <c r="E20" s="5" t="s">
        <v>40</v>
      </c>
      <c r="F20" s="5" t="s">
        <v>41</v>
      </c>
      <c r="G20" s="5" t="s">
        <v>56</v>
      </c>
      <c r="H20" s="4">
        <v>45311</v>
      </c>
      <c r="I20" s="6">
        <v>482</v>
      </c>
      <c r="J20" s="8">
        <v>280</v>
      </c>
      <c r="K20" s="7">
        <v>0.09</v>
      </c>
      <c r="L20" s="5" t="s">
        <v>36</v>
      </c>
      <c r="M20" s="8">
        <f>old_data[[#This Row],[Units Sold]]*old_data[[#This Row],[Unit Price (₦)]]</f>
        <v>134960</v>
      </c>
      <c r="N20" s="9">
        <f>old_data[[#This Row],[Total Sales (₦)]]*(1-old_data[[#This Row],[Discount (%)]])</f>
        <v>122813.6</v>
      </c>
      <c r="O20" s="5" t="str">
        <f>IF(old_data[[#This Row],[Net Revenue (₦)]]&gt;350000,"High",IF(old_data[[#This Row],[Net Revenue (₦)]]&gt;100000,"Medium","Low"))</f>
        <v>Medium</v>
      </c>
    </row>
    <row r="21" spans="1:15" x14ac:dyDescent="0.3">
      <c r="A21" t="s">
        <v>82</v>
      </c>
      <c r="B21" t="s">
        <v>63</v>
      </c>
      <c r="C21" s="5" t="s">
        <v>253</v>
      </c>
      <c r="D21" s="5" t="s">
        <v>50</v>
      </c>
      <c r="E21" s="5" t="s">
        <v>45</v>
      </c>
      <c r="F21" s="5" t="s">
        <v>46</v>
      </c>
      <c r="G21" s="5" t="s">
        <v>29</v>
      </c>
      <c r="H21" s="4">
        <v>45312</v>
      </c>
      <c r="I21" s="6">
        <v>434</v>
      </c>
      <c r="J21" s="8">
        <v>750</v>
      </c>
      <c r="K21" s="7">
        <v>0</v>
      </c>
      <c r="L21" s="5" t="s">
        <v>30</v>
      </c>
      <c r="M21" s="8">
        <f>old_data[[#This Row],[Units Sold]]*old_data[[#This Row],[Unit Price (₦)]]</f>
        <v>325500</v>
      </c>
      <c r="N21" s="9">
        <f>old_data[[#This Row],[Total Sales (₦)]]*(1-old_data[[#This Row],[Discount (%)]])</f>
        <v>325500</v>
      </c>
      <c r="O21" s="5" t="str">
        <f>IF(old_data[[#This Row],[Net Revenue (₦)]]&gt;350000,"High",IF(old_data[[#This Row],[Net Revenue (₦)]]&gt;100000,"Medium","Low"))</f>
        <v>Medium</v>
      </c>
    </row>
    <row r="22" spans="1:15" x14ac:dyDescent="0.3">
      <c r="A22" t="s">
        <v>84</v>
      </c>
      <c r="B22" t="s">
        <v>16</v>
      </c>
      <c r="C22" s="5" t="s">
        <v>250</v>
      </c>
      <c r="D22" s="5" t="s">
        <v>39</v>
      </c>
      <c r="E22" s="5" t="s">
        <v>51</v>
      </c>
      <c r="F22" s="5" t="s">
        <v>52</v>
      </c>
      <c r="G22" s="5" t="s">
        <v>35</v>
      </c>
      <c r="H22" s="4">
        <v>45313</v>
      </c>
      <c r="I22" s="6">
        <v>463</v>
      </c>
      <c r="J22" s="8">
        <v>990</v>
      </c>
      <c r="K22" s="7">
        <v>0</v>
      </c>
      <c r="L22" s="5" t="s">
        <v>36</v>
      </c>
      <c r="M22" s="8">
        <f>old_data[[#This Row],[Units Sold]]*old_data[[#This Row],[Unit Price (₦)]]</f>
        <v>458370</v>
      </c>
      <c r="N22" s="9">
        <f>old_data[[#This Row],[Total Sales (₦)]]*(1-old_data[[#This Row],[Discount (%)]])</f>
        <v>458370</v>
      </c>
      <c r="O22" s="5" t="str">
        <f>IF(old_data[[#This Row],[Net Revenue (₦)]]&gt;350000,"High",IF(old_data[[#This Row],[Net Revenue (₦)]]&gt;100000,"Medium","Low"))</f>
        <v>High</v>
      </c>
    </row>
    <row r="23" spans="1:15" x14ac:dyDescent="0.3">
      <c r="A23" t="s">
        <v>85</v>
      </c>
      <c r="B23" t="s">
        <v>25</v>
      </c>
      <c r="C23" s="5" t="s">
        <v>257</v>
      </c>
      <c r="D23" s="5" t="s">
        <v>26</v>
      </c>
      <c r="E23" s="5" t="s">
        <v>27</v>
      </c>
      <c r="F23" s="5" t="s">
        <v>28</v>
      </c>
      <c r="G23" s="5" t="s">
        <v>42</v>
      </c>
      <c r="H23" s="4">
        <v>45314</v>
      </c>
      <c r="I23" s="6">
        <v>305</v>
      </c>
      <c r="J23" s="8">
        <v>350</v>
      </c>
      <c r="K23" s="7">
        <v>0.03</v>
      </c>
      <c r="L23" s="5" t="s">
        <v>30</v>
      </c>
      <c r="M23" s="8">
        <f>old_data[[#This Row],[Units Sold]]*old_data[[#This Row],[Unit Price (₦)]]</f>
        <v>106750</v>
      </c>
      <c r="N23" s="9">
        <f>old_data[[#This Row],[Total Sales (₦)]]*(1-old_data[[#This Row],[Discount (%)]])</f>
        <v>103547.5</v>
      </c>
      <c r="O23" s="5" t="str">
        <f>IF(old_data[[#This Row],[Net Revenue (₦)]]&gt;350000,"High",IF(old_data[[#This Row],[Net Revenue (₦)]]&gt;100000,"Medium","Low"))</f>
        <v>Medium</v>
      </c>
    </row>
    <row r="24" spans="1:15" x14ac:dyDescent="0.3">
      <c r="A24" t="s">
        <v>86</v>
      </c>
      <c r="B24" t="s">
        <v>32</v>
      </c>
      <c r="C24" s="5" t="s">
        <v>246</v>
      </c>
      <c r="D24" s="5" t="s">
        <v>26</v>
      </c>
      <c r="E24" s="5" t="s">
        <v>33</v>
      </c>
      <c r="F24" s="5" t="s">
        <v>34</v>
      </c>
      <c r="G24" s="5" t="s">
        <v>47</v>
      </c>
      <c r="H24" s="4">
        <v>45315</v>
      </c>
      <c r="I24" s="6">
        <v>150</v>
      </c>
      <c r="J24" s="8">
        <v>420</v>
      </c>
      <c r="K24" s="7">
        <v>0</v>
      </c>
      <c r="L24" s="5" t="s">
        <v>36</v>
      </c>
      <c r="M24" s="8">
        <v>63000</v>
      </c>
      <c r="N24" s="9">
        <f>old_data[[#This Row],[Total Sales (₦)]]*(1-old_data[[#This Row],[Discount (%)]])</f>
        <v>63000</v>
      </c>
      <c r="O24" s="5" t="str">
        <f>IF(old_data[[#This Row],[Net Revenue (₦)]]&gt;350000,"High",IF(old_data[[#This Row],[Net Revenue (₦)]]&gt;100000,"Medium","Low"))</f>
        <v>Low</v>
      </c>
    </row>
    <row r="25" spans="1:15" x14ac:dyDescent="0.3">
      <c r="A25" t="s">
        <v>91</v>
      </c>
      <c r="B25" t="s">
        <v>38</v>
      </c>
      <c r="C25" s="5" t="s">
        <v>247</v>
      </c>
      <c r="D25" s="5" t="s">
        <v>39</v>
      </c>
      <c r="E25" s="5" t="s">
        <v>40</v>
      </c>
      <c r="F25" s="5" t="s">
        <v>41</v>
      </c>
      <c r="G25" s="5" t="s">
        <v>53</v>
      </c>
      <c r="H25" s="4">
        <v>45316</v>
      </c>
      <c r="I25" s="6">
        <v>158</v>
      </c>
      <c r="J25" s="8">
        <v>1200</v>
      </c>
      <c r="K25" s="7">
        <v>0</v>
      </c>
      <c r="L25" s="5" t="s">
        <v>36</v>
      </c>
      <c r="M25" s="8">
        <f>old_data[[#This Row],[Units Sold]]*old_data[[#This Row],[Unit Price (₦)]]</f>
        <v>189600</v>
      </c>
      <c r="N25" s="9">
        <f>old_data[[#This Row],[Total Sales (₦)]]*(1-old_data[[#This Row],[Discount (%)]])</f>
        <v>189600</v>
      </c>
      <c r="O25" s="5" t="str">
        <f>IF(old_data[[#This Row],[Net Revenue (₦)]]&gt;350000,"High",IF(old_data[[#This Row],[Net Revenue (₦)]]&gt;100000,"Medium","Low"))</f>
        <v>Medium</v>
      </c>
    </row>
    <row r="26" spans="1:15" x14ac:dyDescent="0.3">
      <c r="A26" t="s">
        <v>97</v>
      </c>
      <c r="B26" t="s">
        <v>44</v>
      </c>
      <c r="C26" s="5" t="s">
        <v>254</v>
      </c>
      <c r="D26" s="5" t="s">
        <v>39</v>
      </c>
      <c r="E26" s="5" t="s">
        <v>45</v>
      </c>
      <c r="F26" s="5" t="s">
        <v>46</v>
      </c>
      <c r="G26" s="5" t="s">
        <v>56</v>
      </c>
      <c r="H26" s="4">
        <v>45317</v>
      </c>
      <c r="I26" s="6">
        <v>447</v>
      </c>
      <c r="J26" s="8">
        <v>200</v>
      </c>
      <c r="K26" s="7">
        <v>0.03</v>
      </c>
      <c r="L26" s="5" t="s">
        <v>30</v>
      </c>
      <c r="M26" s="8">
        <f>old_data[[#This Row],[Units Sold]]*old_data[[#This Row],[Unit Price (₦)]]</f>
        <v>89400</v>
      </c>
      <c r="N26" s="9">
        <f>old_data[[#This Row],[Total Sales (₦)]]*(1-old_data[[#This Row],[Discount (%)]])</f>
        <v>86718</v>
      </c>
      <c r="O26" s="5" t="str">
        <f>IF(old_data[[#This Row],[Net Revenue (₦)]]&gt;350000,"High",IF(old_data[[#This Row],[Net Revenue (₦)]]&gt;100000,"Medium","Low"))</f>
        <v>Low</v>
      </c>
    </row>
    <row r="27" spans="1:15" x14ac:dyDescent="0.3">
      <c r="A27" t="s">
        <v>98</v>
      </c>
      <c r="B27" t="s">
        <v>49</v>
      </c>
      <c r="C27" s="5" t="s">
        <v>251</v>
      </c>
      <c r="D27" s="5" t="s">
        <v>50</v>
      </c>
      <c r="E27" s="5" t="s">
        <v>51</v>
      </c>
      <c r="F27" s="5" t="s">
        <v>52</v>
      </c>
      <c r="G27" s="5" t="s">
        <v>29</v>
      </c>
      <c r="H27" s="4">
        <v>45318</v>
      </c>
      <c r="I27" s="6">
        <v>152</v>
      </c>
      <c r="J27" s="8">
        <v>895</v>
      </c>
      <c r="K27" s="7">
        <v>0</v>
      </c>
      <c r="L27" s="5" t="s">
        <v>36</v>
      </c>
      <c r="M27" s="8">
        <f>old_data[[#This Row],[Units Sold]]*old_data[[#This Row],[Unit Price (₦)]]</f>
        <v>136040</v>
      </c>
      <c r="N27" s="9">
        <f>old_data[[#This Row],[Total Sales (₦)]]*(1-old_data[[#This Row],[Discount (%)]])</f>
        <v>136040</v>
      </c>
      <c r="O27" s="5" t="str">
        <f>IF(old_data[[#This Row],[Net Revenue (₦)]]&gt;350000,"High",IF(old_data[[#This Row],[Net Revenue (₦)]]&gt;100000,"Medium","Low"))</f>
        <v>Medium</v>
      </c>
    </row>
    <row r="28" spans="1:15" x14ac:dyDescent="0.3">
      <c r="A28" t="s">
        <v>100</v>
      </c>
      <c r="B28" t="s">
        <v>55</v>
      </c>
      <c r="C28" s="5" t="s">
        <v>249</v>
      </c>
      <c r="D28" s="5" t="s">
        <v>39</v>
      </c>
      <c r="E28" s="5" t="s">
        <v>27</v>
      </c>
      <c r="F28" s="5" t="s">
        <v>28</v>
      </c>
      <c r="G28" s="5" t="s">
        <v>35</v>
      </c>
      <c r="H28" s="4">
        <v>45319</v>
      </c>
      <c r="I28" s="6">
        <v>437</v>
      </c>
      <c r="J28" s="8">
        <v>650</v>
      </c>
      <c r="K28" s="7">
        <v>0</v>
      </c>
      <c r="L28" s="5" t="s">
        <v>30</v>
      </c>
      <c r="M28" s="8">
        <f>old_data[[#This Row],[Units Sold]]*old_data[[#This Row],[Unit Price (₦)]]</f>
        <v>284050</v>
      </c>
      <c r="N28" s="9">
        <f>old_data[[#This Row],[Total Sales (₦)]]*(1-old_data[[#This Row],[Discount (%)]])</f>
        <v>284050</v>
      </c>
      <c r="O28" s="5" t="str">
        <f>IF(old_data[[#This Row],[Net Revenue (₦)]]&gt;350000,"High",IF(old_data[[#This Row],[Net Revenue (₦)]]&gt;100000,"Medium","Low"))</f>
        <v>Medium</v>
      </c>
    </row>
    <row r="29" spans="1:15" x14ac:dyDescent="0.3">
      <c r="A29" t="s">
        <v>101</v>
      </c>
      <c r="B29" t="s">
        <v>58</v>
      </c>
      <c r="C29" s="5" t="s">
        <v>255</v>
      </c>
      <c r="D29" s="5" t="s">
        <v>59</v>
      </c>
      <c r="E29" s="5" t="s">
        <v>33</v>
      </c>
      <c r="F29" s="5" t="s">
        <v>34</v>
      </c>
      <c r="G29" s="5" t="s">
        <v>42</v>
      </c>
      <c r="H29" s="4">
        <v>45320</v>
      </c>
      <c r="I29" s="6">
        <v>199</v>
      </c>
      <c r="J29" s="8">
        <v>2800</v>
      </c>
      <c r="K29" s="7">
        <v>0.11</v>
      </c>
      <c r="L29" s="5" t="s">
        <v>36</v>
      </c>
      <c r="M29" s="8">
        <f>old_data[[#This Row],[Units Sold]]*old_data[[#This Row],[Unit Price (₦)]]</f>
        <v>557200</v>
      </c>
      <c r="N29" s="9">
        <f>old_data[[#This Row],[Total Sales (₦)]]*(1-old_data[[#This Row],[Discount (%)]])</f>
        <v>495908</v>
      </c>
      <c r="O29" s="5" t="str">
        <f>IF(old_data[[#This Row],[Net Revenue (₦)]]&gt;350000,"High",IF(old_data[[#This Row],[Net Revenue (₦)]]&gt;100000,"Medium","Low"))</f>
        <v>High</v>
      </c>
    </row>
    <row r="30" spans="1:15" x14ac:dyDescent="0.3">
      <c r="A30" t="s">
        <v>102</v>
      </c>
      <c r="B30" t="s">
        <v>61</v>
      </c>
      <c r="C30" s="5" t="s">
        <v>244</v>
      </c>
      <c r="D30" s="5" t="s">
        <v>26</v>
      </c>
      <c r="E30" s="5" t="s">
        <v>40</v>
      </c>
      <c r="F30" s="5" t="s">
        <v>41</v>
      </c>
      <c r="G30" s="5" t="s">
        <v>47</v>
      </c>
      <c r="H30" s="4">
        <v>45321</v>
      </c>
      <c r="I30" s="6">
        <v>369</v>
      </c>
      <c r="J30" s="8">
        <v>280</v>
      </c>
      <c r="K30" s="7">
        <v>0</v>
      </c>
      <c r="L30" s="5" t="s">
        <v>36</v>
      </c>
      <c r="M30" s="8">
        <f>old_data[[#This Row],[Units Sold]]*old_data[[#This Row],[Unit Price (₦)]]</f>
        <v>103320</v>
      </c>
      <c r="N30" s="9">
        <f>old_data[[#This Row],[Total Sales (₦)]]*(1-old_data[[#This Row],[Discount (%)]])</f>
        <v>103320</v>
      </c>
      <c r="O30" s="5" t="str">
        <f>IF(old_data[[#This Row],[Net Revenue (₦)]]&gt;350000,"High",IF(old_data[[#This Row],[Net Revenue (₦)]]&gt;100000,"Medium","Low"))</f>
        <v>Medium</v>
      </c>
    </row>
    <row r="31" spans="1:15" x14ac:dyDescent="0.3">
      <c r="A31" t="s">
        <v>103</v>
      </c>
      <c r="B31" t="s">
        <v>63</v>
      </c>
      <c r="C31" s="5" t="s">
        <v>253</v>
      </c>
      <c r="D31" s="5" t="s">
        <v>50</v>
      </c>
      <c r="E31" s="5" t="s">
        <v>45</v>
      </c>
      <c r="F31" s="5" t="s">
        <v>46</v>
      </c>
      <c r="G31" s="5" t="s">
        <v>53</v>
      </c>
      <c r="H31" s="4">
        <v>45322</v>
      </c>
      <c r="I31" s="6">
        <v>341</v>
      </c>
      <c r="J31" s="8">
        <v>750</v>
      </c>
      <c r="K31" s="7">
        <v>0</v>
      </c>
      <c r="L31" s="5" t="s">
        <v>30</v>
      </c>
      <c r="M31" s="8">
        <f>old_data[[#This Row],[Units Sold]]*old_data[[#This Row],[Unit Price (₦)]]</f>
        <v>255750</v>
      </c>
      <c r="N31" s="9">
        <f>old_data[[#This Row],[Total Sales (₦)]]*(1-old_data[[#This Row],[Discount (%)]])</f>
        <v>255750</v>
      </c>
      <c r="O31" s="5" t="str">
        <f>IF(old_data[[#This Row],[Net Revenue (₦)]]&gt;350000,"High",IF(old_data[[#This Row],[Net Revenue (₦)]]&gt;100000,"Medium","Low"))</f>
        <v>Medium</v>
      </c>
    </row>
    <row r="32" spans="1:15" x14ac:dyDescent="0.3">
      <c r="A32" t="s">
        <v>104</v>
      </c>
      <c r="B32" t="s">
        <v>16</v>
      </c>
      <c r="C32" s="5" t="s">
        <v>250</v>
      </c>
      <c r="D32" s="5" t="s">
        <v>39</v>
      </c>
      <c r="E32" s="5" t="s">
        <v>51</v>
      </c>
      <c r="F32" s="5" t="s">
        <v>52</v>
      </c>
      <c r="G32" s="5" t="s">
        <v>56</v>
      </c>
      <c r="H32" s="4">
        <v>45323</v>
      </c>
      <c r="I32" s="6">
        <v>335</v>
      </c>
      <c r="J32" s="8">
        <v>990</v>
      </c>
      <c r="K32" s="7">
        <v>0.11</v>
      </c>
      <c r="L32" s="5" t="s">
        <v>36</v>
      </c>
      <c r="M32" s="8">
        <f>old_data[[#This Row],[Units Sold]]*old_data[[#This Row],[Unit Price (₦)]]</f>
        <v>331650</v>
      </c>
      <c r="N32" s="9">
        <f>old_data[[#This Row],[Total Sales (₦)]]*(1-old_data[[#This Row],[Discount (%)]])</f>
        <v>295168.5</v>
      </c>
      <c r="O32" s="5" t="str">
        <f>IF(old_data[[#This Row],[Net Revenue (₦)]]&gt;350000,"High",IF(old_data[[#This Row],[Net Revenue (₦)]]&gt;100000,"Medium","Low"))</f>
        <v>Medium</v>
      </c>
    </row>
    <row r="33" spans="1:15" x14ac:dyDescent="0.3">
      <c r="A33" t="s">
        <v>105</v>
      </c>
      <c r="B33" t="s">
        <v>25</v>
      </c>
      <c r="C33" s="5" t="s">
        <v>257</v>
      </c>
      <c r="D33" s="5" t="s">
        <v>26</v>
      </c>
      <c r="E33" s="5" t="s">
        <v>27</v>
      </c>
      <c r="F33" s="5" t="s">
        <v>28</v>
      </c>
      <c r="G33" s="5" t="s">
        <v>29</v>
      </c>
      <c r="H33" s="4">
        <v>45324</v>
      </c>
      <c r="I33" s="6">
        <v>93</v>
      </c>
      <c r="J33" s="8">
        <v>350</v>
      </c>
      <c r="K33" s="7">
        <v>0</v>
      </c>
      <c r="L33" s="5" t="s">
        <v>30</v>
      </c>
      <c r="M33" s="8">
        <f>old_data[[#This Row],[Units Sold]]*old_data[[#This Row],[Unit Price (₦)]]</f>
        <v>32550</v>
      </c>
      <c r="N33" s="9">
        <f>old_data[[#This Row],[Total Sales (₦)]]*(1-old_data[[#This Row],[Discount (%)]])</f>
        <v>32550</v>
      </c>
      <c r="O33" s="5" t="str">
        <f>IF(old_data[[#This Row],[Net Revenue (₦)]]&gt;350000,"High",IF(old_data[[#This Row],[Net Revenue (₦)]]&gt;100000,"Medium","Low"))</f>
        <v>Low</v>
      </c>
    </row>
    <row r="34" spans="1:15" x14ac:dyDescent="0.3">
      <c r="A34" t="s">
        <v>106</v>
      </c>
      <c r="B34" t="s">
        <v>32</v>
      </c>
      <c r="C34" s="5" t="s">
        <v>246</v>
      </c>
      <c r="D34" s="5" t="s">
        <v>26</v>
      </c>
      <c r="E34" s="5" t="s">
        <v>33</v>
      </c>
      <c r="F34" s="5" t="s">
        <v>34</v>
      </c>
      <c r="G34" s="5" t="s">
        <v>35</v>
      </c>
      <c r="H34" s="4">
        <v>45325</v>
      </c>
      <c r="I34" s="6">
        <v>148</v>
      </c>
      <c r="J34" s="8">
        <v>420</v>
      </c>
      <c r="K34" s="7">
        <v>0</v>
      </c>
      <c r="L34" s="5" t="s">
        <v>36</v>
      </c>
      <c r="M34" s="8">
        <f>old_data[[#This Row],[Units Sold]]*old_data[[#This Row],[Unit Price (₦)]]</f>
        <v>62160</v>
      </c>
      <c r="N34" s="9">
        <f>old_data[[#This Row],[Total Sales (₦)]]*(1-old_data[[#This Row],[Discount (%)]])</f>
        <v>62160</v>
      </c>
      <c r="O34" s="5" t="str">
        <f>IF(old_data[[#This Row],[Net Revenue (₦)]]&gt;350000,"High",IF(old_data[[#This Row],[Net Revenue (₦)]]&gt;100000,"Medium","Low"))</f>
        <v>Low</v>
      </c>
    </row>
    <row r="35" spans="1:15" x14ac:dyDescent="0.3">
      <c r="A35" t="s">
        <v>107</v>
      </c>
      <c r="B35" t="s">
        <v>38</v>
      </c>
      <c r="C35" s="5" t="s">
        <v>247</v>
      </c>
      <c r="D35" s="5" t="s">
        <v>39</v>
      </c>
      <c r="E35" s="5" t="s">
        <v>40</v>
      </c>
      <c r="F35" s="5" t="s">
        <v>41</v>
      </c>
      <c r="G35" s="5" t="s">
        <v>42</v>
      </c>
      <c r="H35" s="4">
        <v>45326</v>
      </c>
      <c r="I35" s="6">
        <v>337</v>
      </c>
      <c r="J35" s="8">
        <v>1200</v>
      </c>
      <c r="K35" s="7">
        <v>0.05</v>
      </c>
      <c r="L35" s="5" t="s">
        <v>36</v>
      </c>
      <c r="M35" s="8">
        <f>old_data[[#This Row],[Units Sold]]*old_data[[#This Row],[Unit Price (₦)]]</f>
        <v>404400</v>
      </c>
      <c r="N35" s="9">
        <f>old_data[[#This Row],[Total Sales (₦)]]*(1-old_data[[#This Row],[Discount (%)]])</f>
        <v>384180</v>
      </c>
      <c r="O35" s="5" t="str">
        <f>IF(old_data[[#This Row],[Net Revenue (₦)]]&gt;350000,"High",IF(old_data[[#This Row],[Net Revenue (₦)]]&gt;100000,"Medium","Low"))</f>
        <v>High</v>
      </c>
    </row>
    <row r="36" spans="1:15" x14ac:dyDescent="0.3">
      <c r="A36" t="s">
        <v>112</v>
      </c>
      <c r="B36" t="s">
        <v>44</v>
      </c>
      <c r="C36" s="5" t="s">
        <v>254</v>
      </c>
      <c r="D36" s="5" t="s">
        <v>39</v>
      </c>
      <c r="E36" s="5" t="s">
        <v>45</v>
      </c>
      <c r="F36" s="5" t="s">
        <v>46</v>
      </c>
      <c r="G36" s="5" t="s">
        <v>47</v>
      </c>
      <c r="H36" s="4">
        <v>45327</v>
      </c>
      <c r="I36" s="6">
        <v>176</v>
      </c>
      <c r="J36" s="8">
        <v>200</v>
      </c>
      <c r="K36" s="7">
        <v>0</v>
      </c>
      <c r="L36" s="5" t="s">
        <v>30</v>
      </c>
      <c r="M36" s="8">
        <f>old_data[[#This Row],[Units Sold]]*old_data[[#This Row],[Unit Price (₦)]]</f>
        <v>35200</v>
      </c>
      <c r="N36" s="9">
        <f>old_data[[#This Row],[Total Sales (₦)]]*(1-old_data[[#This Row],[Discount (%)]])</f>
        <v>35200</v>
      </c>
      <c r="O36" s="5" t="str">
        <f>IF(old_data[[#This Row],[Net Revenue (₦)]]&gt;350000,"High",IF(old_data[[#This Row],[Net Revenue (₦)]]&gt;100000,"Medium","Low"))</f>
        <v>Low</v>
      </c>
    </row>
    <row r="37" spans="1:15" x14ac:dyDescent="0.3">
      <c r="A37" t="s">
        <v>117</v>
      </c>
      <c r="B37" t="s">
        <v>49</v>
      </c>
      <c r="C37" s="5" t="s">
        <v>251</v>
      </c>
      <c r="D37" s="5" t="s">
        <v>50</v>
      </c>
      <c r="E37" s="5" t="s">
        <v>51</v>
      </c>
      <c r="F37" s="5" t="s">
        <v>52</v>
      </c>
      <c r="G37" s="5" t="s">
        <v>53</v>
      </c>
      <c r="H37" s="4">
        <v>45328</v>
      </c>
      <c r="I37" s="6">
        <v>407</v>
      </c>
      <c r="J37" s="8">
        <v>895</v>
      </c>
      <c r="K37" s="7">
        <v>0</v>
      </c>
      <c r="L37" s="5" t="s">
        <v>36</v>
      </c>
      <c r="M37" s="8">
        <f>old_data[[#This Row],[Units Sold]]*old_data[[#This Row],[Unit Price (₦)]]</f>
        <v>364265</v>
      </c>
      <c r="N37" s="9">
        <f>old_data[[#This Row],[Total Sales (₦)]]*(1-old_data[[#This Row],[Discount (%)]])</f>
        <v>364265</v>
      </c>
      <c r="O37" s="5" t="str">
        <f>IF(old_data[[#This Row],[Net Revenue (₦)]]&gt;350000,"High",IF(old_data[[#This Row],[Net Revenue (₦)]]&gt;100000,"Medium","Low"))</f>
        <v>High</v>
      </c>
    </row>
    <row r="38" spans="1:15" x14ac:dyDescent="0.3">
      <c r="A38" t="s">
        <v>118</v>
      </c>
      <c r="B38" t="s">
        <v>55</v>
      </c>
      <c r="C38" s="5" t="s">
        <v>249</v>
      </c>
      <c r="D38" s="5" t="s">
        <v>39</v>
      </c>
      <c r="E38" s="5" t="s">
        <v>27</v>
      </c>
      <c r="F38" s="5" t="s">
        <v>28</v>
      </c>
      <c r="G38" s="5" t="s">
        <v>56</v>
      </c>
      <c r="H38" s="4">
        <v>45329</v>
      </c>
      <c r="I38" s="6">
        <v>430</v>
      </c>
      <c r="J38" s="8">
        <v>650</v>
      </c>
      <c r="K38" s="7">
        <v>0.06</v>
      </c>
      <c r="L38" s="5" t="s">
        <v>30</v>
      </c>
      <c r="M38" s="8">
        <f>old_data[[#This Row],[Units Sold]]*old_data[[#This Row],[Unit Price (₦)]]</f>
        <v>279500</v>
      </c>
      <c r="N38" s="9">
        <f>old_data[[#This Row],[Total Sales (₦)]]*(1-old_data[[#This Row],[Discount (%)]])</f>
        <v>262730</v>
      </c>
      <c r="O38" s="5" t="str">
        <f>IF(old_data[[#This Row],[Net Revenue (₦)]]&gt;350000,"High",IF(old_data[[#This Row],[Net Revenue (₦)]]&gt;100000,"Medium","Low"))</f>
        <v>Medium</v>
      </c>
    </row>
    <row r="39" spans="1:15" x14ac:dyDescent="0.3">
      <c r="A39" t="s">
        <v>119</v>
      </c>
      <c r="B39" t="s">
        <v>58</v>
      </c>
      <c r="C39" s="5" t="s">
        <v>255</v>
      </c>
      <c r="D39" s="5" t="s">
        <v>59</v>
      </c>
      <c r="E39" s="5" t="s">
        <v>33</v>
      </c>
      <c r="F39" s="5" t="s">
        <v>34</v>
      </c>
      <c r="G39" s="5" t="s">
        <v>29</v>
      </c>
      <c r="H39" s="4">
        <v>45330</v>
      </c>
      <c r="I39" s="6">
        <v>147</v>
      </c>
      <c r="J39" s="8">
        <v>2800</v>
      </c>
      <c r="K39" s="7">
        <v>0</v>
      </c>
      <c r="L39" s="5" t="s">
        <v>36</v>
      </c>
      <c r="M39" s="8">
        <f>old_data[[#This Row],[Units Sold]]*old_data[[#This Row],[Unit Price (₦)]]</f>
        <v>411600</v>
      </c>
      <c r="N39" s="9">
        <f>old_data[[#This Row],[Total Sales (₦)]]*(1-old_data[[#This Row],[Discount (%)]])</f>
        <v>411600</v>
      </c>
      <c r="O39" s="5" t="str">
        <f>IF(old_data[[#This Row],[Net Revenue (₦)]]&gt;350000,"High",IF(old_data[[#This Row],[Net Revenue (₦)]]&gt;100000,"Medium","Low"))</f>
        <v>High</v>
      </c>
    </row>
    <row r="40" spans="1:15" x14ac:dyDescent="0.3">
      <c r="A40" t="s">
        <v>120</v>
      </c>
      <c r="B40" t="s">
        <v>61</v>
      </c>
      <c r="C40" s="5" t="s">
        <v>244</v>
      </c>
      <c r="D40" s="5" t="s">
        <v>26</v>
      </c>
      <c r="E40" s="5" t="s">
        <v>40</v>
      </c>
      <c r="F40" s="5" t="s">
        <v>41</v>
      </c>
      <c r="G40" s="5" t="s">
        <v>35</v>
      </c>
      <c r="H40" s="4">
        <v>45331</v>
      </c>
      <c r="I40" s="6">
        <v>63</v>
      </c>
      <c r="J40" s="8">
        <v>280</v>
      </c>
      <c r="K40" s="7">
        <v>0</v>
      </c>
      <c r="L40" s="5" t="s">
        <v>36</v>
      </c>
      <c r="M40" s="8">
        <v>17640</v>
      </c>
      <c r="N40" s="9">
        <f>old_data[[#This Row],[Total Sales (₦)]]*(1-old_data[[#This Row],[Discount (%)]])</f>
        <v>17640</v>
      </c>
      <c r="O40" s="5" t="str">
        <f>IF(old_data[[#This Row],[Net Revenue (₦)]]&gt;350000,"High",IF(old_data[[#This Row],[Net Revenue (₦)]]&gt;100000,"Medium","Low"))</f>
        <v>Low</v>
      </c>
    </row>
    <row r="41" spans="1:15" x14ac:dyDescent="0.3">
      <c r="A41" t="s">
        <v>122</v>
      </c>
      <c r="B41" t="s">
        <v>63</v>
      </c>
      <c r="C41" s="5" t="s">
        <v>253</v>
      </c>
      <c r="D41" s="5" t="s">
        <v>50</v>
      </c>
      <c r="E41" s="5" t="s">
        <v>45</v>
      </c>
      <c r="F41" s="5" t="s">
        <v>46</v>
      </c>
      <c r="G41" s="5" t="s">
        <v>42</v>
      </c>
      <c r="H41" s="4">
        <v>45332</v>
      </c>
      <c r="I41" s="6">
        <v>458</v>
      </c>
      <c r="J41" s="8">
        <v>750</v>
      </c>
      <c r="K41" s="7">
        <v>0.05</v>
      </c>
      <c r="L41" s="5" t="s">
        <v>30</v>
      </c>
      <c r="M41" s="8">
        <f>old_data[[#This Row],[Units Sold]]*old_data[[#This Row],[Unit Price (₦)]]</f>
        <v>343500</v>
      </c>
      <c r="N41" s="9">
        <f>old_data[[#This Row],[Total Sales (₦)]]*(1-old_data[[#This Row],[Discount (%)]])</f>
        <v>326325</v>
      </c>
      <c r="O41" s="5" t="str">
        <f>IF(old_data[[#This Row],[Net Revenue (₦)]]&gt;350000,"High",IF(old_data[[#This Row],[Net Revenue (₦)]]&gt;100000,"Medium","Low"))</f>
        <v>Medium</v>
      </c>
    </row>
    <row r="42" spans="1:15" x14ac:dyDescent="0.3">
      <c r="A42" t="s">
        <v>123</v>
      </c>
      <c r="B42" t="s">
        <v>16</v>
      </c>
      <c r="C42" s="5" t="s">
        <v>250</v>
      </c>
      <c r="D42" s="5" t="s">
        <v>39</v>
      </c>
      <c r="E42" s="5" t="s">
        <v>51</v>
      </c>
      <c r="F42" s="5" t="s">
        <v>52</v>
      </c>
      <c r="G42" s="5" t="s">
        <v>47</v>
      </c>
      <c r="H42" s="4">
        <v>45333</v>
      </c>
      <c r="I42" s="6">
        <v>265</v>
      </c>
      <c r="J42" s="8">
        <v>990</v>
      </c>
      <c r="K42" s="7">
        <v>0</v>
      </c>
      <c r="L42" s="5" t="s">
        <v>36</v>
      </c>
      <c r="M42" s="8">
        <f>old_data[[#This Row],[Units Sold]]*old_data[[#This Row],[Unit Price (₦)]]</f>
        <v>262350</v>
      </c>
      <c r="N42" s="9">
        <f>old_data[[#This Row],[Total Sales (₦)]]*(1-old_data[[#This Row],[Discount (%)]])</f>
        <v>262350</v>
      </c>
      <c r="O42" s="5" t="str">
        <f>IF(old_data[[#This Row],[Net Revenue (₦)]]&gt;350000,"High",IF(old_data[[#This Row],[Net Revenue (₦)]]&gt;100000,"Medium","Low"))</f>
        <v>Medium</v>
      </c>
    </row>
    <row r="43" spans="1:15" x14ac:dyDescent="0.3">
      <c r="A43" t="s">
        <v>124</v>
      </c>
      <c r="B43" t="s">
        <v>25</v>
      </c>
      <c r="C43" s="5" t="s">
        <v>257</v>
      </c>
      <c r="D43" s="5" t="s">
        <v>26</v>
      </c>
      <c r="E43" s="5" t="s">
        <v>27</v>
      </c>
      <c r="F43" s="5" t="s">
        <v>28</v>
      </c>
      <c r="G43" s="5" t="s">
        <v>53</v>
      </c>
      <c r="H43" s="4">
        <v>45334</v>
      </c>
      <c r="I43" s="6">
        <v>478</v>
      </c>
      <c r="J43" s="8">
        <v>350</v>
      </c>
      <c r="K43" s="7">
        <v>0</v>
      </c>
      <c r="L43" s="5" t="s">
        <v>30</v>
      </c>
      <c r="M43" s="8">
        <f>old_data[[#This Row],[Units Sold]]*old_data[[#This Row],[Unit Price (₦)]]</f>
        <v>167300</v>
      </c>
      <c r="N43" s="9">
        <f>old_data[[#This Row],[Total Sales (₦)]]*(1-old_data[[#This Row],[Discount (%)]])</f>
        <v>167300</v>
      </c>
      <c r="O43" s="5" t="str">
        <f>IF(old_data[[#This Row],[Net Revenue (₦)]]&gt;350000,"High",IF(old_data[[#This Row],[Net Revenue (₦)]]&gt;100000,"Medium","Low"))</f>
        <v>Medium</v>
      </c>
    </row>
    <row r="44" spans="1:15" x14ac:dyDescent="0.3">
      <c r="A44" t="s">
        <v>125</v>
      </c>
      <c r="B44" t="s">
        <v>32</v>
      </c>
      <c r="C44" s="5" t="s">
        <v>246</v>
      </c>
      <c r="D44" s="5" t="s">
        <v>26</v>
      </c>
      <c r="E44" s="5" t="s">
        <v>33</v>
      </c>
      <c r="F44" s="5" t="s">
        <v>34</v>
      </c>
      <c r="G44" s="5" t="s">
        <v>56</v>
      </c>
      <c r="H44" s="4">
        <v>45335</v>
      </c>
      <c r="I44" s="6">
        <v>83</v>
      </c>
      <c r="J44" s="8">
        <v>420</v>
      </c>
      <c r="K44" s="7">
        <v>0.05</v>
      </c>
      <c r="L44" s="5" t="s">
        <v>36</v>
      </c>
      <c r="M44" s="8">
        <f>old_data[[#This Row],[Units Sold]]*old_data[[#This Row],[Unit Price (₦)]]</f>
        <v>34860</v>
      </c>
      <c r="N44" s="9">
        <f>old_data[[#This Row],[Total Sales (₦)]]*(1-old_data[[#This Row],[Discount (%)]])</f>
        <v>33117</v>
      </c>
      <c r="O44" s="5" t="str">
        <f>IF(old_data[[#This Row],[Net Revenue (₦)]]&gt;350000,"High",IF(old_data[[#This Row],[Net Revenue (₦)]]&gt;100000,"Medium","Low"))</f>
        <v>Low</v>
      </c>
    </row>
    <row r="45" spans="1:15" x14ac:dyDescent="0.3">
      <c r="A45" t="s">
        <v>126</v>
      </c>
      <c r="B45" t="s">
        <v>38</v>
      </c>
      <c r="C45" s="5" t="s">
        <v>247</v>
      </c>
      <c r="D45" s="5" t="s">
        <v>39</v>
      </c>
      <c r="E45" s="5" t="s">
        <v>40</v>
      </c>
      <c r="F45" s="5" t="s">
        <v>41</v>
      </c>
      <c r="G45" s="5" t="s">
        <v>29</v>
      </c>
      <c r="H45" s="4">
        <v>45336</v>
      </c>
      <c r="I45" s="6">
        <v>297</v>
      </c>
      <c r="J45" s="8">
        <v>1200</v>
      </c>
      <c r="K45" s="7">
        <v>0</v>
      </c>
      <c r="L45" s="5" t="s">
        <v>36</v>
      </c>
      <c r="M45" s="8">
        <f>old_data[[#This Row],[Units Sold]]*old_data[[#This Row],[Unit Price (₦)]]</f>
        <v>356400</v>
      </c>
      <c r="N45" s="9">
        <f>old_data[[#This Row],[Total Sales (₦)]]*(1-old_data[[#This Row],[Discount (%)]])</f>
        <v>356400</v>
      </c>
      <c r="O45" s="5" t="str">
        <f>IF(old_data[[#This Row],[Net Revenue (₦)]]&gt;350000,"High",IF(old_data[[#This Row],[Net Revenue (₦)]]&gt;100000,"Medium","Low"))</f>
        <v>High</v>
      </c>
    </row>
    <row r="46" spans="1:15" x14ac:dyDescent="0.3">
      <c r="A46" t="s">
        <v>127</v>
      </c>
      <c r="B46" t="s">
        <v>44</v>
      </c>
      <c r="C46" s="5" t="s">
        <v>254</v>
      </c>
      <c r="D46" s="5" t="s">
        <v>39</v>
      </c>
      <c r="E46" s="5" t="s">
        <v>45</v>
      </c>
      <c r="F46" s="5" t="s">
        <v>46</v>
      </c>
      <c r="G46" s="5" t="s">
        <v>35</v>
      </c>
      <c r="H46" s="4">
        <v>45337</v>
      </c>
      <c r="I46" s="6">
        <v>392</v>
      </c>
      <c r="J46" s="8">
        <v>200</v>
      </c>
      <c r="K46" s="7">
        <v>0</v>
      </c>
      <c r="L46" s="5" t="s">
        <v>30</v>
      </c>
      <c r="M46" s="8">
        <f>old_data[[#This Row],[Units Sold]]*old_data[[#This Row],[Unit Price (₦)]]</f>
        <v>78400</v>
      </c>
      <c r="N46" s="9">
        <f>old_data[[#This Row],[Total Sales (₦)]]*(1-old_data[[#This Row],[Discount (%)]])</f>
        <v>78400</v>
      </c>
      <c r="O46" s="5" t="str">
        <f>IF(old_data[[#This Row],[Net Revenue (₦)]]&gt;350000,"High",IF(old_data[[#This Row],[Net Revenue (₦)]]&gt;100000,"Medium","Low"))</f>
        <v>Low</v>
      </c>
    </row>
    <row r="47" spans="1:15" x14ac:dyDescent="0.3">
      <c r="A47" t="s">
        <v>131</v>
      </c>
      <c r="B47" t="s">
        <v>49</v>
      </c>
      <c r="C47" s="5" t="s">
        <v>251</v>
      </c>
      <c r="D47" s="5" t="s">
        <v>50</v>
      </c>
      <c r="E47" s="5" t="s">
        <v>51</v>
      </c>
      <c r="F47" s="5" t="s">
        <v>52</v>
      </c>
      <c r="G47" s="5" t="s">
        <v>42</v>
      </c>
      <c r="H47" s="4">
        <v>45338</v>
      </c>
      <c r="I47" s="6">
        <v>469</v>
      </c>
      <c r="J47" s="8">
        <v>895</v>
      </c>
      <c r="K47" s="7">
        <v>7.0000000000000007E-2</v>
      </c>
      <c r="L47" s="5" t="s">
        <v>36</v>
      </c>
      <c r="M47" s="8">
        <f>old_data[[#This Row],[Units Sold]]*old_data[[#This Row],[Unit Price (₦)]]</f>
        <v>419755</v>
      </c>
      <c r="N47" s="9">
        <f>old_data[[#This Row],[Total Sales (₦)]]*(1-old_data[[#This Row],[Discount (%)]])</f>
        <v>390372.14999999997</v>
      </c>
      <c r="O47" s="5" t="str">
        <f>IF(old_data[[#This Row],[Net Revenue (₦)]]&gt;350000,"High",IF(old_data[[#This Row],[Net Revenue (₦)]]&gt;100000,"Medium","Low"))</f>
        <v>High</v>
      </c>
    </row>
    <row r="48" spans="1:15" x14ac:dyDescent="0.3">
      <c r="A48" t="s">
        <v>132</v>
      </c>
      <c r="B48" t="s">
        <v>55</v>
      </c>
      <c r="C48" s="5" t="s">
        <v>249</v>
      </c>
      <c r="D48" s="5" t="s">
        <v>39</v>
      </c>
      <c r="E48" s="5" t="s">
        <v>27</v>
      </c>
      <c r="F48" s="5" t="s">
        <v>28</v>
      </c>
      <c r="G48" s="5" t="s">
        <v>47</v>
      </c>
      <c r="H48" s="4">
        <v>45340</v>
      </c>
      <c r="I48" s="6">
        <v>80</v>
      </c>
      <c r="J48" s="8">
        <v>650</v>
      </c>
      <c r="K48" s="7">
        <v>0</v>
      </c>
      <c r="L48" s="5" t="s">
        <v>30</v>
      </c>
      <c r="M48" s="8">
        <f>old_data[[#This Row],[Units Sold]]*old_data[[#This Row],[Unit Price (₦)]]</f>
        <v>52000</v>
      </c>
      <c r="N48" s="9">
        <f>old_data[[#This Row],[Total Sales (₦)]]*(1-old_data[[#This Row],[Discount (%)]])</f>
        <v>52000</v>
      </c>
      <c r="O48" s="5" t="str">
        <f>IF(old_data[[#This Row],[Net Revenue (₦)]]&gt;350000,"High",IF(old_data[[#This Row],[Net Revenue (₦)]]&gt;100000,"Medium","Low"))</f>
        <v>Low</v>
      </c>
    </row>
    <row r="49" spans="1:15" x14ac:dyDescent="0.3">
      <c r="A49" t="s">
        <v>137</v>
      </c>
      <c r="B49" t="s">
        <v>58</v>
      </c>
      <c r="C49" s="5" t="s">
        <v>255</v>
      </c>
      <c r="D49" s="5" t="s">
        <v>59</v>
      </c>
      <c r="E49" s="5" t="s">
        <v>33</v>
      </c>
      <c r="F49" s="5" t="s">
        <v>34</v>
      </c>
      <c r="G49" s="5" t="s">
        <v>53</v>
      </c>
      <c r="H49" s="4">
        <v>45341</v>
      </c>
      <c r="I49" s="6">
        <v>56</v>
      </c>
      <c r="J49" s="8">
        <v>2800</v>
      </c>
      <c r="K49" s="7">
        <v>0</v>
      </c>
      <c r="L49" s="5" t="s">
        <v>36</v>
      </c>
      <c r="M49" s="8">
        <f>old_data[[#This Row],[Units Sold]]*old_data[[#This Row],[Unit Price (₦)]]</f>
        <v>156800</v>
      </c>
      <c r="N49" s="9">
        <f>old_data[[#This Row],[Total Sales (₦)]]*(1-old_data[[#This Row],[Discount (%)]])</f>
        <v>156800</v>
      </c>
      <c r="O49" s="5" t="str">
        <f>IF(old_data[[#This Row],[Net Revenue (₦)]]&gt;350000,"High",IF(old_data[[#This Row],[Net Revenue (₦)]]&gt;100000,"Medium","Low"))</f>
        <v>Medium</v>
      </c>
    </row>
    <row r="50" spans="1:15" x14ac:dyDescent="0.3">
      <c r="A50" t="s">
        <v>138</v>
      </c>
      <c r="B50" t="s">
        <v>61</v>
      </c>
      <c r="C50" s="5" t="s">
        <v>244</v>
      </c>
      <c r="D50" s="5" t="s">
        <v>26</v>
      </c>
      <c r="E50" s="5" t="s">
        <v>40</v>
      </c>
      <c r="F50" s="5" t="s">
        <v>41</v>
      </c>
      <c r="G50" s="5" t="s">
        <v>56</v>
      </c>
      <c r="H50" s="4">
        <v>45342</v>
      </c>
      <c r="I50" s="6">
        <v>450</v>
      </c>
      <c r="J50" s="8">
        <v>280</v>
      </c>
      <c r="K50" s="7">
        <v>0.1</v>
      </c>
      <c r="L50" s="5" t="s">
        <v>36</v>
      </c>
      <c r="M50" s="8">
        <f>old_data[[#This Row],[Units Sold]]*old_data[[#This Row],[Unit Price (₦)]]</f>
        <v>126000</v>
      </c>
      <c r="N50" s="9">
        <f>old_data[[#This Row],[Total Sales (₦)]]*(1-old_data[[#This Row],[Discount (%)]])</f>
        <v>113400</v>
      </c>
      <c r="O50" s="5" t="str">
        <f>IF(old_data[[#This Row],[Net Revenue (₦)]]&gt;350000,"High",IF(old_data[[#This Row],[Net Revenue (₦)]]&gt;100000,"Medium","Low"))</f>
        <v>Medium</v>
      </c>
    </row>
    <row r="51" spans="1:15" x14ac:dyDescent="0.3">
      <c r="A51" t="s">
        <v>139</v>
      </c>
      <c r="B51" t="s">
        <v>63</v>
      </c>
      <c r="C51" s="5" t="s">
        <v>253</v>
      </c>
      <c r="D51" s="5" t="s">
        <v>50</v>
      </c>
      <c r="E51" s="5" t="s">
        <v>45</v>
      </c>
      <c r="F51" s="5" t="s">
        <v>46</v>
      </c>
      <c r="G51" s="5" t="s">
        <v>29</v>
      </c>
      <c r="H51" s="4">
        <v>45343</v>
      </c>
      <c r="I51" s="6">
        <v>415</v>
      </c>
      <c r="J51" s="8">
        <v>750</v>
      </c>
      <c r="K51" s="7">
        <v>0</v>
      </c>
      <c r="L51" s="5" t="s">
        <v>30</v>
      </c>
      <c r="M51" s="8">
        <f>old_data[[#This Row],[Units Sold]]*old_data[[#This Row],[Unit Price (₦)]]</f>
        <v>311250</v>
      </c>
      <c r="N51" s="9">
        <f>old_data[[#This Row],[Total Sales (₦)]]*(1-old_data[[#This Row],[Discount (%)]])</f>
        <v>311250</v>
      </c>
      <c r="O51" s="5" t="str">
        <f>IF(old_data[[#This Row],[Net Revenue (₦)]]&gt;350000,"High",IF(old_data[[#This Row],[Net Revenue (₦)]]&gt;100000,"Medium","Low"))</f>
        <v>Medium</v>
      </c>
    </row>
    <row r="52" spans="1:15" x14ac:dyDescent="0.3">
      <c r="A52" t="s">
        <v>140</v>
      </c>
      <c r="B52" t="s">
        <v>16</v>
      </c>
      <c r="C52" s="5" t="s">
        <v>250</v>
      </c>
      <c r="D52" s="5" t="s">
        <v>39</v>
      </c>
      <c r="E52" s="5" t="s">
        <v>51</v>
      </c>
      <c r="F52" s="5" t="s">
        <v>52</v>
      </c>
      <c r="G52" s="5" t="s">
        <v>35</v>
      </c>
      <c r="H52" s="4">
        <v>45344</v>
      </c>
      <c r="I52" s="6">
        <v>315</v>
      </c>
      <c r="J52" s="8">
        <v>990</v>
      </c>
      <c r="K52" s="7">
        <v>0</v>
      </c>
      <c r="L52" s="5" t="s">
        <v>36</v>
      </c>
      <c r="M52" s="8">
        <f>old_data[[#This Row],[Units Sold]]*old_data[[#This Row],[Unit Price (₦)]]</f>
        <v>311850</v>
      </c>
      <c r="N52" s="9">
        <f>old_data[[#This Row],[Total Sales (₦)]]*(1-old_data[[#This Row],[Discount (%)]])</f>
        <v>311850</v>
      </c>
      <c r="O52" s="5" t="str">
        <f>IF(old_data[[#This Row],[Net Revenue (₦)]]&gt;350000,"High",IF(old_data[[#This Row],[Net Revenue (₦)]]&gt;100000,"Medium","Low"))</f>
        <v>Medium</v>
      </c>
    </row>
    <row r="53" spans="1:15" x14ac:dyDescent="0.3">
      <c r="A53" t="s">
        <v>142</v>
      </c>
      <c r="B53" t="s">
        <v>25</v>
      </c>
      <c r="C53" s="5" t="s">
        <v>257</v>
      </c>
      <c r="D53" s="5" t="s">
        <v>26</v>
      </c>
      <c r="E53" s="5" t="s">
        <v>27</v>
      </c>
      <c r="F53" s="5" t="s">
        <v>28</v>
      </c>
      <c r="G53" s="5" t="s">
        <v>42</v>
      </c>
      <c r="H53" s="4">
        <v>45345</v>
      </c>
      <c r="I53" s="6">
        <v>205</v>
      </c>
      <c r="J53" s="8">
        <v>350</v>
      </c>
      <c r="K53" s="7">
        <v>0.08</v>
      </c>
      <c r="L53" s="5" t="s">
        <v>30</v>
      </c>
      <c r="M53" s="8">
        <f>old_data[[#This Row],[Units Sold]]*old_data[[#This Row],[Unit Price (₦)]]</f>
        <v>71750</v>
      </c>
      <c r="N53" s="9">
        <f>old_data[[#This Row],[Total Sales (₦)]]*(1-old_data[[#This Row],[Discount (%)]])</f>
        <v>66010</v>
      </c>
      <c r="O53" s="5" t="str">
        <f>IF(old_data[[#This Row],[Net Revenue (₦)]]&gt;350000,"High",IF(old_data[[#This Row],[Net Revenue (₦)]]&gt;100000,"Medium","Low"))</f>
        <v>Low</v>
      </c>
    </row>
    <row r="54" spans="1:15" x14ac:dyDescent="0.3">
      <c r="A54" t="s">
        <v>147</v>
      </c>
      <c r="B54" t="s">
        <v>32</v>
      </c>
      <c r="C54" s="5" t="s">
        <v>246</v>
      </c>
      <c r="D54" s="5" t="s">
        <v>26</v>
      </c>
      <c r="E54" s="5" t="s">
        <v>33</v>
      </c>
      <c r="F54" s="5" t="s">
        <v>34</v>
      </c>
      <c r="G54" s="5" t="s">
        <v>47</v>
      </c>
      <c r="H54" s="4">
        <v>45346</v>
      </c>
      <c r="I54" s="6">
        <v>138</v>
      </c>
      <c r="J54" s="8">
        <v>420</v>
      </c>
      <c r="K54" s="7">
        <v>0</v>
      </c>
      <c r="L54" s="5" t="s">
        <v>36</v>
      </c>
      <c r="M54" s="8">
        <f>old_data[[#This Row],[Units Sold]]*old_data[[#This Row],[Unit Price (₦)]]</f>
        <v>57960</v>
      </c>
      <c r="N54" s="9">
        <f>old_data[[#This Row],[Total Sales (₦)]]*(1-old_data[[#This Row],[Discount (%)]])</f>
        <v>57960</v>
      </c>
      <c r="O54" s="5" t="str">
        <f>IF(old_data[[#This Row],[Net Revenue (₦)]]&gt;350000,"High",IF(old_data[[#This Row],[Net Revenue (₦)]]&gt;100000,"Medium","Low"))</f>
        <v>Low</v>
      </c>
    </row>
    <row r="55" spans="1:15" x14ac:dyDescent="0.3">
      <c r="A55" t="s">
        <v>148</v>
      </c>
      <c r="B55" t="s">
        <v>38</v>
      </c>
      <c r="C55" s="5" t="s">
        <v>247</v>
      </c>
      <c r="D55" s="5" t="s">
        <v>39</v>
      </c>
      <c r="E55" s="5" t="s">
        <v>40</v>
      </c>
      <c r="F55" s="5" t="s">
        <v>41</v>
      </c>
      <c r="G55" s="5" t="s">
        <v>53</v>
      </c>
      <c r="H55" s="4">
        <v>45347</v>
      </c>
      <c r="I55" s="6">
        <v>450</v>
      </c>
      <c r="J55" s="8">
        <v>1200</v>
      </c>
      <c r="K55" s="7">
        <v>0</v>
      </c>
      <c r="L55" s="5" t="s">
        <v>36</v>
      </c>
      <c r="M55" s="8">
        <f>old_data[[#This Row],[Units Sold]]*old_data[[#This Row],[Unit Price (₦)]]</f>
        <v>540000</v>
      </c>
      <c r="N55" s="9">
        <f>old_data[[#This Row],[Total Sales (₦)]]*(1-old_data[[#This Row],[Discount (%)]])</f>
        <v>540000</v>
      </c>
      <c r="O55" s="5" t="str">
        <f>IF(old_data[[#This Row],[Net Revenue (₦)]]&gt;350000,"High",IF(old_data[[#This Row],[Net Revenue (₦)]]&gt;100000,"Medium","Low"))</f>
        <v>High</v>
      </c>
    </row>
    <row r="56" spans="1:15" x14ac:dyDescent="0.3">
      <c r="A56" t="s">
        <v>149</v>
      </c>
      <c r="B56" t="s">
        <v>44</v>
      </c>
      <c r="C56" s="5" t="s">
        <v>254</v>
      </c>
      <c r="D56" s="5" t="s">
        <v>39</v>
      </c>
      <c r="E56" s="5" t="s">
        <v>45</v>
      </c>
      <c r="F56" s="5" t="s">
        <v>46</v>
      </c>
      <c r="G56" s="5" t="s">
        <v>56</v>
      </c>
      <c r="H56" s="4">
        <v>45348</v>
      </c>
      <c r="I56" s="6">
        <v>358</v>
      </c>
      <c r="J56" s="8">
        <v>200</v>
      </c>
      <c r="K56" s="7">
        <v>0.11</v>
      </c>
      <c r="L56" s="5" t="s">
        <v>30</v>
      </c>
      <c r="M56" s="8">
        <f>old_data[[#This Row],[Units Sold]]*old_data[[#This Row],[Unit Price (₦)]]</f>
        <v>71600</v>
      </c>
      <c r="N56" s="9">
        <f>old_data[[#This Row],[Total Sales (₦)]]*(1-old_data[[#This Row],[Discount (%)]])</f>
        <v>63724</v>
      </c>
      <c r="O56" s="5" t="str">
        <f>IF(old_data[[#This Row],[Net Revenue (₦)]]&gt;350000,"High",IF(old_data[[#This Row],[Net Revenue (₦)]]&gt;100000,"Medium","Low"))</f>
        <v>Low</v>
      </c>
    </row>
    <row r="57" spans="1:15" x14ac:dyDescent="0.3">
      <c r="A57" t="s">
        <v>150</v>
      </c>
      <c r="B57" t="s">
        <v>49</v>
      </c>
      <c r="C57" s="5" t="s">
        <v>251</v>
      </c>
      <c r="D57" s="5" t="s">
        <v>50</v>
      </c>
      <c r="E57" s="5" t="s">
        <v>51</v>
      </c>
      <c r="F57" s="5" t="s">
        <v>52</v>
      </c>
      <c r="G57" s="5" t="s">
        <v>29</v>
      </c>
      <c r="H57" s="4">
        <v>45349</v>
      </c>
      <c r="I57" s="6">
        <v>160</v>
      </c>
      <c r="J57" s="8">
        <v>895</v>
      </c>
      <c r="K57" s="7">
        <v>0</v>
      </c>
      <c r="L57" s="5" t="s">
        <v>36</v>
      </c>
      <c r="M57" s="8">
        <v>143200</v>
      </c>
      <c r="N57" s="9">
        <f>old_data[[#This Row],[Total Sales (₦)]]*(1-old_data[[#This Row],[Discount (%)]])</f>
        <v>143200</v>
      </c>
      <c r="O57" s="5" t="str">
        <f>IF(old_data[[#This Row],[Net Revenue (₦)]]&gt;350000,"High",IF(old_data[[#This Row],[Net Revenue (₦)]]&gt;100000,"Medium","Low"))</f>
        <v>Medium</v>
      </c>
    </row>
    <row r="58" spans="1:15" x14ac:dyDescent="0.3">
      <c r="A58" t="s">
        <v>155</v>
      </c>
      <c r="B58" t="s">
        <v>55</v>
      </c>
      <c r="C58" s="5" t="s">
        <v>249</v>
      </c>
      <c r="D58" s="5" t="s">
        <v>39</v>
      </c>
      <c r="E58" s="5" t="s">
        <v>27</v>
      </c>
      <c r="F58" s="5" t="s">
        <v>28</v>
      </c>
      <c r="G58" s="5" t="s">
        <v>35</v>
      </c>
      <c r="H58" s="4">
        <v>45350</v>
      </c>
      <c r="I58" s="6">
        <v>403</v>
      </c>
      <c r="J58" s="8">
        <v>650</v>
      </c>
      <c r="K58" s="7">
        <v>0</v>
      </c>
      <c r="L58" s="5" t="s">
        <v>30</v>
      </c>
      <c r="M58" s="8">
        <f>old_data[[#This Row],[Units Sold]]*old_data[[#This Row],[Unit Price (₦)]]</f>
        <v>261950</v>
      </c>
      <c r="N58" s="9">
        <f>old_data[[#This Row],[Total Sales (₦)]]*(1-old_data[[#This Row],[Discount (%)]])</f>
        <v>261950</v>
      </c>
      <c r="O58" s="5" t="str">
        <f>IF(old_data[[#This Row],[Net Revenue (₦)]]&gt;350000,"High",IF(old_data[[#This Row],[Net Revenue (₦)]]&gt;100000,"Medium","Low"))</f>
        <v>Medium</v>
      </c>
    </row>
    <row r="59" spans="1:15" x14ac:dyDescent="0.3">
      <c r="A59" t="s">
        <v>156</v>
      </c>
      <c r="B59" t="s">
        <v>58</v>
      </c>
      <c r="C59" s="5" t="s">
        <v>255</v>
      </c>
      <c r="D59" s="5" t="s">
        <v>59</v>
      </c>
      <c r="E59" s="5" t="s">
        <v>33</v>
      </c>
      <c r="F59" s="5" t="s">
        <v>34</v>
      </c>
      <c r="G59" s="5" t="s">
        <v>42</v>
      </c>
      <c r="H59" s="4">
        <v>45351</v>
      </c>
      <c r="I59" s="6">
        <v>67</v>
      </c>
      <c r="J59" s="8">
        <v>2800</v>
      </c>
      <c r="K59" s="7">
        <v>0.04</v>
      </c>
      <c r="L59" s="5" t="s">
        <v>36</v>
      </c>
      <c r="M59" s="8">
        <f>old_data[[#This Row],[Units Sold]]*old_data[[#This Row],[Unit Price (₦)]]</f>
        <v>187600</v>
      </c>
      <c r="N59" s="9">
        <f>old_data[[#This Row],[Total Sales (₦)]]*(1-old_data[[#This Row],[Discount (%)]])</f>
        <v>180096</v>
      </c>
      <c r="O59" s="5" t="str">
        <f>IF(old_data[[#This Row],[Net Revenue (₦)]]&gt;350000,"High",IF(old_data[[#This Row],[Net Revenue (₦)]]&gt;100000,"Medium","Low"))</f>
        <v>Medium</v>
      </c>
    </row>
    <row r="60" spans="1:15" x14ac:dyDescent="0.3">
      <c r="A60" t="s">
        <v>158</v>
      </c>
      <c r="B60" t="s">
        <v>61</v>
      </c>
      <c r="C60" s="5" t="s">
        <v>244</v>
      </c>
      <c r="D60" s="5" t="s">
        <v>26</v>
      </c>
      <c r="E60" s="5" t="s">
        <v>40</v>
      </c>
      <c r="F60" s="5" t="s">
        <v>41</v>
      </c>
      <c r="G60" s="5" t="s">
        <v>47</v>
      </c>
      <c r="H60" s="4">
        <v>45352</v>
      </c>
      <c r="I60" s="6">
        <v>11</v>
      </c>
      <c r="J60" s="8">
        <v>280</v>
      </c>
      <c r="K60" s="7">
        <v>0</v>
      </c>
      <c r="L60" s="5" t="s">
        <v>36</v>
      </c>
      <c r="M60" s="8">
        <f>old_data[[#This Row],[Units Sold]]*old_data[[#This Row],[Unit Price (₦)]]</f>
        <v>3080</v>
      </c>
      <c r="N60" s="9">
        <f>old_data[[#This Row],[Total Sales (₦)]]*(1-old_data[[#This Row],[Discount (%)]])</f>
        <v>3080</v>
      </c>
      <c r="O60" s="5" t="str">
        <f>IF(old_data[[#This Row],[Net Revenue (₦)]]&gt;350000,"High",IF(old_data[[#This Row],[Net Revenue (₦)]]&gt;100000,"Medium","Low"))</f>
        <v>Low</v>
      </c>
    </row>
    <row r="61" spans="1:15" x14ac:dyDescent="0.3">
      <c r="A61" t="s">
        <v>159</v>
      </c>
      <c r="B61" t="s">
        <v>63</v>
      </c>
      <c r="C61" s="5" t="s">
        <v>253</v>
      </c>
      <c r="D61" s="5" t="s">
        <v>50</v>
      </c>
      <c r="E61" s="5" t="s">
        <v>45</v>
      </c>
      <c r="F61" s="5" t="s">
        <v>46</v>
      </c>
      <c r="G61" s="5" t="s">
        <v>53</v>
      </c>
      <c r="H61" s="4">
        <v>45353</v>
      </c>
      <c r="I61" s="6">
        <v>458</v>
      </c>
      <c r="J61" s="8">
        <v>750</v>
      </c>
      <c r="K61" s="7">
        <v>0</v>
      </c>
      <c r="L61" s="5" t="s">
        <v>30</v>
      </c>
      <c r="M61" s="8">
        <f>old_data[[#This Row],[Units Sold]]*old_data[[#This Row],[Unit Price (₦)]]</f>
        <v>343500</v>
      </c>
      <c r="N61" s="9">
        <f>old_data[[#This Row],[Total Sales (₦)]]*(1-old_data[[#This Row],[Discount (%)]])</f>
        <v>343500</v>
      </c>
      <c r="O61" s="5" t="str">
        <f>IF(old_data[[#This Row],[Net Revenue (₦)]]&gt;350000,"High",IF(old_data[[#This Row],[Net Revenue (₦)]]&gt;100000,"Medium","Low"))</f>
        <v>Medium</v>
      </c>
    </row>
    <row r="62" spans="1:15" x14ac:dyDescent="0.3">
      <c r="A62" t="s">
        <v>160</v>
      </c>
      <c r="B62" t="s">
        <v>16</v>
      </c>
      <c r="C62" s="5" t="s">
        <v>250</v>
      </c>
      <c r="D62" s="5" t="s">
        <v>39</v>
      </c>
      <c r="E62" s="5" t="s">
        <v>51</v>
      </c>
      <c r="F62" s="5" t="s">
        <v>52</v>
      </c>
      <c r="G62" s="5" t="s">
        <v>56</v>
      </c>
      <c r="H62" s="4">
        <v>45354</v>
      </c>
      <c r="I62" s="6">
        <v>266</v>
      </c>
      <c r="J62" s="8">
        <v>990</v>
      </c>
      <c r="K62" s="7">
        <v>0.09</v>
      </c>
      <c r="L62" s="5" t="s">
        <v>36</v>
      </c>
      <c r="M62" s="8">
        <f>old_data[[#This Row],[Units Sold]]*old_data[[#This Row],[Unit Price (₦)]]</f>
        <v>263340</v>
      </c>
      <c r="N62" s="9">
        <f>old_data[[#This Row],[Total Sales (₦)]]*(1-old_data[[#This Row],[Discount (%)]])</f>
        <v>239639.4</v>
      </c>
      <c r="O62" s="5" t="str">
        <f>IF(old_data[[#This Row],[Net Revenue (₦)]]&gt;350000,"High",IF(old_data[[#This Row],[Net Revenue (₦)]]&gt;100000,"Medium","Low"))</f>
        <v>Medium</v>
      </c>
    </row>
    <row r="63" spans="1:15" x14ac:dyDescent="0.3">
      <c r="A63" t="s">
        <v>161</v>
      </c>
      <c r="B63" t="s">
        <v>25</v>
      </c>
      <c r="C63" s="5" t="s">
        <v>257</v>
      </c>
      <c r="D63" s="5" t="s">
        <v>26</v>
      </c>
      <c r="E63" s="5" t="s">
        <v>27</v>
      </c>
      <c r="F63" s="5" t="s">
        <v>28</v>
      </c>
      <c r="G63" s="5" t="s">
        <v>29</v>
      </c>
      <c r="H63" s="4">
        <v>45355</v>
      </c>
      <c r="I63" s="6">
        <v>64</v>
      </c>
      <c r="J63" s="8">
        <v>350</v>
      </c>
      <c r="K63" s="7">
        <v>0</v>
      </c>
      <c r="L63" s="5" t="s">
        <v>30</v>
      </c>
      <c r="M63" s="8">
        <f>old_data[[#This Row],[Units Sold]]*old_data[[#This Row],[Unit Price (₦)]]</f>
        <v>22400</v>
      </c>
      <c r="N63" s="9">
        <f>old_data[[#This Row],[Total Sales (₦)]]*(1-old_data[[#This Row],[Discount (%)]])</f>
        <v>22400</v>
      </c>
      <c r="O63" s="5" t="str">
        <f>IF(old_data[[#This Row],[Net Revenue (₦)]]&gt;350000,"High",IF(old_data[[#This Row],[Net Revenue (₦)]]&gt;100000,"Medium","Low"))</f>
        <v>Low</v>
      </c>
    </row>
    <row r="64" spans="1:15" x14ac:dyDescent="0.3">
      <c r="A64" t="s">
        <v>162</v>
      </c>
      <c r="B64" t="s">
        <v>32</v>
      </c>
      <c r="C64" s="5" t="s">
        <v>246</v>
      </c>
      <c r="D64" s="5" t="s">
        <v>26</v>
      </c>
      <c r="E64" s="5" t="s">
        <v>33</v>
      </c>
      <c r="F64" s="5" t="s">
        <v>34</v>
      </c>
      <c r="G64" s="5" t="s">
        <v>35</v>
      </c>
      <c r="H64" s="4">
        <v>45356</v>
      </c>
      <c r="I64" s="6">
        <v>162</v>
      </c>
      <c r="J64" s="8">
        <v>420</v>
      </c>
      <c r="K64" s="7">
        <v>0</v>
      </c>
      <c r="L64" s="5" t="s">
        <v>36</v>
      </c>
      <c r="M64" s="8">
        <f>old_data[[#This Row],[Units Sold]]*old_data[[#This Row],[Unit Price (₦)]]</f>
        <v>68040</v>
      </c>
      <c r="N64" s="9">
        <f>old_data[[#This Row],[Total Sales (₦)]]*(1-old_data[[#This Row],[Discount (%)]])</f>
        <v>68040</v>
      </c>
      <c r="O64" s="5" t="str">
        <f>IF(old_data[[#This Row],[Net Revenue (₦)]]&gt;350000,"High",IF(old_data[[#This Row],[Net Revenue (₦)]]&gt;100000,"Medium","Low"))</f>
        <v>Low</v>
      </c>
    </row>
    <row r="65" spans="1:15" x14ac:dyDescent="0.3">
      <c r="A65" t="s">
        <v>163</v>
      </c>
      <c r="B65" t="s">
        <v>38</v>
      </c>
      <c r="C65" s="5" t="s">
        <v>247</v>
      </c>
      <c r="D65" s="5" t="s">
        <v>39</v>
      </c>
      <c r="E65" s="5" t="s">
        <v>40</v>
      </c>
      <c r="F65" s="5" t="s">
        <v>41</v>
      </c>
      <c r="G65" s="5" t="s">
        <v>42</v>
      </c>
      <c r="H65" s="4">
        <v>45357</v>
      </c>
      <c r="I65" s="6">
        <v>269</v>
      </c>
      <c r="J65" s="8">
        <v>1200</v>
      </c>
      <c r="K65" s="7">
        <v>0.04</v>
      </c>
      <c r="L65" s="5" t="s">
        <v>36</v>
      </c>
      <c r="M65" s="8">
        <f>old_data[[#This Row],[Units Sold]]*old_data[[#This Row],[Unit Price (₦)]]</f>
        <v>322800</v>
      </c>
      <c r="N65" s="9">
        <f>old_data[[#This Row],[Total Sales (₦)]]*(1-old_data[[#This Row],[Discount (%)]])</f>
        <v>309888</v>
      </c>
      <c r="O65" s="5" t="str">
        <f>IF(old_data[[#This Row],[Net Revenue (₦)]]&gt;350000,"High",IF(old_data[[#This Row],[Net Revenue (₦)]]&gt;100000,"Medium","Low"))</f>
        <v>Medium</v>
      </c>
    </row>
    <row r="66" spans="1:15" x14ac:dyDescent="0.3">
      <c r="A66" t="s">
        <v>164</v>
      </c>
      <c r="B66" t="s">
        <v>44</v>
      </c>
      <c r="C66" s="5" t="s">
        <v>254</v>
      </c>
      <c r="D66" s="5" t="s">
        <v>39</v>
      </c>
      <c r="E66" s="5" t="s">
        <v>45</v>
      </c>
      <c r="F66" s="5" t="s">
        <v>46</v>
      </c>
      <c r="G66" s="5" t="s">
        <v>47</v>
      </c>
      <c r="H66" s="4">
        <v>45358</v>
      </c>
      <c r="I66" s="6">
        <v>400</v>
      </c>
      <c r="J66" s="8">
        <v>200</v>
      </c>
      <c r="K66" s="7">
        <v>0</v>
      </c>
      <c r="L66" s="5" t="s">
        <v>30</v>
      </c>
      <c r="M66" s="8">
        <f>old_data[[#This Row],[Units Sold]]*old_data[[#This Row],[Unit Price (₦)]]</f>
        <v>80000</v>
      </c>
      <c r="N66" s="9">
        <f>old_data[[#This Row],[Total Sales (₦)]]*(1-old_data[[#This Row],[Discount (%)]])</f>
        <v>80000</v>
      </c>
      <c r="O66" s="5" t="str">
        <f>IF(old_data[[#This Row],[Net Revenue (₦)]]&gt;350000,"High",IF(old_data[[#This Row],[Net Revenue (₦)]]&gt;100000,"Medium","Low"))</f>
        <v>Low</v>
      </c>
    </row>
    <row r="67" spans="1:15" x14ac:dyDescent="0.3">
      <c r="A67" t="s">
        <v>165</v>
      </c>
      <c r="B67" t="s">
        <v>49</v>
      </c>
      <c r="C67" s="5" t="s">
        <v>251</v>
      </c>
      <c r="D67" s="5" t="s">
        <v>50</v>
      </c>
      <c r="E67" s="5" t="s">
        <v>51</v>
      </c>
      <c r="F67" s="5" t="s">
        <v>52</v>
      </c>
      <c r="G67" s="5" t="s">
        <v>53</v>
      </c>
      <c r="H67" s="4">
        <v>45359</v>
      </c>
      <c r="I67" s="6">
        <v>498</v>
      </c>
      <c r="J67" s="8">
        <v>895</v>
      </c>
      <c r="K67" s="7">
        <v>0</v>
      </c>
      <c r="L67" s="5" t="s">
        <v>36</v>
      </c>
      <c r="M67" s="8">
        <f>old_data[[#This Row],[Units Sold]]*old_data[[#This Row],[Unit Price (₦)]]</f>
        <v>445710</v>
      </c>
      <c r="N67" s="9">
        <f>old_data[[#This Row],[Total Sales (₦)]]*(1-old_data[[#This Row],[Discount (%)]])</f>
        <v>445710</v>
      </c>
      <c r="O67" s="5" t="str">
        <f>IF(old_data[[#This Row],[Net Revenue (₦)]]&gt;350000,"High",IF(old_data[[#This Row],[Net Revenue (₦)]]&gt;100000,"Medium","Low"))</f>
        <v>High</v>
      </c>
    </row>
    <row r="68" spans="1:15" x14ac:dyDescent="0.3">
      <c r="A68" t="s">
        <v>166</v>
      </c>
      <c r="B68" t="s">
        <v>55</v>
      </c>
      <c r="C68" s="5" t="s">
        <v>249</v>
      </c>
      <c r="D68" s="5" t="s">
        <v>39</v>
      </c>
      <c r="E68" s="5" t="s">
        <v>27</v>
      </c>
      <c r="F68" s="5" t="s">
        <v>28</v>
      </c>
      <c r="G68" s="5" t="s">
        <v>56</v>
      </c>
      <c r="H68" s="4">
        <v>45360</v>
      </c>
      <c r="I68" s="6">
        <v>281</v>
      </c>
      <c r="J68" s="8">
        <v>650</v>
      </c>
      <c r="K68" s="7">
        <v>0.1</v>
      </c>
      <c r="L68" s="5" t="s">
        <v>30</v>
      </c>
      <c r="M68" s="8">
        <f>old_data[[#This Row],[Units Sold]]*old_data[[#This Row],[Unit Price (₦)]]</f>
        <v>182650</v>
      </c>
      <c r="N68" s="9">
        <f>old_data[[#This Row],[Total Sales (₦)]]*(1-old_data[[#This Row],[Discount (%)]])</f>
        <v>164385</v>
      </c>
      <c r="O68" s="5" t="str">
        <f>IF(old_data[[#This Row],[Net Revenue (₦)]]&gt;350000,"High",IF(old_data[[#This Row],[Net Revenue (₦)]]&gt;100000,"Medium","Low"))</f>
        <v>Medium</v>
      </c>
    </row>
    <row r="69" spans="1:15" x14ac:dyDescent="0.3">
      <c r="A69" t="s">
        <v>168</v>
      </c>
      <c r="B69" t="s">
        <v>58</v>
      </c>
      <c r="C69" s="5" t="s">
        <v>255</v>
      </c>
      <c r="D69" s="5" t="s">
        <v>59</v>
      </c>
      <c r="E69" s="5" t="s">
        <v>33</v>
      </c>
      <c r="F69" s="5" t="s">
        <v>34</v>
      </c>
      <c r="G69" s="5" t="s">
        <v>29</v>
      </c>
      <c r="H69" s="4">
        <v>45361</v>
      </c>
      <c r="I69" s="6">
        <v>260</v>
      </c>
      <c r="J69" s="8">
        <v>2800</v>
      </c>
      <c r="K69" s="7">
        <v>0</v>
      </c>
      <c r="L69" s="5" t="s">
        <v>36</v>
      </c>
      <c r="M69" s="8">
        <f>old_data[[#This Row],[Units Sold]]*old_data[[#This Row],[Unit Price (₦)]]</f>
        <v>728000</v>
      </c>
      <c r="N69" s="9">
        <f>old_data[[#This Row],[Total Sales (₦)]]*(1-old_data[[#This Row],[Discount (%)]])</f>
        <v>728000</v>
      </c>
      <c r="O69" s="5" t="str">
        <f>IF(old_data[[#This Row],[Net Revenue (₦)]]&gt;350000,"High",IF(old_data[[#This Row],[Net Revenue (₦)]]&gt;100000,"Medium","Low"))</f>
        <v>High</v>
      </c>
    </row>
    <row r="70" spans="1:15" x14ac:dyDescent="0.3">
      <c r="A70" t="s">
        <v>169</v>
      </c>
      <c r="B70" t="s">
        <v>61</v>
      </c>
      <c r="C70" s="5" t="s">
        <v>244</v>
      </c>
      <c r="D70" s="5" t="s">
        <v>26</v>
      </c>
      <c r="E70" s="5" t="s">
        <v>40</v>
      </c>
      <c r="F70" s="5" t="s">
        <v>41</v>
      </c>
      <c r="G70" s="5" t="s">
        <v>35</v>
      </c>
      <c r="H70" s="4">
        <v>45362</v>
      </c>
      <c r="I70" s="6">
        <v>485</v>
      </c>
      <c r="J70" s="8">
        <v>280</v>
      </c>
      <c r="K70" s="7">
        <v>0</v>
      </c>
      <c r="L70" s="5" t="s">
        <v>36</v>
      </c>
      <c r="M70" s="8">
        <f>old_data[[#This Row],[Units Sold]]*old_data[[#This Row],[Unit Price (₦)]]</f>
        <v>135800</v>
      </c>
      <c r="N70" s="9">
        <f>old_data[[#This Row],[Total Sales (₦)]]*(1-old_data[[#This Row],[Discount (%)]])</f>
        <v>135800</v>
      </c>
      <c r="O70" s="5" t="str">
        <f>IF(old_data[[#This Row],[Net Revenue (₦)]]&gt;350000,"High",IF(old_data[[#This Row],[Net Revenue (₦)]]&gt;100000,"Medium","Low"))</f>
        <v>Medium</v>
      </c>
    </row>
    <row r="71" spans="1:15" x14ac:dyDescent="0.3">
      <c r="A71" t="s">
        <v>173</v>
      </c>
      <c r="B71" t="s">
        <v>63</v>
      </c>
      <c r="C71" s="5" t="s">
        <v>253</v>
      </c>
      <c r="D71" s="5" t="s">
        <v>50</v>
      </c>
      <c r="E71" s="5" t="s">
        <v>45</v>
      </c>
      <c r="F71" s="5" t="s">
        <v>46</v>
      </c>
      <c r="G71" s="5" t="s">
        <v>42</v>
      </c>
      <c r="H71" s="4">
        <v>45363</v>
      </c>
      <c r="I71" s="6">
        <v>435</v>
      </c>
      <c r="J71" s="8">
        <v>750</v>
      </c>
      <c r="K71" s="7">
        <v>0.05</v>
      </c>
      <c r="L71" s="5" t="s">
        <v>30</v>
      </c>
      <c r="M71" s="8">
        <f>old_data[[#This Row],[Units Sold]]*old_data[[#This Row],[Unit Price (₦)]]</f>
        <v>326250</v>
      </c>
      <c r="N71" s="9">
        <f>old_data[[#This Row],[Total Sales (₦)]]*(1-old_data[[#This Row],[Discount (%)]])</f>
        <v>309937.5</v>
      </c>
      <c r="O71" s="5" t="str">
        <f>IF(old_data[[#This Row],[Net Revenue (₦)]]&gt;350000,"High",IF(old_data[[#This Row],[Net Revenue (₦)]]&gt;100000,"Medium","Low"))</f>
        <v>Medium</v>
      </c>
    </row>
    <row r="72" spans="1:15" x14ac:dyDescent="0.3">
      <c r="A72" t="s">
        <v>178</v>
      </c>
      <c r="B72" t="s">
        <v>16</v>
      </c>
      <c r="C72" s="5" t="s">
        <v>250</v>
      </c>
      <c r="D72" s="5" t="s">
        <v>39</v>
      </c>
      <c r="E72" s="5" t="s">
        <v>51</v>
      </c>
      <c r="F72" s="5" t="s">
        <v>52</v>
      </c>
      <c r="G72" s="5" t="s">
        <v>47</v>
      </c>
      <c r="H72" s="4">
        <v>45364</v>
      </c>
      <c r="I72" s="6">
        <v>133</v>
      </c>
      <c r="J72" s="8">
        <v>990</v>
      </c>
      <c r="K72" s="7">
        <v>0</v>
      </c>
      <c r="L72" s="5" t="s">
        <v>36</v>
      </c>
      <c r="M72" s="8">
        <f>old_data[[#This Row],[Units Sold]]*old_data[[#This Row],[Unit Price (₦)]]</f>
        <v>131670</v>
      </c>
      <c r="N72" s="9">
        <f>old_data[[#This Row],[Total Sales (₦)]]*(1-old_data[[#This Row],[Discount (%)]])</f>
        <v>131670</v>
      </c>
      <c r="O72" s="5" t="str">
        <f>IF(old_data[[#This Row],[Net Revenue (₦)]]&gt;350000,"High",IF(old_data[[#This Row],[Net Revenue (₦)]]&gt;100000,"Medium","Low"))</f>
        <v>Medium</v>
      </c>
    </row>
    <row r="73" spans="1:15" x14ac:dyDescent="0.3">
      <c r="A73" t="s">
        <v>179</v>
      </c>
      <c r="B73" t="s">
        <v>25</v>
      </c>
      <c r="C73" s="5" t="s">
        <v>257</v>
      </c>
      <c r="D73" s="5" t="s">
        <v>26</v>
      </c>
      <c r="E73" s="5" t="s">
        <v>27</v>
      </c>
      <c r="F73" s="5" t="s">
        <v>28</v>
      </c>
      <c r="G73" s="5" t="s">
        <v>53</v>
      </c>
      <c r="H73" s="4">
        <v>45365</v>
      </c>
      <c r="I73" s="6">
        <v>89</v>
      </c>
      <c r="J73" s="8">
        <v>350</v>
      </c>
      <c r="K73" s="7">
        <v>0</v>
      </c>
      <c r="L73" s="5" t="s">
        <v>30</v>
      </c>
      <c r="M73" s="8">
        <v>31150</v>
      </c>
      <c r="N73" s="9">
        <f>old_data[[#This Row],[Total Sales (₦)]]*(1-old_data[[#This Row],[Discount (%)]])</f>
        <v>31150</v>
      </c>
      <c r="O73" s="5" t="str">
        <f>IF(old_data[[#This Row],[Net Revenue (₦)]]&gt;350000,"High",IF(old_data[[#This Row],[Net Revenue (₦)]]&gt;100000,"Medium","Low"))</f>
        <v>Low</v>
      </c>
    </row>
    <row r="74" spans="1:15" x14ac:dyDescent="0.3">
      <c r="A74" t="s">
        <v>180</v>
      </c>
      <c r="B74" t="s">
        <v>32</v>
      </c>
      <c r="C74" s="5" t="s">
        <v>246</v>
      </c>
      <c r="D74" s="5" t="s">
        <v>26</v>
      </c>
      <c r="E74" s="5" t="s">
        <v>33</v>
      </c>
      <c r="F74" s="5" t="s">
        <v>34</v>
      </c>
      <c r="G74" s="5" t="s">
        <v>56</v>
      </c>
      <c r="H74" s="4">
        <v>45366</v>
      </c>
      <c r="I74" s="6">
        <v>384</v>
      </c>
      <c r="J74" s="8">
        <v>420</v>
      </c>
      <c r="K74" s="7">
        <v>0.03</v>
      </c>
      <c r="L74" s="5" t="s">
        <v>36</v>
      </c>
      <c r="M74" s="8">
        <f>old_data[[#This Row],[Units Sold]]*old_data[[#This Row],[Unit Price (₦)]]</f>
        <v>161280</v>
      </c>
      <c r="N74" s="9">
        <f>old_data[[#This Row],[Total Sales (₦)]]*(1-old_data[[#This Row],[Discount (%)]])</f>
        <v>156441.60000000001</v>
      </c>
      <c r="O74" s="5" t="str">
        <f>IF(old_data[[#This Row],[Net Revenue (₦)]]&gt;350000,"High",IF(old_data[[#This Row],[Net Revenue (₦)]]&gt;100000,"Medium","Low"))</f>
        <v>Medium</v>
      </c>
    </row>
    <row r="75" spans="1:15" x14ac:dyDescent="0.3">
      <c r="A75" t="s">
        <v>181</v>
      </c>
      <c r="B75" t="s">
        <v>38</v>
      </c>
      <c r="C75" s="5" t="s">
        <v>247</v>
      </c>
      <c r="D75" s="5" t="s">
        <v>39</v>
      </c>
      <c r="E75" s="5" t="s">
        <v>40</v>
      </c>
      <c r="F75" s="5" t="s">
        <v>41</v>
      </c>
      <c r="G75" s="5" t="s">
        <v>29</v>
      </c>
      <c r="H75" s="4">
        <v>45367</v>
      </c>
      <c r="I75" s="6">
        <v>399</v>
      </c>
      <c r="J75" s="8">
        <v>1200</v>
      </c>
      <c r="K75" s="7">
        <v>0</v>
      </c>
      <c r="L75" s="5" t="s">
        <v>36</v>
      </c>
      <c r="M75" s="8">
        <f>old_data[[#This Row],[Units Sold]]*old_data[[#This Row],[Unit Price (₦)]]</f>
        <v>478800</v>
      </c>
      <c r="N75" s="9">
        <f>old_data[[#This Row],[Total Sales (₦)]]*(1-old_data[[#This Row],[Discount (%)]])</f>
        <v>478800</v>
      </c>
      <c r="O75" s="5" t="str">
        <f>IF(old_data[[#This Row],[Net Revenue (₦)]]&gt;350000,"High",IF(old_data[[#This Row],[Net Revenue (₦)]]&gt;100000,"Medium","Low"))</f>
        <v>High</v>
      </c>
    </row>
    <row r="76" spans="1:15" x14ac:dyDescent="0.3">
      <c r="A76" t="s">
        <v>182</v>
      </c>
      <c r="B76" t="s">
        <v>44</v>
      </c>
      <c r="C76" s="5" t="s">
        <v>254</v>
      </c>
      <c r="D76" s="5" t="s">
        <v>39</v>
      </c>
      <c r="E76" s="5" t="s">
        <v>45</v>
      </c>
      <c r="F76" s="5" t="s">
        <v>46</v>
      </c>
      <c r="G76" s="5" t="s">
        <v>35</v>
      </c>
      <c r="H76" s="4">
        <v>45368</v>
      </c>
      <c r="I76" s="6">
        <v>74</v>
      </c>
      <c r="J76" s="8">
        <v>200</v>
      </c>
      <c r="K76" s="7">
        <v>0</v>
      </c>
      <c r="L76" s="5" t="s">
        <v>30</v>
      </c>
      <c r="M76" s="8">
        <f>old_data[[#This Row],[Units Sold]]*old_data[[#This Row],[Unit Price (₦)]]</f>
        <v>14800</v>
      </c>
      <c r="N76" s="9">
        <f>old_data[[#This Row],[Total Sales (₦)]]*(1-old_data[[#This Row],[Discount (%)]])</f>
        <v>14800</v>
      </c>
      <c r="O76" s="5" t="str">
        <f>IF(old_data[[#This Row],[Net Revenue (₦)]]&gt;350000,"High",IF(old_data[[#This Row],[Net Revenue (₦)]]&gt;100000,"Medium","Low"))</f>
        <v>Low</v>
      </c>
    </row>
    <row r="77" spans="1:15" x14ac:dyDescent="0.3">
      <c r="A77" t="s">
        <v>183</v>
      </c>
      <c r="B77" t="s">
        <v>49</v>
      </c>
      <c r="C77" s="5" t="s">
        <v>251</v>
      </c>
      <c r="D77" s="5" t="s">
        <v>50</v>
      </c>
      <c r="E77" s="5" t="s">
        <v>51</v>
      </c>
      <c r="F77" s="5" t="s">
        <v>52</v>
      </c>
      <c r="G77" s="5" t="s">
        <v>42</v>
      </c>
      <c r="H77" s="4">
        <v>45369</v>
      </c>
      <c r="I77" s="6">
        <v>253</v>
      </c>
      <c r="J77" s="8">
        <v>895</v>
      </c>
      <c r="K77" s="7">
        <v>0.04</v>
      </c>
      <c r="L77" s="5" t="s">
        <v>36</v>
      </c>
      <c r="M77" s="8">
        <f>old_data[[#This Row],[Units Sold]]*old_data[[#This Row],[Unit Price (₦)]]</f>
        <v>226435</v>
      </c>
      <c r="N77" s="9">
        <f>old_data[[#This Row],[Total Sales (₦)]]*(1-old_data[[#This Row],[Discount (%)]])</f>
        <v>217377.6</v>
      </c>
      <c r="O77" s="5" t="str">
        <f>IF(old_data[[#This Row],[Net Revenue (₦)]]&gt;350000,"High",IF(old_data[[#This Row],[Net Revenue (₦)]]&gt;100000,"Medium","Low"))</f>
        <v>Medium</v>
      </c>
    </row>
    <row r="78" spans="1:15" x14ac:dyDescent="0.3">
      <c r="A78" t="s">
        <v>185</v>
      </c>
      <c r="B78" t="s">
        <v>55</v>
      </c>
      <c r="C78" s="5" t="s">
        <v>249</v>
      </c>
      <c r="D78" s="5" t="s">
        <v>39</v>
      </c>
      <c r="E78" s="5" t="s">
        <v>27</v>
      </c>
      <c r="F78" s="5" t="s">
        <v>28</v>
      </c>
      <c r="G78" s="5" t="s">
        <v>47</v>
      </c>
      <c r="H78" s="4">
        <v>45370</v>
      </c>
      <c r="I78" s="6">
        <v>280</v>
      </c>
      <c r="J78" s="8">
        <v>650</v>
      </c>
      <c r="K78" s="7">
        <v>0</v>
      </c>
      <c r="L78" s="5" t="s">
        <v>30</v>
      </c>
      <c r="M78" s="8">
        <f>old_data[[#This Row],[Units Sold]]*old_data[[#This Row],[Unit Price (₦)]]</f>
        <v>182000</v>
      </c>
      <c r="N78" s="9">
        <f>old_data[[#This Row],[Total Sales (₦)]]*(1-old_data[[#This Row],[Discount (%)]])</f>
        <v>182000</v>
      </c>
      <c r="O78" s="5" t="str">
        <f>IF(old_data[[#This Row],[Net Revenue (₦)]]&gt;350000,"High",IF(old_data[[#This Row],[Net Revenue (₦)]]&gt;100000,"Medium","Low"))</f>
        <v>Medium</v>
      </c>
    </row>
    <row r="79" spans="1:15" x14ac:dyDescent="0.3">
      <c r="A79" t="s">
        <v>187</v>
      </c>
      <c r="B79" t="s">
        <v>58</v>
      </c>
      <c r="C79" s="5" t="s">
        <v>255</v>
      </c>
      <c r="D79" s="5" t="s">
        <v>59</v>
      </c>
      <c r="E79" s="5" t="s">
        <v>33</v>
      </c>
      <c r="F79" s="5" t="s">
        <v>34</v>
      </c>
      <c r="G79" s="5" t="s">
        <v>53</v>
      </c>
      <c r="H79" s="4">
        <v>45371</v>
      </c>
      <c r="I79" s="6">
        <v>226</v>
      </c>
      <c r="J79" s="8">
        <v>2800</v>
      </c>
      <c r="K79" s="7">
        <v>0</v>
      </c>
      <c r="L79" s="5" t="s">
        <v>36</v>
      </c>
      <c r="M79" s="8">
        <f>old_data[[#This Row],[Units Sold]]*old_data[[#This Row],[Unit Price (₦)]]</f>
        <v>632800</v>
      </c>
      <c r="N79" s="9">
        <f>old_data[[#This Row],[Total Sales (₦)]]*(1-old_data[[#This Row],[Discount (%)]])</f>
        <v>632800</v>
      </c>
      <c r="O79" s="5" t="str">
        <f>IF(old_data[[#This Row],[Net Revenue (₦)]]&gt;350000,"High",IF(old_data[[#This Row],[Net Revenue (₦)]]&gt;100000,"Medium","Low"))</f>
        <v>High</v>
      </c>
    </row>
    <row r="80" spans="1:15" x14ac:dyDescent="0.3">
      <c r="A80" t="s">
        <v>189</v>
      </c>
      <c r="B80" t="s">
        <v>61</v>
      </c>
      <c r="C80" s="5" t="s">
        <v>244</v>
      </c>
      <c r="D80" s="5" t="s">
        <v>26</v>
      </c>
      <c r="E80" s="5" t="s">
        <v>40</v>
      </c>
      <c r="F80" s="5" t="s">
        <v>41</v>
      </c>
      <c r="G80" s="5" t="s">
        <v>56</v>
      </c>
      <c r="H80" s="4">
        <v>45372</v>
      </c>
      <c r="I80" s="6">
        <v>485</v>
      </c>
      <c r="J80" s="8">
        <v>280</v>
      </c>
      <c r="K80" s="7">
        <v>0.11</v>
      </c>
      <c r="L80" s="5" t="s">
        <v>36</v>
      </c>
      <c r="M80" s="8">
        <f>old_data[[#This Row],[Units Sold]]*old_data[[#This Row],[Unit Price (₦)]]</f>
        <v>135800</v>
      </c>
      <c r="N80" s="9">
        <f>old_data[[#This Row],[Total Sales (₦)]]*(1-old_data[[#This Row],[Discount (%)]])</f>
        <v>120862</v>
      </c>
      <c r="O80" s="5" t="str">
        <f>IF(old_data[[#This Row],[Net Revenue (₦)]]&gt;350000,"High",IF(old_data[[#This Row],[Net Revenue (₦)]]&gt;100000,"Medium","Low"))</f>
        <v>Medium</v>
      </c>
    </row>
    <row r="81" spans="1:15" x14ac:dyDescent="0.3">
      <c r="A81" t="s">
        <v>190</v>
      </c>
      <c r="B81" t="s">
        <v>63</v>
      </c>
      <c r="C81" s="5" t="s">
        <v>253</v>
      </c>
      <c r="D81" s="5" t="s">
        <v>50</v>
      </c>
      <c r="E81" s="5" t="s">
        <v>45</v>
      </c>
      <c r="F81" s="5" t="s">
        <v>46</v>
      </c>
      <c r="G81" s="5" t="s">
        <v>29</v>
      </c>
      <c r="H81" s="4">
        <v>45373</v>
      </c>
      <c r="I81" s="6">
        <v>112</v>
      </c>
      <c r="J81" s="8">
        <v>750</v>
      </c>
      <c r="K81" s="7">
        <v>0</v>
      </c>
      <c r="L81" s="5" t="s">
        <v>30</v>
      </c>
      <c r="M81" s="8">
        <f>old_data[[#This Row],[Units Sold]]*old_data[[#This Row],[Unit Price (₦)]]</f>
        <v>84000</v>
      </c>
      <c r="N81" s="9">
        <f>old_data[[#This Row],[Total Sales (₦)]]*(1-old_data[[#This Row],[Discount (%)]])</f>
        <v>84000</v>
      </c>
      <c r="O81" s="5" t="str">
        <f>IF(old_data[[#This Row],[Net Revenue (₦)]]&gt;350000,"High",IF(old_data[[#This Row],[Net Revenue (₦)]]&gt;100000,"Medium","Low"))</f>
        <v>Low</v>
      </c>
    </row>
    <row r="82" spans="1:15" x14ac:dyDescent="0.3">
      <c r="A82" t="s">
        <v>191</v>
      </c>
      <c r="B82" t="s">
        <v>16</v>
      </c>
      <c r="C82" s="5" t="s">
        <v>250</v>
      </c>
      <c r="D82" s="5" t="s">
        <v>39</v>
      </c>
      <c r="E82" s="5" t="s">
        <v>51</v>
      </c>
      <c r="F82" s="5" t="s">
        <v>52</v>
      </c>
      <c r="G82" s="5" t="s">
        <v>35</v>
      </c>
      <c r="H82" s="4">
        <v>45374</v>
      </c>
      <c r="I82" s="6">
        <v>214</v>
      </c>
      <c r="J82" s="8">
        <v>990</v>
      </c>
      <c r="K82" s="7">
        <v>0</v>
      </c>
      <c r="L82" s="5" t="s">
        <v>36</v>
      </c>
      <c r="M82" s="8">
        <f>old_data[[#This Row],[Units Sold]]*old_data[[#This Row],[Unit Price (₦)]]</f>
        <v>211860</v>
      </c>
      <c r="N82" s="9">
        <f>old_data[[#This Row],[Total Sales (₦)]]*(1-old_data[[#This Row],[Discount (%)]])</f>
        <v>211860</v>
      </c>
      <c r="O82" s="5" t="str">
        <f>IF(old_data[[#This Row],[Net Revenue (₦)]]&gt;350000,"High",IF(old_data[[#This Row],[Net Revenue (₦)]]&gt;100000,"Medium","Low"))</f>
        <v>Medium</v>
      </c>
    </row>
    <row r="83" spans="1:15" x14ac:dyDescent="0.3">
      <c r="A83" t="s">
        <v>192</v>
      </c>
      <c r="B83" t="s">
        <v>25</v>
      </c>
      <c r="C83" s="5" t="s">
        <v>257</v>
      </c>
      <c r="D83" s="5" t="s">
        <v>26</v>
      </c>
      <c r="E83" s="5" t="s">
        <v>27</v>
      </c>
      <c r="F83" s="5" t="s">
        <v>28</v>
      </c>
      <c r="G83" s="5" t="s">
        <v>42</v>
      </c>
      <c r="H83" s="4">
        <v>45375</v>
      </c>
      <c r="I83" s="6">
        <v>342</v>
      </c>
      <c r="J83" s="8">
        <v>350</v>
      </c>
      <c r="K83" s="7">
        <v>0.14000000000000001</v>
      </c>
      <c r="L83" s="5" t="s">
        <v>30</v>
      </c>
      <c r="M83" s="8">
        <f>old_data[[#This Row],[Units Sold]]*old_data[[#This Row],[Unit Price (₦)]]</f>
        <v>119700</v>
      </c>
      <c r="N83" s="9">
        <f>old_data[[#This Row],[Total Sales (₦)]]*(1-old_data[[#This Row],[Discount (%)]])</f>
        <v>102942</v>
      </c>
      <c r="O83" s="5" t="str">
        <f>IF(old_data[[#This Row],[Net Revenue (₦)]]&gt;350000,"High",IF(old_data[[#This Row],[Net Revenue (₦)]]&gt;100000,"Medium","Low"))</f>
        <v>Medium</v>
      </c>
    </row>
    <row r="84" spans="1:15" x14ac:dyDescent="0.3">
      <c r="A84" t="s">
        <v>193</v>
      </c>
      <c r="B84" t="s">
        <v>32</v>
      </c>
      <c r="C84" s="5" t="s">
        <v>246</v>
      </c>
      <c r="D84" s="5" t="s">
        <v>26</v>
      </c>
      <c r="E84" s="5" t="s">
        <v>33</v>
      </c>
      <c r="F84" s="5" t="s">
        <v>34</v>
      </c>
      <c r="G84" s="5" t="s">
        <v>47</v>
      </c>
      <c r="H84" s="4">
        <v>45376</v>
      </c>
      <c r="I84" s="6">
        <v>241</v>
      </c>
      <c r="J84" s="8">
        <v>420</v>
      </c>
      <c r="K84" s="7">
        <v>0</v>
      </c>
      <c r="L84" s="5" t="s">
        <v>36</v>
      </c>
      <c r="M84" s="8">
        <f>old_data[[#This Row],[Units Sold]]*old_data[[#This Row],[Unit Price (₦)]]</f>
        <v>101220</v>
      </c>
      <c r="N84" s="9">
        <f>old_data[[#This Row],[Total Sales (₦)]]*(1-old_data[[#This Row],[Discount (%)]])</f>
        <v>101220</v>
      </c>
      <c r="O84" s="5" t="str">
        <f>IF(old_data[[#This Row],[Net Revenue (₦)]]&gt;350000,"High",IF(old_data[[#This Row],[Net Revenue (₦)]]&gt;100000,"Medium","Low"))</f>
        <v>Medium</v>
      </c>
    </row>
    <row r="85" spans="1:15" x14ac:dyDescent="0.3">
      <c r="A85" t="s">
        <v>194</v>
      </c>
      <c r="B85" t="s">
        <v>38</v>
      </c>
      <c r="C85" s="5" t="s">
        <v>247</v>
      </c>
      <c r="D85" s="5" t="s">
        <v>39</v>
      </c>
      <c r="E85" s="5" t="s">
        <v>40</v>
      </c>
      <c r="F85" s="5" t="s">
        <v>41</v>
      </c>
      <c r="G85" s="5" t="s">
        <v>53</v>
      </c>
      <c r="H85" s="4">
        <v>45377</v>
      </c>
      <c r="I85" s="6">
        <v>125</v>
      </c>
      <c r="J85" s="8">
        <v>1200</v>
      </c>
      <c r="K85" s="7">
        <v>0</v>
      </c>
      <c r="L85" s="5" t="s">
        <v>36</v>
      </c>
      <c r="M85" s="8">
        <f>old_data[[#This Row],[Units Sold]]*old_data[[#This Row],[Unit Price (₦)]]</f>
        <v>150000</v>
      </c>
      <c r="N85" s="9">
        <f>old_data[[#This Row],[Total Sales (₦)]]*(1-old_data[[#This Row],[Discount (%)]])</f>
        <v>150000</v>
      </c>
      <c r="O85" s="5" t="str">
        <f>IF(old_data[[#This Row],[Net Revenue (₦)]]&gt;350000,"High",IF(old_data[[#This Row],[Net Revenue (₦)]]&gt;100000,"Medium","Low"))</f>
        <v>Medium</v>
      </c>
    </row>
    <row r="86" spans="1:15" x14ac:dyDescent="0.3">
      <c r="A86" t="s">
        <v>195</v>
      </c>
      <c r="B86" t="s">
        <v>44</v>
      </c>
      <c r="C86" s="5" t="s">
        <v>254</v>
      </c>
      <c r="D86" s="5" t="s">
        <v>39</v>
      </c>
      <c r="E86" s="5" t="s">
        <v>45</v>
      </c>
      <c r="F86" s="5" t="s">
        <v>46</v>
      </c>
      <c r="G86" s="5" t="s">
        <v>56</v>
      </c>
      <c r="H86" s="4">
        <v>45378</v>
      </c>
      <c r="I86" s="6">
        <v>20</v>
      </c>
      <c r="J86" s="8">
        <v>200</v>
      </c>
      <c r="K86" s="7">
        <v>0.05</v>
      </c>
      <c r="L86" s="5" t="s">
        <v>30</v>
      </c>
      <c r="M86" s="8">
        <f>old_data[[#This Row],[Units Sold]]*old_data[[#This Row],[Unit Price (₦)]]</f>
        <v>4000</v>
      </c>
      <c r="N86" s="9">
        <f>old_data[[#This Row],[Total Sales (₦)]]*(1-old_data[[#This Row],[Discount (%)]])</f>
        <v>3800</v>
      </c>
      <c r="O86" s="5" t="str">
        <f>IF(old_data[[#This Row],[Net Revenue (₦)]]&gt;350000,"High",IF(old_data[[#This Row],[Net Revenue (₦)]]&gt;100000,"Medium","Low"))</f>
        <v>Low</v>
      </c>
    </row>
    <row r="87" spans="1:15" x14ac:dyDescent="0.3">
      <c r="A87" t="s">
        <v>196</v>
      </c>
      <c r="B87" t="s">
        <v>49</v>
      </c>
      <c r="C87" s="5" t="s">
        <v>251</v>
      </c>
      <c r="D87" s="5" t="s">
        <v>50</v>
      </c>
      <c r="E87" s="5" t="s">
        <v>51</v>
      </c>
      <c r="F87" s="5" t="s">
        <v>52</v>
      </c>
      <c r="G87" s="5" t="s">
        <v>29</v>
      </c>
      <c r="H87" s="4">
        <v>45379</v>
      </c>
      <c r="I87" s="6">
        <v>122</v>
      </c>
      <c r="J87" s="8">
        <v>895</v>
      </c>
      <c r="K87" s="7">
        <v>0</v>
      </c>
      <c r="L87" s="5" t="s">
        <v>36</v>
      </c>
      <c r="M87" s="8">
        <f>old_data[[#This Row],[Units Sold]]*old_data[[#This Row],[Unit Price (₦)]]</f>
        <v>109190</v>
      </c>
      <c r="N87" s="9">
        <f>old_data[[#This Row],[Total Sales (₦)]]*(1-old_data[[#This Row],[Discount (%)]])</f>
        <v>109190</v>
      </c>
      <c r="O87" s="5" t="str">
        <f>IF(old_data[[#This Row],[Net Revenue (₦)]]&gt;350000,"High",IF(old_data[[#This Row],[Net Revenue (₦)]]&gt;100000,"Medium","Low"))</f>
        <v>Medium</v>
      </c>
    </row>
    <row r="88" spans="1:15" x14ac:dyDescent="0.3">
      <c r="A88" t="s">
        <v>199</v>
      </c>
      <c r="B88" t="s">
        <v>58</v>
      </c>
      <c r="C88" s="5" t="s">
        <v>255</v>
      </c>
      <c r="D88" s="5" t="s">
        <v>59</v>
      </c>
      <c r="E88" s="5" t="s">
        <v>33</v>
      </c>
      <c r="F88" s="5" t="s">
        <v>34</v>
      </c>
      <c r="G88" s="5" t="s">
        <v>29</v>
      </c>
      <c r="H88" s="4">
        <v>45381</v>
      </c>
      <c r="I88" s="6">
        <v>120</v>
      </c>
      <c r="J88" s="8">
        <v>2800</v>
      </c>
      <c r="K88" s="7">
        <v>0.02</v>
      </c>
      <c r="L88" s="5" t="s">
        <v>36</v>
      </c>
      <c r="M88" s="8">
        <f>old_data[[#This Row],[Units Sold]]*old_data[[#This Row],[Unit Price (₦)]]</f>
        <v>336000</v>
      </c>
      <c r="N88" s="9">
        <f>old_data[[#This Row],[Total Sales (₦)]]*(1-old_data[[#This Row],[Discount (%)]])</f>
        <v>329280</v>
      </c>
      <c r="O88" s="5" t="str">
        <f>IF(old_data[[#This Row],[Net Revenue (₦)]]&gt;350000,"High",IF(old_data[[#This Row],[Net Revenue (₦)]]&gt;100000,"Medium","Low"))</f>
        <v>Medium</v>
      </c>
    </row>
    <row r="89" spans="1:15" x14ac:dyDescent="0.3">
      <c r="A89" t="s">
        <v>200</v>
      </c>
      <c r="B89" t="s">
        <v>58</v>
      </c>
      <c r="C89" s="5" t="s">
        <v>255</v>
      </c>
      <c r="D89" s="5" t="s">
        <v>59</v>
      </c>
      <c r="E89" s="5" t="s">
        <v>33</v>
      </c>
      <c r="F89" s="5" t="s">
        <v>34</v>
      </c>
      <c r="G89" s="5" t="s">
        <v>42</v>
      </c>
      <c r="H89" s="4">
        <v>45382</v>
      </c>
      <c r="I89" s="6">
        <v>127</v>
      </c>
      <c r="J89" s="8">
        <v>2800</v>
      </c>
      <c r="K89" s="7">
        <v>0.02</v>
      </c>
      <c r="L89" s="5" t="s">
        <v>36</v>
      </c>
      <c r="M89" s="8">
        <f>old_data[[#This Row],[Units Sold]]*old_data[[#This Row],[Unit Price (₦)]]</f>
        <v>355600</v>
      </c>
      <c r="N89" s="9">
        <f>old_data[[#This Row],[Total Sales (₦)]]*(1-old_data[[#This Row],[Discount (%)]])</f>
        <v>348488</v>
      </c>
      <c r="O89" s="5" t="str">
        <f>IF(old_data[[#This Row],[Net Revenue (₦)]]&gt;350000,"High",IF(old_data[[#This Row],[Net Revenue (₦)]]&gt;100000,"Medium","Low"))</f>
        <v>Medium</v>
      </c>
    </row>
    <row r="90" spans="1:15" x14ac:dyDescent="0.3">
      <c r="A90" t="s">
        <v>201</v>
      </c>
      <c r="B90" t="s">
        <v>61</v>
      </c>
      <c r="C90" s="5" t="s">
        <v>244</v>
      </c>
      <c r="D90" s="5" t="s">
        <v>26</v>
      </c>
      <c r="E90" s="5" t="s">
        <v>40</v>
      </c>
      <c r="F90" s="5" t="s">
        <v>41</v>
      </c>
      <c r="G90" s="5" t="s">
        <v>47</v>
      </c>
      <c r="H90" s="4">
        <v>45383</v>
      </c>
      <c r="I90" s="6">
        <v>179</v>
      </c>
      <c r="J90" s="8">
        <v>280</v>
      </c>
      <c r="K90" s="7">
        <v>0</v>
      </c>
      <c r="L90" s="5" t="s">
        <v>36</v>
      </c>
      <c r="M90" s="8">
        <f>old_data[[#This Row],[Units Sold]]*old_data[[#This Row],[Unit Price (₦)]]</f>
        <v>50120</v>
      </c>
      <c r="N90" s="9">
        <f>old_data[[#This Row],[Total Sales (₦)]]*(1-old_data[[#This Row],[Discount (%)]])</f>
        <v>50120</v>
      </c>
      <c r="O90" s="5" t="str">
        <f>IF(old_data[[#This Row],[Net Revenue (₦)]]&gt;350000,"High",IF(old_data[[#This Row],[Net Revenue (₦)]]&gt;100000,"Medium","Low"))</f>
        <v>Low</v>
      </c>
    </row>
    <row r="91" spans="1:15" x14ac:dyDescent="0.3">
      <c r="A91" t="s">
        <v>202</v>
      </c>
      <c r="B91" t="s">
        <v>63</v>
      </c>
      <c r="C91" s="5" t="s">
        <v>253</v>
      </c>
      <c r="D91" s="5" t="s">
        <v>50</v>
      </c>
      <c r="E91" s="5" t="s">
        <v>45</v>
      </c>
      <c r="F91" s="5" t="s">
        <v>46</v>
      </c>
      <c r="G91" s="5" t="s">
        <v>53</v>
      </c>
      <c r="H91" s="4">
        <v>45384</v>
      </c>
      <c r="I91" s="6">
        <v>111</v>
      </c>
      <c r="J91" s="8">
        <v>750</v>
      </c>
      <c r="K91" s="7">
        <v>0</v>
      </c>
      <c r="L91" s="5" t="s">
        <v>30</v>
      </c>
      <c r="M91" s="8">
        <v>83250</v>
      </c>
      <c r="N91" s="9">
        <f>old_data[[#This Row],[Total Sales (₦)]]*(1-old_data[[#This Row],[Discount (%)]])</f>
        <v>83250</v>
      </c>
      <c r="O91" s="5" t="str">
        <f>IF(old_data[[#This Row],[Net Revenue (₦)]]&gt;350000,"High",IF(old_data[[#This Row],[Net Revenue (₦)]]&gt;100000,"Medium","Low"))</f>
        <v>Low</v>
      </c>
    </row>
    <row r="92" spans="1:15" x14ac:dyDescent="0.3">
      <c r="A92" t="s">
        <v>203</v>
      </c>
      <c r="B92" t="s">
        <v>16</v>
      </c>
      <c r="C92" s="5" t="s">
        <v>250</v>
      </c>
      <c r="D92" s="5" t="s">
        <v>39</v>
      </c>
      <c r="E92" s="5" t="s">
        <v>51</v>
      </c>
      <c r="F92" s="5" t="s">
        <v>52</v>
      </c>
      <c r="G92" s="5" t="s">
        <v>56</v>
      </c>
      <c r="H92" s="4">
        <v>45385</v>
      </c>
      <c r="I92" s="6">
        <v>258</v>
      </c>
      <c r="J92" s="8">
        <v>990</v>
      </c>
      <c r="K92" s="7">
        <v>0.04</v>
      </c>
      <c r="L92" s="5" t="s">
        <v>36</v>
      </c>
      <c r="M92" s="8">
        <f>old_data[[#This Row],[Units Sold]]*old_data[[#This Row],[Unit Price (₦)]]</f>
        <v>255420</v>
      </c>
      <c r="N92" s="9">
        <f>old_data[[#This Row],[Total Sales (₦)]]*(1-old_data[[#This Row],[Discount (%)]])</f>
        <v>245203.19999999998</v>
      </c>
      <c r="O92" s="5" t="str">
        <f>IF(old_data[[#This Row],[Net Revenue (₦)]]&gt;350000,"High",IF(old_data[[#This Row],[Net Revenue (₦)]]&gt;100000,"Medium","Low"))</f>
        <v>Medium</v>
      </c>
    </row>
    <row r="93" spans="1:15" x14ac:dyDescent="0.3">
      <c r="A93" t="s">
        <v>204</v>
      </c>
      <c r="B93" t="s">
        <v>25</v>
      </c>
      <c r="C93" s="5" t="s">
        <v>257</v>
      </c>
      <c r="D93" s="5" t="s">
        <v>26</v>
      </c>
      <c r="E93" s="5" t="s">
        <v>27</v>
      </c>
      <c r="F93" s="5" t="s">
        <v>28</v>
      </c>
      <c r="G93" s="5" t="s">
        <v>29</v>
      </c>
      <c r="H93" s="4">
        <v>45386</v>
      </c>
      <c r="I93" s="6">
        <v>488</v>
      </c>
      <c r="J93" s="8">
        <v>350</v>
      </c>
      <c r="K93" s="7">
        <v>0</v>
      </c>
      <c r="L93" s="5" t="s">
        <v>30</v>
      </c>
      <c r="M93" s="8">
        <f>old_data[[#This Row],[Units Sold]]*old_data[[#This Row],[Unit Price (₦)]]</f>
        <v>170800</v>
      </c>
      <c r="N93" s="9">
        <f>old_data[[#This Row],[Total Sales (₦)]]*(1-old_data[[#This Row],[Discount (%)]])</f>
        <v>170800</v>
      </c>
      <c r="O93" s="5" t="str">
        <f>IF(old_data[[#This Row],[Net Revenue (₦)]]&gt;350000,"High",IF(old_data[[#This Row],[Net Revenue (₦)]]&gt;100000,"Medium","Low"))</f>
        <v>Medium</v>
      </c>
    </row>
    <row r="94" spans="1:15" x14ac:dyDescent="0.3">
      <c r="A94" t="s">
        <v>205</v>
      </c>
      <c r="B94" t="s">
        <v>32</v>
      </c>
      <c r="C94" s="5" t="s">
        <v>246</v>
      </c>
      <c r="D94" s="5" t="s">
        <v>26</v>
      </c>
      <c r="E94" s="5" t="s">
        <v>33</v>
      </c>
      <c r="F94" s="5" t="s">
        <v>34</v>
      </c>
      <c r="G94" s="5" t="s">
        <v>35</v>
      </c>
      <c r="H94" s="4">
        <v>45387</v>
      </c>
      <c r="I94" s="6">
        <v>305</v>
      </c>
      <c r="J94" s="8">
        <v>420</v>
      </c>
      <c r="K94" s="7">
        <v>0</v>
      </c>
      <c r="L94" s="5" t="s">
        <v>36</v>
      </c>
      <c r="M94" s="8">
        <f>old_data[[#This Row],[Units Sold]]*old_data[[#This Row],[Unit Price (₦)]]</f>
        <v>128100</v>
      </c>
      <c r="N94" s="9">
        <f>old_data[[#This Row],[Total Sales (₦)]]*(1-old_data[[#This Row],[Discount (%)]])</f>
        <v>128100</v>
      </c>
      <c r="O94" s="5" t="str">
        <f>IF(old_data[[#This Row],[Net Revenue (₦)]]&gt;350000,"High",IF(old_data[[#This Row],[Net Revenue (₦)]]&gt;100000,"Medium","Low"))</f>
        <v>Medium</v>
      </c>
    </row>
    <row r="95" spans="1:15" x14ac:dyDescent="0.3">
      <c r="A95" t="s">
        <v>210</v>
      </c>
      <c r="B95" t="s">
        <v>38</v>
      </c>
      <c r="C95" s="5" t="s">
        <v>247</v>
      </c>
      <c r="D95" s="5" t="s">
        <v>39</v>
      </c>
      <c r="E95" s="5" t="s">
        <v>40</v>
      </c>
      <c r="F95" s="5" t="s">
        <v>41</v>
      </c>
      <c r="G95" s="5" t="s">
        <v>42</v>
      </c>
      <c r="H95" s="4">
        <v>45388</v>
      </c>
      <c r="I95" s="6">
        <v>411</v>
      </c>
      <c r="J95" s="8">
        <v>1200</v>
      </c>
      <c r="K95" s="7">
        <v>7.0000000000000007E-2</v>
      </c>
      <c r="L95" s="5" t="s">
        <v>36</v>
      </c>
      <c r="M95" s="8">
        <f>old_data[[#This Row],[Units Sold]]*old_data[[#This Row],[Unit Price (₦)]]</f>
        <v>493200</v>
      </c>
      <c r="N95" s="9">
        <f>old_data[[#This Row],[Total Sales (₦)]]*(1-old_data[[#This Row],[Discount (%)]])</f>
        <v>458675.99999999994</v>
      </c>
      <c r="O95" s="5" t="str">
        <f>IF(old_data[[#This Row],[Net Revenue (₦)]]&gt;350000,"High",IF(old_data[[#This Row],[Net Revenue (₦)]]&gt;100000,"Medium","Low"))</f>
        <v>High</v>
      </c>
    </row>
    <row r="96" spans="1:15" x14ac:dyDescent="0.3">
      <c r="A96" t="s">
        <v>211</v>
      </c>
      <c r="B96" t="s">
        <v>44</v>
      </c>
      <c r="C96" s="5" t="s">
        <v>254</v>
      </c>
      <c r="D96" s="5" t="s">
        <v>39</v>
      </c>
      <c r="E96" s="5" t="s">
        <v>45</v>
      </c>
      <c r="F96" s="5" t="s">
        <v>46</v>
      </c>
      <c r="G96" s="5" t="s">
        <v>47</v>
      </c>
      <c r="H96" s="4">
        <v>45389</v>
      </c>
      <c r="I96" s="6">
        <v>58</v>
      </c>
      <c r="J96" s="8">
        <v>200</v>
      </c>
      <c r="K96" s="7">
        <v>0</v>
      </c>
      <c r="L96" s="5" t="s">
        <v>30</v>
      </c>
      <c r="M96" s="8">
        <f>old_data[[#This Row],[Units Sold]]*old_data[[#This Row],[Unit Price (₦)]]</f>
        <v>11600</v>
      </c>
      <c r="N96" s="9">
        <f>old_data[[#This Row],[Total Sales (₦)]]*(1-old_data[[#This Row],[Discount (%)]])</f>
        <v>11600</v>
      </c>
      <c r="O96" s="5" t="str">
        <f>IF(old_data[[#This Row],[Net Revenue (₦)]]&gt;350000,"High",IF(old_data[[#This Row],[Net Revenue (₦)]]&gt;100000,"Medium","Low"))</f>
        <v>Low</v>
      </c>
    </row>
    <row r="97" spans="1:15" x14ac:dyDescent="0.3">
      <c r="A97" t="s">
        <v>212</v>
      </c>
      <c r="B97" t="s">
        <v>49</v>
      </c>
      <c r="C97" s="5" t="s">
        <v>251</v>
      </c>
      <c r="D97" s="5" t="s">
        <v>50</v>
      </c>
      <c r="E97" s="5" t="s">
        <v>51</v>
      </c>
      <c r="F97" s="5" t="s">
        <v>52</v>
      </c>
      <c r="G97" s="5" t="s">
        <v>53</v>
      </c>
      <c r="H97" s="4">
        <v>45390</v>
      </c>
      <c r="I97" s="6">
        <v>230</v>
      </c>
      <c r="J97" s="8">
        <v>895</v>
      </c>
      <c r="K97" s="7">
        <v>0</v>
      </c>
      <c r="L97" s="5" t="s">
        <v>36</v>
      </c>
      <c r="M97" s="8">
        <f>old_data[[#This Row],[Units Sold]]*old_data[[#This Row],[Unit Price (₦)]]</f>
        <v>205850</v>
      </c>
      <c r="N97" s="9">
        <f>old_data[[#This Row],[Total Sales (₦)]]*(1-old_data[[#This Row],[Discount (%)]])</f>
        <v>205850</v>
      </c>
      <c r="O97" s="5" t="str">
        <f>IF(old_data[[#This Row],[Net Revenue (₦)]]&gt;350000,"High",IF(old_data[[#This Row],[Net Revenue (₦)]]&gt;100000,"Medium","Low"))</f>
        <v>Medium</v>
      </c>
    </row>
    <row r="98" spans="1:15" x14ac:dyDescent="0.3">
      <c r="A98" t="s">
        <v>214</v>
      </c>
      <c r="B98" t="s">
        <v>55</v>
      </c>
      <c r="C98" s="5" t="s">
        <v>249</v>
      </c>
      <c r="D98" s="5" t="s">
        <v>39</v>
      </c>
      <c r="E98" s="5" t="s">
        <v>27</v>
      </c>
      <c r="F98" s="5" t="s">
        <v>28</v>
      </c>
      <c r="G98" s="5" t="s">
        <v>56</v>
      </c>
      <c r="H98" s="4">
        <v>45391</v>
      </c>
      <c r="I98" s="6">
        <v>220</v>
      </c>
      <c r="J98" s="8">
        <v>650</v>
      </c>
      <c r="K98" s="7">
        <v>0.11</v>
      </c>
      <c r="L98" s="5" t="s">
        <v>30</v>
      </c>
      <c r="M98" s="8">
        <f>old_data[[#This Row],[Units Sold]]*old_data[[#This Row],[Unit Price (₦)]]</f>
        <v>143000</v>
      </c>
      <c r="N98" s="9">
        <f>old_data[[#This Row],[Total Sales (₦)]]*(1-old_data[[#This Row],[Discount (%)]])</f>
        <v>127270</v>
      </c>
      <c r="O98" s="5" t="str">
        <f>IF(old_data[[#This Row],[Net Revenue (₦)]]&gt;350000,"High",IF(old_data[[#This Row],[Net Revenue (₦)]]&gt;100000,"Medium","Low"))</f>
        <v>Medium</v>
      </c>
    </row>
    <row r="99" spans="1:15" x14ac:dyDescent="0.3">
      <c r="A99" t="s">
        <v>215</v>
      </c>
      <c r="B99" t="s">
        <v>58</v>
      </c>
      <c r="C99" s="5" t="s">
        <v>255</v>
      </c>
      <c r="D99" s="5" t="s">
        <v>59</v>
      </c>
      <c r="E99" s="5" t="s">
        <v>33</v>
      </c>
      <c r="F99" s="5" t="s">
        <v>34</v>
      </c>
      <c r="G99" s="5" t="s">
        <v>29</v>
      </c>
      <c r="H99" s="4">
        <v>45392</v>
      </c>
      <c r="I99" s="6">
        <v>354</v>
      </c>
      <c r="J99" s="8">
        <v>2800</v>
      </c>
      <c r="K99" s="7">
        <v>0</v>
      </c>
      <c r="L99" s="5" t="s">
        <v>36</v>
      </c>
      <c r="M99" s="8">
        <f>old_data[[#This Row],[Units Sold]]*old_data[[#This Row],[Unit Price (₦)]]</f>
        <v>991200</v>
      </c>
      <c r="N99" s="9">
        <f>old_data[[#This Row],[Total Sales (₦)]]*(1-old_data[[#This Row],[Discount (%)]])</f>
        <v>991200</v>
      </c>
      <c r="O99" s="5" t="str">
        <f>IF(old_data[[#This Row],[Net Revenue (₦)]]&gt;350000,"High",IF(old_data[[#This Row],[Net Revenue (₦)]]&gt;100000,"Medium","Low"))</f>
        <v>High</v>
      </c>
    </row>
    <row r="100" spans="1:15" x14ac:dyDescent="0.3">
      <c r="A100" t="s">
        <v>216</v>
      </c>
      <c r="B100" t="s">
        <v>61</v>
      </c>
      <c r="C100" s="5" t="s">
        <v>244</v>
      </c>
      <c r="D100" s="5" t="s">
        <v>26</v>
      </c>
      <c r="E100" s="5" t="s">
        <v>40</v>
      </c>
      <c r="F100" s="5" t="s">
        <v>41</v>
      </c>
      <c r="G100" s="5" t="s">
        <v>35</v>
      </c>
      <c r="H100" s="4">
        <v>45393</v>
      </c>
      <c r="I100" s="6">
        <v>340</v>
      </c>
      <c r="J100" s="8">
        <v>280</v>
      </c>
      <c r="K100" s="7">
        <v>0</v>
      </c>
      <c r="L100" s="5" t="s">
        <v>36</v>
      </c>
      <c r="M100" s="8">
        <f>old_data[[#This Row],[Units Sold]]*old_data[[#This Row],[Unit Price (₦)]]</f>
        <v>95200</v>
      </c>
      <c r="N100" s="9">
        <f>old_data[[#This Row],[Total Sales (₦)]]*(1-old_data[[#This Row],[Discount (%)]])</f>
        <v>95200</v>
      </c>
      <c r="O100" s="5" t="str">
        <f>IF(old_data[[#This Row],[Net Revenue (₦)]]&gt;350000,"High",IF(old_data[[#This Row],[Net Revenue (₦)]]&gt;100000,"Medium","Low"))</f>
        <v>Low</v>
      </c>
    </row>
    <row r="101" spans="1:15" x14ac:dyDescent="0.3">
      <c r="A101" t="s">
        <v>217</v>
      </c>
      <c r="B101" t="s">
        <v>63</v>
      </c>
      <c r="C101" s="5" t="s">
        <v>253</v>
      </c>
      <c r="D101" s="5" t="s">
        <v>50</v>
      </c>
      <c r="E101" s="5" t="s">
        <v>45</v>
      </c>
      <c r="F101" s="5" t="s">
        <v>46</v>
      </c>
      <c r="G101" s="5" t="s">
        <v>42</v>
      </c>
      <c r="H101" s="4">
        <v>45394</v>
      </c>
      <c r="I101" s="6">
        <v>216</v>
      </c>
      <c r="J101" s="8">
        <v>750</v>
      </c>
      <c r="K101" s="7">
        <v>0.12</v>
      </c>
      <c r="L101" s="5" t="s">
        <v>30</v>
      </c>
      <c r="M101" s="8">
        <f>old_data[[#This Row],[Units Sold]]*old_data[[#This Row],[Unit Price (₦)]]</f>
        <v>162000</v>
      </c>
      <c r="N101" s="9">
        <f>old_data[[#This Row],[Total Sales (₦)]]*(1-old_data[[#This Row],[Discount (%)]])</f>
        <v>142560</v>
      </c>
      <c r="O101" s="5" t="str">
        <f>IF(old_data[[#This Row],[Net Revenue (₦)]]&gt;350000,"High",IF(old_data[[#This Row],[Net Revenue (₦)]]&gt;100000,"Medium","Low"))</f>
        <v>Medium</v>
      </c>
    </row>
    <row r="102" spans="1:15" x14ac:dyDescent="0.3">
      <c r="A102" t="s">
        <v>218</v>
      </c>
      <c r="B102" t="s">
        <v>16</v>
      </c>
      <c r="C102" s="5" t="s">
        <v>250</v>
      </c>
      <c r="D102" s="5" t="s">
        <v>39</v>
      </c>
      <c r="E102" s="5" t="s">
        <v>51</v>
      </c>
      <c r="F102" s="5" t="s">
        <v>52</v>
      </c>
      <c r="G102" s="5" t="s">
        <v>47</v>
      </c>
      <c r="H102" s="4">
        <v>45395</v>
      </c>
      <c r="I102" s="6">
        <v>65</v>
      </c>
      <c r="J102" s="8">
        <v>990</v>
      </c>
      <c r="K102" s="7">
        <v>0</v>
      </c>
      <c r="L102" s="5" t="s">
        <v>36</v>
      </c>
      <c r="M102" s="8">
        <f>old_data[[#This Row],[Units Sold]]*old_data[[#This Row],[Unit Price (₦)]]</f>
        <v>64350</v>
      </c>
      <c r="N102" s="9">
        <f>old_data[[#This Row],[Total Sales (₦)]]*(1-old_data[[#This Row],[Discount (%)]])</f>
        <v>64350</v>
      </c>
      <c r="O102" s="5" t="str">
        <f>IF(old_data[[#This Row],[Net Revenue (₦)]]&gt;350000,"High",IF(old_data[[#This Row],[Net Revenue (₦)]]&gt;100000,"Medium","Low"))</f>
        <v>Low</v>
      </c>
    </row>
    <row r="103" spans="1:15" x14ac:dyDescent="0.3">
      <c r="A103" t="s">
        <v>220</v>
      </c>
      <c r="B103" t="s">
        <v>25</v>
      </c>
      <c r="C103" s="5" t="s">
        <v>257</v>
      </c>
      <c r="D103" s="5" t="s">
        <v>26</v>
      </c>
      <c r="E103" s="5" t="s">
        <v>27</v>
      </c>
      <c r="F103" s="5" t="s">
        <v>28</v>
      </c>
      <c r="G103" s="5" t="s">
        <v>53</v>
      </c>
      <c r="H103" s="4">
        <v>45396</v>
      </c>
      <c r="I103" s="6">
        <v>107</v>
      </c>
      <c r="J103" s="8">
        <v>350</v>
      </c>
      <c r="K103" s="7">
        <v>0</v>
      </c>
      <c r="L103" s="5" t="s">
        <v>30</v>
      </c>
      <c r="M103" s="8">
        <f>old_data[[#This Row],[Units Sold]]*old_data[[#This Row],[Unit Price (₦)]]</f>
        <v>37450</v>
      </c>
      <c r="N103" s="9">
        <f>old_data[[#This Row],[Total Sales (₦)]]*(1-old_data[[#This Row],[Discount (%)]])</f>
        <v>37450</v>
      </c>
      <c r="O103" s="5" t="str">
        <f>IF(old_data[[#This Row],[Net Revenue (₦)]]&gt;350000,"High",IF(old_data[[#This Row],[Net Revenue (₦)]]&gt;100000,"Medium","Low"))</f>
        <v>Low</v>
      </c>
    </row>
    <row r="104" spans="1:15" x14ac:dyDescent="0.3">
      <c r="A104" t="s">
        <v>221</v>
      </c>
      <c r="B104" t="s">
        <v>32</v>
      </c>
      <c r="C104" s="5" t="s">
        <v>246</v>
      </c>
      <c r="D104" s="5" t="s">
        <v>26</v>
      </c>
      <c r="E104" s="5" t="s">
        <v>33</v>
      </c>
      <c r="F104" s="5" t="s">
        <v>34</v>
      </c>
      <c r="G104" s="5" t="s">
        <v>56</v>
      </c>
      <c r="H104" s="4">
        <v>45397</v>
      </c>
      <c r="I104" s="6">
        <v>81</v>
      </c>
      <c r="J104" s="8">
        <v>420</v>
      </c>
      <c r="K104" s="7">
        <v>0.06</v>
      </c>
      <c r="L104" s="5" t="s">
        <v>36</v>
      </c>
      <c r="M104" s="8">
        <f>old_data[[#This Row],[Units Sold]]*old_data[[#This Row],[Unit Price (₦)]]</f>
        <v>34020</v>
      </c>
      <c r="N104" s="9">
        <f>old_data[[#This Row],[Total Sales (₦)]]*(1-old_data[[#This Row],[Discount (%)]])</f>
        <v>31978.799999999999</v>
      </c>
      <c r="O104" s="5" t="str">
        <f>IF(old_data[[#This Row],[Net Revenue (₦)]]&gt;350000,"High",IF(old_data[[#This Row],[Net Revenue (₦)]]&gt;100000,"Medium","Low"))</f>
        <v>Low</v>
      </c>
    </row>
    <row r="105" spans="1:15" x14ac:dyDescent="0.3">
      <c r="A105" t="s">
        <v>222</v>
      </c>
      <c r="B105" t="s">
        <v>38</v>
      </c>
      <c r="C105" s="5" t="s">
        <v>247</v>
      </c>
      <c r="D105" s="5" t="s">
        <v>39</v>
      </c>
      <c r="E105" s="5" t="s">
        <v>40</v>
      </c>
      <c r="F105" s="5" t="s">
        <v>41</v>
      </c>
      <c r="G105" s="5" t="s">
        <v>29</v>
      </c>
      <c r="H105" s="4">
        <v>45398</v>
      </c>
      <c r="I105" s="6">
        <v>100</v>
      </c>
      <c r="J105" s="8">
        <v>1200</v>
      </c>
      <c r="K105" s="7">
        <v>0</v>
      </c>
      <c r="L105" s="5" t="s">
        <v>36</v>
      </c>
      <c r="M105" s="8">
        <v>120000</v>
      </c>
      <c r="N105" s="9">
        <f>old_data[[#This Row],[Total Sales (₦)]]*(1-old_data[[#This Row],[Discount (%)]])</f>
        <v>120000</v>
      </c>
      <c r="O105" s="5" t="str">
        <f>IF(old_data[[#This Row],[Net Revenue (₦)]]&gt;350000,"High",IF(old_data[[#This Row],[Net Revenue (₦)]]&gt;100000,"Medium","Low"))</f>
        <v>Medium</v>
      </c>
    </row>
    <row r="106" spans="1:15" x14ac:dyDescent="0.3">
      <c r="A106" t="s">
        <v>223</v>
      </c>
      <c r="B106" t="s">
        <v>44</v>
      </c>
      <c r="C106" s="5" t="s">
        <v>254</v>
      </c>
      <c r="D106" s="5" t="s">
        <v>39</v>
      </c>
      <c r="E106" s="5" t="s">
        <v>45</v>
      </c>
      <c r="F106" s="5" t="s">
        <v>46</v>
      </c>
      <c r="G106" s="5" t="s">
        <v>35</v>
      </c>
      <c r="H106" s="4">
        <v>45399</v>
      </c>
      <c r="I106" s="6">
        <v>48</v>
      </c>
      <c r="J106" s="8">
        <v>200</v>
      </c>
      <c r="K106" s="7">
        <v>0</v>
      </c>
      <c r="L106" s="5" t="s">
        <v>30</v>
      </c>
      <c r="M106" s="8">
        <f>old_data[[#This Row],[Units Sold]]*old_data[[#This Row],[Unit Price (₦)]]</f>
        <v>9600</v>
      </c>
      <c r="N106" s="9">
        <f>old_data[[#This Row],[Total Sales (₦)]]*(1-old_data[[#This Row],[Discount (%)]])</f>
        <v>9600</v>
      </c>
      <c r="O106" s="5" t="str">
        <f>IF(old_data[[#This Row],[Net Revenue (₦)]]&gt;350000,"High",IF(old_data[[#This Row],[Net Revenue (₦)]]&gt;100000,"Medium","Low"))</f>
        <v>Low</v>
      </c>
    </row>
    <row r="107" spans="1:15" x14ac:dyDescent="0.3">
      <c r="A107" t="s">
        <v>224</v>
      </c>
      <c r="B107" t="s">
        <v>49</v>
      </c>
      <c r="C107" s="5" t="s">
        <v>251</v>
      </c>
      <c r="D107" s="5" t="s">
        <v>50</v>
      </c>
      <c r="E107" s="5" t="s">
        <v>51</v>
      </c>
      <c r="F107" s="5" t="s">
        <v>52</v>
      </c>
      <c r="G107" s="5" t="s">
        <v>42</v>
      </c>
      <c r="H107" s="4">
        <v>45400</v>
      </c>
      <c r="I107" s="6">
        <v>451</v>
      </c>
      <c r="J107" s="8">
        <v>895</v>
      </c>
      <c r="K107" s="7">
        <v>0.03</v>
      </c>
      <c r="L107" s="5" t="s">
        <v>36</v>
      </c>
      <c r="M107" s="8">
        <f>old_data[[#This Row],[Units Sold]]*old_data[[#This Row],[Unit Price (₦)]]</f>
        <v>403645</v>
      </c>
      <c r="N107" s="9">
        <f>old_data[[#This Row],[Total Sales (₦)]]*(1-old_data[[#This Row],[Discount (%)]])</f>
        <v>391535.64999999997</v>
      </c>
      <c r="O107" s="5" t="str">
        <f>IF(old_data[[#This Row],[Net Revenue (₦)]]&gt;350000,"High",IF(old_data[[#This Row],[Net Revenue (₦)]]&gt;100000,"Medium","Low"))</f>
        <v>High</v>
      </c>
    </row>
    <row r="108" spans="1:15" x14ac:dyDescent="0.3">
      <c r="A108" t="s">
        <v>225</v>
      </c>
      <c r="B108" t="s">
        <v>55</v>
      </c>
      <c r="C108" s="5" t="s">
        <v>249</v>
      </c>
      <c r="D108" s="5" t="s">
        <v>39</v>
      </c>
      <c r="E108" s="5" t="s">
        <v>27</v>
      </c>
      <c r="F108" s="5" t="s">
        <v>28</v>
      </c>
      <c r="G108" s="5" t="s">
        <v>47</v>
      </c>
      <c r="H108" s="4">
        <v>45401</v>
      </c>
      <c r="I108" s="6">
        <v>343</v>
      </c>
      <c r="J108" s="8">
        <v>650</v>
      </c>
      <c r="K108" s="7">
        <v>0</v>
      </c>
      <c r="L108" s="5" t="s">
        <v>30</v>
      </c>
      <c r="M108" s="8">
        <f>old_data[[#This Row],[Units Sold]]*old_data[[#This Row],[Unit Price (₦)]]</f>
        <v>222950</v>
      </c>
      <c r="N108" s="9">
        <f>old_data[[#This Row],[Total Sales (₦)]]*(1-old_data[[#This Row],[Discount (%)]])</f>
        <v>222950</v>
      </c>
      <c r="O108" s="5" t="str">
        <f>IF(old_data[[#This Row],[Net Revenue (₦)]]&gt;350000,"High",IF(old_data[[#This Row],[Net Revenue (₦)]]&gt;100000,"Medium","Low"))</f>
        <v>Medium</v>
      </c>
    </row>
    <row r="109" spans="1:15" x14ac:dyDescent="0.3">
      <c r="A109" t="s">
        <v>226</v>
      </c>
      <c r="B109" t="s">
        <v>58</v>
      </c>
      <c r="C109" s="5" t="s">
        <v>255</v>
      </c>
      <c r="D109" s="5" t="s">
        <v>59</v>
      </c>
      <c r="E109" s="5" t="s">
        <v>33</v>
      </c>
      <c r="F109" s="5" t="s">
        <v>34</v>
      </c>
      <c r="G109" s="5" t="s">
        <v>53</v>
      </c>
      <c r="H109" s="4">
        <v>45402</v>
      </c>
      <c r="I109" s="6">
        <v>438</v>
      </c>
      <c r="J109" s="8">
        <v>2800</v>
      </c>
      <c r="K109" s="7">
        <v>0</v>
      </c>
      <c r="L109" s="5" t="s">
        <v>36</v>
      </c>
      <c r="M109" s="8">
        <f>old_data[[#This Row],[Units Sold]]*old_data[[#This Row],[Unit Price (₦)]]</f>
        <v>1226400</v>
      </c>
      <c r="N109" s="9">
        <f>old_data[[#This Row],[Total Sales (₦)]]*(1-old_data[[#This Row],[Discount (%)]])</f>
        <v>1226400</v>
      </c>
      <c r="O109" s="5" t="str">
        <f>IF(old_data[[#This Row],[Net Revenue (₦)]]&gt;350000,"High",IF(old_data[[#This Row],[Net Revenue (₦)]]&gt;100000,"Medium","Low"))</f>
        <v>High</v>
      </c>
    </row>
    <row r="110" spans="1:15" x14ac:dyDescent="0.3">
      <c r="A110" t="s">
        <v>227</v>
      </c>
      <c r="B110" t="s">
        <v>61</v>
      </c>
      <c r="C110" s="5" t="s">
        <v>244</v>
      </c>
      <c r="D110" s="5" t="s">
        <v>26</v>
      </c>
      <c r="E110" s="5" t="s">
        <v>40</v>
      </c>
      <c r="F110" s="5" t="s">
        <v>41</v>
      </c>
      <c r="G110" s="5" t="s">
        <v>56</v>
      </c>
      <c r="H110" s="4">
        <v>45403</v>
      </c>
      <c r="I110" s="6">
        <v>57</v>
      </c>
      <c r="J110" s="8">
        <v>280</v>
      </c>
      <c r="K110" s="7">
        <v>0.13</v>
      </c>
      <c r="L110" s="5" t="s">
        <v>36</v>
      </c>
      <c r="M110" s="8">
        <f>old_data[[#This Row],[Units Sold]]*old_data[[#This Row],[Unit Price (₦)]]</f>
        <v>15960</v>
      </c>
      <c r="N110" s="9">
        <f>old_data[[#This Row],[Total Sales (₦)]]*(1-old_data[[#This Row],[Discount (%)]])</f>
        <v>13885.2</v>
      </c>
      <c r="O110" s="5" t="str">
        <f>IF(old_data[[#This Row],[Net Revenue (₦)]]&gt;350000,"High",IF(old_data[[#This Row],[Net Revenue (₦)]]&gt;100000,"Medium","Low"))</f>
        <v>Low</v>
      </c>
    </row>
    <row r="111" spans="1:15" x14ac:dyDescent="0.3">
      <c r="A111" t="s">
        <v>228</v>
      </c>
      <c r="B111" t="s">
        <v>63</v>
      </c>
      <c r="C111" s="5" t="s">
        <v>253</v>
      </c>
      <c r="D111" s="5" t="s">
        <v>50</v>
      </c>
      <c r="E111" s="5" t="s">
        <v>45</v>
      </c>
      <c r="F111" s="5" t="s">
        <v>46</v>
      </c>
      <c r="G111" s="5" t="s">
        <v>29</v>
      </c>
      <c r="H111" s="4">
        <v>45404</v>
      </c>
      <c r="I111" s="6">
        <v>95</v>
      </c>
      <c r="J111" s="8">
        <v>750</v>
      </c>
      <c r="K111" s="7">
        <v>0</v>
      </c>
      <c r="L111" s="5" t="s">
        <v>30</v>
      </c>
      <c r="M111" s="8">
        <f>old_data[[#This Row],[Units Sold]]*old_data[[#This Row],[Unit Price (₦)]]</f>
        <v>71250</v>
      </c>
      <c r="N111" s="9">
        <f>old_data[[#This Row],[Total Sales (₦)]]*(1-old_data[[#This Row],[Discount (%)]])</f>
        <v>71250</v>
      </c>
      <c r="O111" s="5" t="str">
        <f>IF(old_data[[#This Row],[Net Revenue (₦)]]&gt;350000,"High",IF(old_data[[#This Row],[Net Revenue (₦)]]&gt;100000,"Medium","Low"))</f>
        <v>Low</v>
      </c>
    </row>
    <row r="112" spans="1:15" x14ac:dyDescent="0.3">
      <c r="A112" t="s">
        <v>229</v>
      </c>
      <c r="B112" t="s">
        <v>16</v>
      </c>
      <c r="C112" s="5" t="s">
        <v>250</v>
      </c>
      <c r="D112" s="5" t="s">
        <v>39</v>
      </c>
      <c r="E112" s="5" t="s">
        <v>51</v>
      </c>
      <c r="F112" s="5" t="s">
        <v>52</v>
      </c>
      <c r="G112" s="5" t="s">
        <v>35</v>
      </c>
      <c r="H112" s="4">
        <v>45405</v>
      </c>
      <c r="I112" s="6">
        <v>256</v>
      </c>
      <c r="J112" s="8">
        <v>990</v>
      </c>
      <c r="K112" s="7">
        <v>0</v>
      </c>
      <c r="L112" s="5" t="s">
        <v>36</v>
      </c>
      <c r="M112" s="8">
        <f>old_data[[#This Row],[Units Sold]]*old_data[[#This Row],[Unit Price (₦)]]</f>
        <v>253440</v>
      </c>
      <c r="N112" s="9">
        <f>old_data[[#This Row],[Total Sales (₦)]]*(1-old_data[[#This Row],[Discount (%)]])</f>
        <v>253440</v>
      </c>
      <c r="O112" s="5" t="str">
        <f>IF(old_data[[#This Row],[Net Revenue (₦)]]&gt;350000,"High",IF(old_data[[#This Row],[Net Revenue (₦)]]&gt;100000,"Medium","Low"))</f>
        <v>Medium</v>
      </c>
    </row>
    <row r="113" spans="1:15" x14ac:dyDescent="0.3">
      <c r="A113" t="s">
        <v>230</v>
      </c>
      <c r="B113" t="s">
        <v>25</v>
      </c>
      <c r="C113" s="5" t="s">
        <v>257</v>
      </c>
      <c r="D113" s="5" t="s">
        <v>26</v>
      </c>
      <c r="E113" s="5" t="s">
        <v>27</v>
      </c>
      <c r="F113" s="5" t="s">
        <v>28</v>
      </c>
      <c r="G113" s="5" t="s">
        <v>42</v>
      </c>
      <c r="H113" s="4">
        <v>45406</v>
      </c>
      <c r="I113" s="6">
        <v>215</v>
      </c>
      <c r="J113" s="8">
        <v>350</v>
      </c>
      <c r="K113" s="7">
        <v>0.04</v>
      </c>
      <c r="L113" s="5" t="s">
        <v>30</v>
      </c>
      <c r="M113" s="8">
        <f>old_data[[#This Row],[Units Sold]]*old_data[[#This Row],[Unit Price (₦)]]</f>
        <v>75250</v>
      </c>
      <c r="N113" s="9">
        <f>old_data[[#This Row],[Total Sales (₦)]]*(1-old_data[[#This Row],[Discount (%)]])</f>
        <v>72240</v>
      </c>
      <c r="O113" s="5" t="str">
        <f>IF(old_data[[#This Row],[Net Revenue (₦)]]&gt;350000,"High",IF(old_data[[#This Row],[Net Revenue (₦)]]&gt;100000,"Medium","Low"))</f>
        <v>Low</v>
      </c>
    </row>
    <row r="114" spans="1:15" x14ac:dyDescent="0.3">
      <c r="A114" t="s">
        <v>231</v>
      </c>
      <c r="B114" t="s">
        <v>32</v>
      </c>
      <c r="C114" s="5" t="s">
        <v>246</v>
      </c>
      <c r="D114" s="5" t="s">
        <v>26</v>
      </c>
      <c r="E114" s="5" t="s">
        <v>33</v>
      </c>
      <c r="F114" s="5" t="s">
        <v>34</v>
      </c>
      <c r="G114" s="5" t="s">
        <v>47</v>
      </c>
      <c r="H114" s="4">
        <v>45407</v>
      </c>
      <c r="I114" s="6">
        <v>160</v>
      </c>
      <c r="J114" s="8">
        <v>420</v>
      </c>
      <c r="K114" s="7">
        <v>0</v>
      </c>
      <c r="L114" s="5" t="s">
        <v>36</v>
      </c>
      <c r="M114" s="8">
        <v>67200</v>
      </c>
      <c r="N114" s="9">
        <f>old_data[[#This Row],[Total Sales (₦)]]*(1-old_data[[#This Row],[Discount (%)]])</f>
        <v>67200</v>
      </c>
      <c r="O114" s="5" t="str">
        <f>IF(old_data[[#This Row],[Net Revenue (₦)]]&gt;350000,"High",IF(old_data[[#This Row],[Net Revenue (₦)]]&gt;100000,"Medium","Low"))</f>
        <v>Low</v>
      </c>
    </row>
    <row r="115" spans="1:15" x14ac:dyDescent="0.3">
      <c r="A115" t="s">
        <v>232</v>
      </c>
      <c r="B115" t="s">
        <v>38</v>
      </c>
      <c r="C115" s="5" t="s">
        <v>247</v>
      </c>
      <c r="D115" s="5" t="s">
        <v>39</v>
      </c>
      <c r="E115" s="5" t="s">
        <v>40</v>
      </c>
      <c r="F115" s="5" t="s">
        <v>41</v>
      </c>
      <c r="G115" s="5" t="s">
        <v>53</v>
      </c>
      <c r="H115" s="4">
        <v>45408</v>
      </c>
      <c r="I115" s="6">
        <v>145</v>
      </c>
      <c r="J115" s="8">
        <v>1200</v>
      </c>
      <c r="K115" s="7">
        <v>0</v>
      </c>
      <c r="L115" s="5" t="s">
        <v>36</v>
      </c>
      <c r="M115" s="8">
        <f>old_data[[#This Row],[Units Sold]]*old_data[[#This Row],[Unit Price (₦)]]</f>
        <v>174000</v>
      </c>
      <c r="N115" s="9">
        <f>old_data[[#This Row],[Total Sales (₦)]]*(1-old_data[[#This Row],[Discount (%)]])</f>
        <v>174000</v>
      </c>
      <c r="O115" s="5" t="str">
        <f>IF(old_data[[#This Row],[Net Revenue (₦)]]&gt;350000,"High",IF(old_data[[#This Row],[Net Revenue (₦)]]&gt;100000,"Medium","Low"))</f>
        <v>Medium</v>
      </c>
    </row>
    <row r="116" spans="1:15" x14ac:dyDescent="0.3">
      <c r="A116" t="s">
        <v>233</v>
      </c>
      <c r="B116" t="s">
        <v>44</v>
      </c>
      <c r="C116" s="5" t="s">
        <v>254</v>
      </c>
      <c r="D116" s="5" t="s">
        <v>39</v>
      </c>
      <c r="E116" s="5" t="s">
        <v>45</v>
      </c>
      <c r="F116" s="5" t="s">
        <v>46</v>
      </c>
      <c r="G116" s="5" t="s">
        <v>56</v>
      </c>
      <c r="H116" s="4">
        <v>45409</v>
      </c>
      <c r="I116" s="6">
        <v>411</v>
      </c>
      <c r="J116" s="8">
        <v>200</v>
      </c>
      <c r="K116" s="7">
        <v>7.0000000000000007E-2</v>
      </c>
      <c r="L116" s="5" t="s">
        <v>30</v>
      </c>
      <c r="M116" s="8">
        <f>old_data[[#This Row],[Units Sold]]*old_data[[#This Row],[Unit Price (₦)]]</f>
        <v>82200</v>
      </c>
      <c r="N116" s="9">
        <f>old_data[[#This Row],[Total Sales (₦)]]*(1-old_data[[#This Row],[Discount (%)]])</f>
        <v>76446</v>
      </c>
      <c r="O116" s="5" t="str">
        <f>IF(old_data[[#This Row],[Net Revenue (₦)]]&gt;350000,"High",IF(old_data[[#This Row],[Net Revenue (₦)]]&gt;100000,"Medium","Low"))</f>
        <v>Low</v>
      </c>
    </row>
    <row r="117" spans="1:15" x14ac:dyDescent="0.3">
      <c r="A117" t="s">
        <v>235</v>
      </c>
      <c r="B117" t="s">
        <v>49</v>
      </c>
      <c r="C117" s="5" t="s">
        <v>251</v>
      </c>
      <c r="D117" s="5" t="s">
        <v>50</v>
      </c>
      <c r="E117" s="5" t="s">
        <v>51</v>
      </c>
      <c r="F117" s="5" t="s">
        <v>52</v>
      </c>
      <c r="G117" s="5" t="s">
        <v>29</v>
      </c>
      <c r="H117" s="4">
        <v>45410</v>
      </c>
      <c r="I117" s="6">
        <v>500</v>
      </c>
      <c r="J117" s="8">
        <v>895</v>
      </c>
      <c r="K117" s="7">
        <v>0</v>
      </c>
      <c r="L117" s="5" t="s">
        <v>36</v>
      </c>
      <c r="M117" s="8">
        <f>old_data[[#This Row],[Units Sold]]*old_data[[#This Row],[Unit Price (₦)]]</f>
        <v>447500</v>
      </c>
      <c r="N117" s="9">
        <f>old_data[[#This Row],[Total Sales (₦)]]*(1-old_data[[#This Row],[Discount (%)]])</f>
        <v>447500</v>
      </c>
      <c r="O117" s="5" t="str">
        <f>IF(old_data[[#This Row],[Net Revenue (₦)]]&gt;350000,"High",IF(old_data[[#This Row],[Net Revenue (₦)]]&gt;100000,"Medium","Low"))</f>
        <v>High</v>
      </c>
    </row>
    <row r="118" spans="1:15" x14ac:dyDescent="0.3">
      <c r="A118" t="s">
        <v>239</v>
      </c>
      <c r="B118" t="s">
        <v>55</v>
      </c>
      <c r="C118" s="5" t="s">
        <v>249</v>
      </c>
      <c r="D118" s="5" t="s">
        <v>39</v>
      </c>
      <c r="E118" s="5" t="s">
        <v>27</v>
      </c>
      <c r="F118" s="5" t="s">
        <v>28</v>
      </c>
      <c r="G118" s="5" t="s">
        <v>35</v>
      </c>
      <c r="H118" s="4">
        <v>45411</v>
      </c>
      <c r="I118" s="6">
        <v>411</v>
      </c>
      <c r="J118" s="8">
        <v>650</v>
      </c>
      <c r="K118" s="7">
        <v>0</v>
      </c>
      <c r="L118" s="5" t="s">
        <v>30</v>
      </c>
      <c r="M118" s="8">
        <f>old_data[[#This Row],[Units Sold]]*old_data[[#This Row],[Unit Price (₦)]]</f>
        <v>267150</v>
      </c>
      <c r="N118" s="9">
        <f>old_data[[#This Row],[Total Sales (₦)]]*(1-old_data[[#This Row],[Discount (%)]])</f>
        <v>267150</v>
      </c>
      <c r="O118" s="5" t="str">
        <f>IF(old_data[[#This Row],[Net Revenue (₦)]]&gt;350000,"High",IF(old_data[[#This Row],[Net Revenue (₦)]]&gt;100000,"Medium","Low"))</f>
        <v>Medium</v>
      </c>
    </row>
    <row r="119" spans="1:15" x14ac:dyDescent="0.3">
      <c r="A119" t="s">
        <v>240</v>
      </c>
      <c r="B119" t="s">
        <v>58</v>
      </c>
      <c r="C119" s="5" t="s">
        <v>255</v>
      </c>
      <c r="D119" s="5" t="s">
        <v>59</v>
      </c>
      <c r="E119" s="5" t="s">
        <v>33</v>
      </c>
      <c r="F119" s="5" t="s">
        <v>34</v>
      </c>
      <c r="G119" s="5" t="s">
        <v>42</v>
      </c>
      <c r="H119" s="4">
        <v>45412</v>
      </c>
      <c r="I119" s="6">
        <v>377</v>
      </c>
      <c r="J119" s="8">
        <v>2800</v>
      </c>
      <c r="K119" s="7">
        <v>0.04</v>
      </c>
      <c r="L119" s="5" t="s">
        <v>36</v>
      </c>
      <c r="M119" s="8">
        <f>old_data[[#This Row],[Units Sold]]*old_data[[#This Row],[Unit Price (₦)]]</f>
        <v>1055600</v>
      </c>
      <c r="N119" s="9">
        <f>old_data[[#This Row],[Total Sales (₦)]]*(1-old_data[[#This Row],[Discount (%)]])</f>
        <v>1013376</v>
      </c>
      <c r="O119" s="5" t="str">
        <f>IF(old_data[[#This Row],[Net Revenue (₦)]]&gt;350000,"High",IF(old_data[[#This Row],[Net Revenue (₦)]]&gt;100000,"Medium","Low"))</f>
        <v>High</v>
      </c>
    </row>
    <row r="120" spans="1:15" x14ac:dyDescent="0.3">
      <c r="A120" t="s">
        <v>241</v>
      </c>
      <c r="B120" t="s">
        <v>61</v>
      </c>
      <c r="C120" s="5" t="s">
        <v>244</v>
      </c>
      <c r="D120" s="5" t="s">
        <v>26</v>
      </c>
      <c r="E120" s="5" t="s">
        <v>40</v>
      </c>
      <c r="F120" s="5" t="s">
        <v>41</v>
      </c>
      <c r="G120" s="5" t="s">
        <v>47</v>
      </c>
      <c r="H120" s="4">
        <v>45413</v>
      </c>
      <c r="I120" s="6">
        <v>121</v>
      </c>
      <c r="J120" s="8">
        <v>280</v>
      </c>
      <c r="K120" s="7">
        <v>0</v>
      </c>
      <c r="L120" s="5" t="s">
        <v>36</v>
      </c>
      <c r="M120" s="8">
        <f>old_data[[#This Row],[Units Sold]]*old_data[[#This Row],[Unit Price (₦)]]</f>
        <v>33880</v>
      </c>
      <c r="N120" s="9">
        <f>old_data[[#This Row],[Total Sales (₦)]]*(1-old_data[[#This Row],[Discount (%)]])</f>
        <v>33880</v>
      </c>
      <c r="O120" s="5" t="str">
        <f>IF(old_data[[#This Row],[Net Revenue (₦)]]&gt;350000,"High",IF(old_data[[#This Row],[Net Revenue (₦)]]&gt;100000,"Medium","Low"))</f>
        <v>Low</v>
      </c>
    </row>
    <row r="121" spans="1:15" x14ac:dyDescent="0.3">
      <c r="A121" t="s">
        <v>242</v>
      </c>
      <c r="B121" t="s">
        <v>63</v>
      </c>
      <c r="C121" s="5" t="s">
        <v>253</v>
      </c>
      <c r="D121" s="5" t="s">
        <v>50</v>
      </c>
      <c r="E121" s="5" t="s">
        <v>45</v>
      </c>
      <c r="F121" s="5" t="s">
        <v>46</v>
      </c>
      <c r="G121" s="5" t="s">
        <v>53</v>
      </c>
      <c r="H121" s="4">
        <v>45414</v>
      </c>
      <c r="I121" s="6">
        <v>306</v>
      </c>
      <c r="J121" s="8">
        <v>750</v>
      </c>
      <c r="K121" s="7">
        <v>0</v>
      </c>
      <c r="L121" s="5" t="s">
        <v>30</v>
      </c>
      <c r="M121" s="8">
        <f>old_data[[#This Row],[Units Sold]]*old_data[[#This Row],[Unit Price (₦)]]</f>
        <v>229500</v>
      </c>
      <c r="N121" s="9">
        <f>old_data[[#This Row],[Total Sales (₦)]]*(1-old_data[[#This Row],[Discount (%)]])</f>
        <v>229500</v>
      </c>
      <c r="O121" s="5" t="str">
        <f>IF(old_data[[#This Row],[Net Revenue (₦)]]&gt;350000,"High",IF(old_data[[#This Row],[Net Revenue (₦)]]&gt;100000,"Medium","Low"))</f>
        <v>Medium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7A9A-EB56-4857-BB77-290704D27985}">
  <dimension ref="A1:O1297"/>
  <sheetViews>
    <sheetView topLeftCell="B1" zoomScale="108" zoomScaleNormal="100" workbookViewId="0">
      <pane ySplit="1" topLeftCell="A7" activePane="bottomLeft" state="frozen"/>
      <selection pane="bottomLeft" activeCell="E24" sqref="E24"/>
    </sheetView>
  </sheetViews>
  <sheetFormatPr defaultColWidth="8.6640625" defaultRowHeight="14.4" x14ac:dyDescent="0.3"/>
  <cols>
    <col min="1" max="1" width="14" customWidth="1"/>
    <col min="2" max="2" width="12.6640625" customWidth="1"/>
    <col min="3" max="3" width="32" customWidth="1"/>
    <col min="4" max="4" width="15" customWidth="1"/>
    <col min="5" max="5" width="12" customWidth="1"/>
    <col min="6" max="6" width="20" customWidth="1"/>
    <col min="7" max="7" width="18" customWidth="1"/>
    <col min="8" max="8" width="14" customWidth="1"/>
    <col min="9" max="9" width="12.33203125" customWidth="1"/>
    <col min="10" max="10" width="16" customWidth="1"/>
    <col min="11" max="11" width="14.5546875" customWidth="1"/>
    <col min="12" max="12" width="17.44140625" customWidth="1"/>
    <col min="13" max="13" width="18" customWidth="1"/>
    <col min="14" max="14" width="18.109375" customWidth="1"/>
    <col min="15" max="15" width="15.21875" customWidth="1"/>
  </cols>
  <sheetData>
    <row r="1" spans="1:15" ht="31.5" customHeigh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6" t="s">
        <v>14</v>
      </c>
    </row>
    <row r="2" spans="1:15" x14ac:dyDescent="0.3">
      <c r="A2" s="19" t="s">
        <v>1028</v>
      </c>
      <c r="B2" s="19" t="s">
        <v>32</v>
      </c>
      <c r="C2" s="25" t="s">
        <v>246</v>
      </c>
      <c r="D2" s="25" t="s">
        <v>26</v>
      </c>
      <c r="E2" s="25" t="s">
        <v>33</v>
      </c>
      <c r="F2" s="25" t="s">
        <v>52</v>
      </c>
      <c r="G2" s="25" t="s">
        <v>53</v>
      </c>
      <c r="H2" s="34">
        <v>45450</v>
      </c>
      <c r="I2" s="49">
        <v>77</v>
      </c>
      <c r="J2" s="49">
        <v>420</v>
      </c>
      <c r="K2" s="50">
        <v>0.05</v>
      </c>
      <c r="L2" s="43" t="s">
        <v>30</v>
      </c>
      <c r="M2" s="51">
        <v>32340</v>
      </c>
      <c r="N2" s="51">
        <v>30723</v>
      </c>
      <c r="O2" s="43" t="s">
        <v>265</v>
      </c>
    </row>
    <row r="3" spans="1:15" x14ac:dyDescent="0.3">
      <c r="A3" s="20" t="s">
        <v>1029</v>
      </c>
      <c r="B3" s="20" t="s">
        <v>58</v>
      </c>
      <c r="C3" s="26" t="s">
        <v>255</v>
      </c>
      <c r="D3" s="26" t="s">
        <v>59</v>
      </c>
      <c r="E3" s="26" t="s">
        <v>45</v>
      </c>
      <c r="F3" s="26" t="s">
        <v>41</v>
      </c>
      <c r="G3" s="26" t="s">
        <v>42</v>
      </c>
      <c r="H3" s="35">
        <v>45473</v>
      </c>
      <c r="I3" s="52">
        <v>74</v>
      </c>
      <c r="J3" s="52">
        <v>2800</v>
      </c>
      <c r="K3" s="53">
        <v>0.08</v>
      </c>
      <c r="L3" s="44" t="s">
        <v>30</v>
      </c>
      <c r="M3" s="54">
        <v>207200</v>
      </c>
      <c r="N3" s="54">
        <v>190624</v>
      </c>
      <c r="O3" s="44" t="s">
        <v>267</v>
      </c>
    </row>
    <row r="4" spans="1:15" x14ac:dyDescent="0.3">
      <c r="A4" s="19" t="s">
        <v>1030</v>
      </c>
      <c r="B4" s="19" t="s">
        <v>61</v>
      </c>
      <c r="C4" s="25" t="s">
        <v>244</v>
      </c>
      <c r="D4" s="25" t="s">
        <v>26</v>
      </c>
      <c r="E4" s="25" t="s">
        <v>51</v>
      </c>
      <c r="F4" s="25" t="s">
        <v>34</v>
      </c>
      <c r="G4" s="25" t="s">
        <v>56</v>
      </c>
      <c r="H4" s="34">
        <v>45457</v>
      </c>
      <c r="I4" s="49">
        <v>99</v>
      </c>
      <c r="J4" s="49">
        <v>280</v>
      </c>
      <c r="K4" s="50">
        <v>0.11</v>
      </c>
      <c r="L4" s="43" t="s">
        <v>36</v>
      </c>
      <c r="M4" s="51">
        <v>27720</v>
      </c>
      <c r="N4" s="51">
        <v>24670.799999999999</v>
      </c>
      <c r="O4" s="43" t="s">
        <v>265</v>
      </c>
    </row>
    <row r="5" spans="1:15" x14ac:dyDescent="0.3">
      <c r="A5" s="20" t="s">
        <v>1031</v>
      </c>
      <c r="B5" s="20" t="s">
        <v>58</v>
      </c>
      <c r="C5" s="26" t="s">
        <v>255</v>
      </c>
      <c r="D5" s="26" t="s">
        <v>59</v>
      </c>
      <c r="E5" s="26" t="s">
        <v>27</v>
      </c>
      <c r="F5" s="26" t="s">
        <v>52</v>
      </c>
      <c r="G5" s="26" t="s">
        <v>42</v>
      </c>
      <c r="H5" s="35">
        <v>45462</v>
      </c>
      <c r="I5" s="52">
        <v>39</v>
      </c>
      <c r="J5" s="52">
        <v>2800</v>
      </c>
      <c r="K5" s="53">
        <v>0</v>
      </c>
      <c r="L5" s="44" t="s">
        <v>36</v>
      </c>
      <c r="M5" s="54">
        <v>109200</v>
      </c>
      <c r="N5" s="54">
        <v>109200</v>
      </c>
      <c r="O5" s="44" t="s">
        <v>267</v>
      </c>
    </row>
    <row r="6" spans="1:15" x14ac:dyDescent="0.3">
      <c r="A6" s="19" t="s">
        <v>1032</v>
      </c>
      <c r="B6" s="19" t="s">
        <v>55</v>
      </c>
      <c r="C6" s="25" t="s">
        <v>249</v>
      </c>
      <c r="D6" s="25" t="s">
        <v>39</v>
      </c>
      <c r="E6" s="25" t="s">
        <v>27</v>
      </c>
      <c r="F6" s="25" t="s">
        <v>28</v>
      </c>
      <c r="G6" s="25" t="s">
        <v>29</v>
      </c>
      <c r="H6" s="34">
        <v>45467</v>
      </c>
      <c r="I6" s="49">
        <v>135</v>
      </c>
      <c r="J6" s="49">
        <v>650</v>
      </c>
      <c r="K6" s="50">
        <v>0</v>
      </c>
      <c r="L6" s="43" t="s">
        <v>30</v>
      </c>
      <c r="M6" s="51">
        <v>87750</v>
      </c>
      <c r="N6" s="51">
        <v>87750</v>
      </c>
      <c r="O6" s="43" t="s">
        <v>265</v>
      </c>
    </row>
    <row r="7" spans="1:15" x14ac:dyDescent="0.3">
      <c r="A7" s="20" t="s">
        <v>1033</v>
      </c>
      <c r="B7" s="20" t="s">
        <v>16</v>
      </c>
      <c r="C7" s="26" t="s">
        <v>250</v>
      </c>
      <c r="D7" s="26" t="s">
        <v>39</v>
      </c>
      <c r="E7" s="26" t="s">
        <v>51</v>
      </c>
      <c r="F7" s="26" t="s">
        <v>41</v>
      </c>
      <c r="G7" s="26" t="s">
        <v>35</v>
      </c>
      <c r="H7" s="35">
        <v>45470</v>
      </c>
      <c r="I7" s="52">
        <v>103</v>
      </c>
      <c r="J7" s="52">
        <v>990</v>
      </c>
      <c r="K7" s="53">
        <v>7.0000000000000007E-2</v>
      </c>
      <c r="L7" s="44" t="s">
        <v>36</v>
      </c>
      <c r="M7" s="54">
        <v>101970</v>
      </c>
      <c r="N7" s="54">
        <v>94832.1</v>
      </c>
      <c r="O7" s="44" t="s">
        <v>265</v>
      </c>
    </row>
    <row r="8" spans="1:15" x14ac:dyDescent="0.3">
      <c r="A8" s="19" t="s">
        <v>1034</v>
      </c>
      <c r="B8" s="19" t="s">
        <v>58</v>
      </c>
      <c r="C8" s="25" t="s">
        <v>255</v>
      </c>
      <c r="D8" s="25" t="s">
        <v>59</v>
      </c>
      <c r="E8" s="25" t="s">
        <v>27</v>
      </c>
      <c r="F8" s="25" t="s">
        <v>28</v>
      </c>
      <c r="G8" s="25" t="s">
        <v>29</v>
      </c>
      <c r="H8" s="34">
        <v>45451</v>
      </c>
      <c r="I8" s="49">
        <v>49</v>
      </c>
      <c r="J8" s="49">
        <v>2800</v>
      </c>
      <c r="K8" s="50">
        <v>0.11</v>
      </c>
      <c r="L8" s="43" t="s">
        <v>30</v>
      </c>
      <c r="M8" s="51">
        <v>137200</v>
      </c>
      <c r="N8" s="51">
        <v>122108</v>
      </c>
      <c r="O8" s="43" t="s">
        <v>267</v>
      </c>
    </row>
    <row r="9" spans="1:15" x14ac:dyDescent="0.3">
      <c r="A9" s="20" t="s">
        <v>1035</v>
      </c>
      <c r="B9" s="20" t="s">
        <v>44</v>
      </c>
      <c r="C9" s="26" t="s">
        <v>254</v>
      </c>
      <c r="D9" s="26" t="s">
        <v>39</v>
      </c>
      <c r="E9" s="26" t="s">
        <v>27</v>
      </c>
      <c r="F9" s="26" t="s">
        <v>41</v>
      </c>
      <c r="G9" s="26" t="s">
        <v>42</v>
      </c>
      <c r="H9" s="35">
        <v>45450</v>
      </c>
      <c r="I9" s="52">
        <v>189</v>
      </c>
      <c r="J9" s="52">
        <v>200</v>
      </c>
      <c r="K9" s="53">
        <v>0.12</v>
      </c>
      <c r="L9" s="44" t="s">
        <v>36</v>
      </c>
      <c r="M9" s="54">
        <v>37800</v>
      </c>
      <c r="N9" s="54">
        <v>33264</v>
      </c>
      <c r="O9" s="44" t="s">
        <v>265</v>
      </c>
    </row>
    <row r="10" spans="1:15" x14ac:dyDescent="0.3">
      <c r="A10" s="19" t="s">
        <v>1036</v>
      </c>
      <c r="B10" s="19" t="s">
        <v>25</v>
      </c>
      <c r="C10" s="25" t="s">
        <v>257</v>
      </c>
      <c r="D10" s="25" t="s">
        <v>26</v>
      </c>
      <c r="E10" s="25" t="s">
        <v>33</v>
      </c>
      <c r="F10" s="25" t="s">
        <v>52</v>
      </c>
      <c r="G10" s="25" t="s">
        <v>53</v>
      </c>
      <c r="H10" s="34">
        <v>45456</v>
      </c>
      <c r="I10" s="49">
        <v>96</v>
      </c>
      <c r="J10" s="49">
        <v>350</v>
      </c>
      <c r="K10" s="50">
        <v>0.05</v>
      </c>
      <c r="L10" s="43" t="s">
        <v>30</v>
      </c>
      <c r="M10" s="51">
        <v>33600</v>
      </c>
      <c r="N10" s="51">
        <v>31920</v>
      </c>
      <c r="O10" s="43" t="s">
        <v>265</v>
      </c>
    </row>
    <row r="11" spans="1:15" x14ac:dyDescent="0.3">
      <c r="A11" s="20" t="s">
        <v>1037</v>
      </c>
      <c r="B11" s="20" t="s">
        <v>25</v>
      </c>
      <c r="C11" s="26" t="s">
        <v>257</v>
      </c>
      <c r="D11" s="26" t="s">
        <v>26</v>
      </c>
      <c r="E11" s="26" t="s">
        <v>45</v>
      </c>
      <c r="F11" s="26" t="s">
        <v>41</v>
      </c>
      <c r="G11" s="26" t="s">
        <v>42</v>
      </c>
      <c r="H11" s="35">
        <v>45448</v>
      </c>
      <c r="I11" s="52">
        <v>157</v>
      </c>
      <c r="J11" s="52">
        <v>350</v>
      </c>
      <c r="K11" s="53">
        <v>0.1</v>
      </c>
      <c r="L11" s="44" t="s">
        <v>30</v>
      </c>
      <c r="M11" s="54">
        <v>54950</v>
      </c>
      <c r="N11" s="54">
        <v>49455</v>
      </c>
      <c r="O11" s="44" t="s">
        <v>265</v>
      </c>
    </row>
    <row r="12" spans="1:15" x14ac:dyDescent="0.3">
      <c r="A12" s="19" t="s">
        <v>1038</v>
      </c>
      <c r="B12" s="19" t="s">
        <v>61</v>
      </c>
      <c r="C12" s="25" t="s">
        <v>244</v>
      </c>
      <c r="D12" s="25" t="s">
        <v>26</v>
      </c>
      <c r="E12" s="25" t="s">
        <v>33</v>
      </c>
      <c r="F12" s="25" t="s">
        <v>52</v>
      </c>
      <c r="G12" s="25" t="s">
        <v>35</v>
      </c>
      <c r="H12" s="34">
        <v>45452</v>
      </c>
      <c r="I12" s="49">
        <v>97</v>
      </c>
      <c r="J12" s="49">
        <v>280</v>
      </c>
      <c r="K12" s="50">
        <v>0.08</v>
      </c>
      <c r="L12" s="43" t="s">
        <v>36</v>
      </c>
      <c r="M12" s="51">
        <v>27160</v>
      </c>
      <c r="N12" s="51">
        <v>24987.200000000001</v>
      </c>
      <c r="O12" s="43" t="s">
        <v>265</v>
      </c>
    </row>
    <row r="13" spans="1:15" x14ac:dyDescent="0.3">
      <c r="A13" s="20" t="s">
        <v>1039</v>
      </c>
      <c r="B13" s="20" t="s">
        <v>63</v>
      </c>
      <c r="C13" s="26" t="s">
        <v>253</v>
      </c>
      <c r="D13" s="26" t="s">
        <v>50</v>
      </c>
      <c r="E13" s="26" t="s">
        <v>27</v>
      </c>
      <c r="F13" s="26" t="s">
        <v>34</v>
      </c>
      <c r="G13" s="26" t="s">
        <v>56</v>
      </c>
      <c r="H13" s="35">
        <v>45459</v>
      </c>
      <c r="I13" s="52">
        <v>80</v>
      </c>
      <c r="J13" s="52">
        <v>750</v>
      </c>
      <c r="K13" s="53">
        <v>0.15</v>
      </c>
      <c r="L13" s="44" t="s">
        <v>36</v>
      </c>
      <c r="M13" s="54">
        <v>60000</v>
      </c>
      <c r="N13" s="54">
        <v>51000</v>
      </c>
      <c r="O13" s="44" t="s">
        <v>265</v>
      </c>
    </row>
    <row r="14" spans="1:15" x14ac:dyDescent="0.3">
      <c r="A14" s="19" t="s">
        <v>1040</v>
      </c>
      <c r="B14" s="19" t="s">
        <v>55</v>
      </c>
      <c r="C14" s="25" t="s">
        <v>249</v>
      </c>
      <c r="D14" s="25" t="s">
        <v>39</v>
      </c>
      <c r="E14" s="25" t="s">
        <v>33</v>
      </c>
      <c r="F14" s="25" t="s">
        <v>34</v>
      </c>
      <c r="G14" s="25" t="s">
        <v>47</v>
      </c>
      <c r="H14" s="34">
        <v>45455</v>
      </c>
      <c r="I14" s="49">
        <v>193</v>
      </c>
      <c r="J14" s="49">
        <v>650</v>
      </c>
      <c r="K14" s="50">
        <v>0</v>
      </c>
      <c r="L14" s="43" t="s">
        <v>30</v>
      </c>
      <c r="M14" s="51">
        <v>125450</v>
      </c>
      <c r="N14" s="51">
        <v>125450</v>
      </c>
      <c r="O14" s="43" t="s">
        <v>267</v>
      </c>
    </row>
    <row r="15" spans="1:15" x14ac:dyDescent="0.3">
      <c r="A15" s="20" t="s">
        <v>1041</v>
      </c>
      <c r="B15" s="20" t="s">
        <v>38</v>
      </c>
      <c r="C15" s="26" t="s">
        <v>247</v>
      </c>
      <c r="D15" s="26" t="s">
        <v>39</v>
      </c>
      <c r="E15" s="26" t="s">
        <v>40</v>
      </c>
      <c r="F15" s="26" t="s">
        <v>34</v>
      </c>
      <c r="G15" s="26" t="s">
        <v>42</v>
      </c>
      <c r="H15" s="35">
        <v>45466</v>
      </c>
      <c r="I15" s="52">
        <v>94</v>
      </c>
      <c r="J15" s="52">
        <v>1200</v>
      </c>
      <c r="K15" s="53">
        <v>0.11</v>
      </c>
      <c r="L15" s="44" t="s">
        <v>36</v>
      </c>
      <c r="M15" s="54">
        <v>112800</v>
      </c>
      <c r="N15" s="54">
        <v>100392</v>
      </c>
      <c r="O15" s="44" t="s">
        <v>267</v>
      </c>
    </row>
    <row r="16" spans="1:15" x14ac:dyDescent="0.3">
      <c r="A16" s="19" t="s">
        <v>1042</v>
      </c>
      <c r="B16" s="19" t="s">
        <v>58</v>
      </c>
      <c r="C16" s="25" t="s">
        <v>255</v>
      </c>
      <c r="D16" s="25" t="s">
        <v>59</v>
      </c>
      <c r="E16" s="25" t="s">
        <v>27</v>
      </c>
      <c r="F16" s="25" t="s">
        <v>28</v>
      </c>
      <c r="G16" s="25" t="s">
        <v>29</v>
      </c>
      <c r="H16" s="34">
        <v>45464</v>
      </c>
      <c r="I16" s="49">
        <v>79</v>
      </c>
      <c r="J16" s="49">
        <v>2800</v>
      </c>
      <c r="K16" s="50">
        <v>0.03</v>
      </c>
      <c r="L16" s="43" t="s">
        <v>36</v>
      </c>
      <c r="M16" s="51">
        <v>221200</v>
      </c>
      <c r="N16" s="51">
        <v>214564</v>
      </c>
      <c r="O16" s="43" t="s">
        <v>267</v>
      </c>
    </row>
    <row r="17" spans="1:15" x14ac:dyDescent="0.3">
      <c r="A17" s="20" t="s">
        <v>1043</v>
      </c>
      <c r="B17" s="20" t="s">
        <v>49</v>
      </c>
      <c r="C17" s="26" t="s">
        <v>251</v>
      </c>
      <c r="D17" s="26" t="s">
        <v>50</v>
      </c>
      <c r="E17" s="26" t="s">
        <v>40</v>
      </c>
      <c r="F17" s="26" t="s">
        <v>46</v>
      </c>
      <c r="G17" s="26" t="s">
        <v>53</v>
      </c>
      <c r="H17" s="35">
        <v>45466</v>
      </c>
      <c r="I17" s="52">
        <v>145</v>
      </c>
      <c r="J17" s="52">
        <v>895</v>
      </c>
      <c r="K17" s="53">
        <v>0</v>
      </c>
      <c r="L17" s="44" t="s">
        <v>36</v>
      </c>
      <c r="M17" s="54">
        <v>129775</v>
      </c>
      <c r="N17" s="54">
        <v>129775</v>
      </c>
      <c r="O17" s="44" t="s">
        <v>267</v>
      </c>
    </row>
    <row r="18" spans="1:15" x14ac:dyDescent="0.3">
      <c r="A18" s="19" t="s">
        <v>1044</v>
      </c>
      <c r="B18" s="19" t="s">
        <v>61</v>
      </c>
      <c r="C18" s="25" t="s">
        <v>244</v>
      </c>
      <c r="D18" s="25" t="s">
        <v>26</v>
      </c>
      <c r="E18" s="25" t="s">
        <v>51</v>
      </c>
      <c r="F18" s="25" t="s">
        <v>46</v>
      </c>
      <c r="G18" s="25" t="s">
        <v>47</v>
      </c>
      <c r="H18" s="34">
        <v>45445</v>
      </c>
      <c r="I18" s="49">
        <v>105</v>
      </c>
      <c r="J18" s="49">
        <v>280</v>
      </c>
      <c r="K18" s="50">
        <v>0</v>
      </c>
      <c r="L18" s="43" t="s">
        <v>36</v>
      </c>
      <c r="M18" s="51">
        <v>29400</v>
      </c>
      <c r="N18" s="51">
        <v>29400</v>
      </c>
      <c r="O18" s="43" t="s">
        <v>265</v>
      </c>
    </row>
    <row r="19" spans="1:15" x14ac:dyDescent="0.3">
      <c r="A19" s="20" t="s">
        <v>1045</v>
      </c>
      <c r="B19" s="20" t="s">
        <v>55</v>
      </c>
      <c r="C19" s="26" t="s">
        <v>249</v>
      </c>
      <c r="D19" s="26" t="s">
        <v>39</v>
      </c>
      <c r="E19" s="26" t="s">
        <v>51</v>
      </c>
      <c r="F19" s="26" t="s">
        <v>41</v>
      </c>
      <c r="G19" s="26" t="s">
        <v>29</v>
      </c>
      <c r="H19" s="35">
        <v>45464</v>
      </c>
      <c r="I19" s="52">
        <v>102</v>
      </c>
      <c r="J19" s="52">
        <v>650</v>
      </c>
      <c r="K19" s="53">
        <v>0.03</v>
      </c>
      <c r="L19" s="44" t="s">
        <v>36</v>
      </c>
      <c r="M19" s="54">
        <v>66300</v>
      </c>
      <c r="N19" s="54">
        <v>64311</v>
      </c>
      <c r="O19" s="44" t="s">
        <v>265</v>
      </c>
    </row>
    <row r="20" spans="1:15" x14ac:dyDescent="0.3">
      <c r="A20" s="19" t="s">
        <v>1046</v>
      </c>
      <c r="B20" s="19" t="s">
        <v>38</v>
      </c>
      <c r="C20" s="25" t="s">
        <v>247</v>
      </c>
      <c r="D20" s="25" t="s">
        <v>39</v>
      </c>
      <c r="E20" s="25" t="s">
        <v>40</v>
      </c>
      <c r="F20" s="25" t="s">
        <v>46</v>
      </c>
      <c r="G20" s="25" t="s">
        <v>42</v>
      </c>
      <c r="H20" s="34">
        <v>45444</v>
      </c>
      <c r="I20" s="49">
        <v>72</v>
      </c>
      <c r="J20" s="49">
        <v>1200</v>
      </c>
      <c r="K20" s="50">
        <v>0.15</v>
      </c>
      <c r="L20" s="43" t="s">
        <v>36</v>
      </c>
      <c r="M20" s="51">
        <v>86400</v>
      </c>
      <c r="N20" s="51">
        <v>73440</v>
      </c>
      <c r="O20" s="43" t="s">
        <v>265</v>
      </c>
    </row>
    <row r="21" spans="1:15" x14ac:dyDescent="0.3">
      <c r="A21" s="20" t="s">
        <v>1047</v>
      </c>
      <c r="B21" s="20" t="s">
        <v>58</v>
      </c>
      <c r="C21" s="26" t="s">
        <v>255</v>
      </c>
      <c r="D21" s="26" t="s">
        <v>59</v>
      </c>
      <c r="E21" s="26" t="s">
        <v>33</v>
      </c>
      <c r="F21" s="26" t="s">
        <v>52</v>
      </c>
      <c r="G21" s="26" t="s">
        <v>42</v>
      </c>
      <c r="H21" s="35">
        <v>45455</v>
      </c>
      <c r="I21" s="52">
        <v>55</v>
      </c>
      <c r="J21" s="52">
        <v>2800</v>
      </c>
      <c r="K21" s="53">
        <v>0.08</v>
      </c>
      <c r="L21" s="44" t="s">
        <v>36</v>
      </c>
      <c r="M21" s="54">
        <v>154000</v>
      </c>
      <c r="N21" s="54">
        <v>141680</v>
      </c>
      <c r="O21" s="44" t="s">
        <v>267</v>
      </c>
    </row>
    <row r="22" spans="1:15" x14ac:dyDescent="0.3">
      <c r="A22" s="19" t="s">
        <v>1048</v>
      </c>
      <c r="B22" s="19" t="s">
        <v>49</v>
      </c>
      <c r="C22" s="25" t="s">
        <v>251</v>
      </c>
      <c r="D22" s="25" t="s">
        <v>50</v>
      </c>
      <c r="E22" s="25" t="s">
        <v>51</v>
      </c>
      <c r="F22" s="25" t="s">
        <v>52</v>
      </c>
      <c r="G22" s="25" t="s">
        <v>29</v>
      </c>
      <c r="H22" s="34">
        <v>45471</v>
      </c>
      <c r="I22" s="49">
        <v>131</v>
      </c>
      <c r="J22" s="49">
        <v>895</v>
      </c>
      <c r="K22" s="50">
        <v>0</v>
      </c>
      <c r="L22" s="43" t="s">
        <v>30</v>
      </c>
      <c r="M22" s="51">
        <v>117245</v>
      </c>
      <c r="N22" s="51">
        <v>117245</v>
      </c>
      <c r="O22" s="43" t="s">
        <v>267</v>
      </c>
    </row>
    <row r="23" spans="1:15" x14ac:dyDescent="0.3">
      <c r="A23" s="20" t="s">
        <v>1049</v>
      </c>
      <c r="B23" s="20" t="s">
        <v>61</v>
      </c>
      <c r="C23" s="26" t="s">
        <v>244</v>
      </c>
      <c r="D23" s="26" t="s">
        <v>26</v>
      </c>
      <c r="E23" s="26" t="s">
        <v>51</v>
      </c>
      <c r="F23" s="26" t="s">
        <v>34</v>
      </c>
      <c r="G23" s="26" t="s">
        <v>53</v>
      </c>
      <c r="H23" s="35">
        <v>45468</v>
      </c>
      <c r="I23" s="52">
        <v>219</v>
      </c>
      <c r="J23" s="52">
        <v>280</v>
      </c>
      <c r="K23" s="53">
        <v>7.0000000000000007E-2</v>
      </c>
      <c r="L23" s="44" t="s">
        <v>30</v>
      </c>
      <c r="M23" s="54">
        <v>61320</v>
      </c>
      <c r="N23" s="54">
        <v>57027.6</v>
      </c>
      <c r="O23" s="44" t="s">
        <v>265</v>
      </c>
    </row>
    <row r="24" spans="1:15" x14ac:dyDescent="0.3">
      <c r="A24" s="19" t="s">
        <v>1050</v>
      </c>
      <c r="B24" s="19" t="s">
        <v>61</v>
      </c>
      <c r="C24" s="25" t="s">
        <v>244</v>
      </c>
      <c r="D24" s="25" t="s">
        <v>26</v>
      </c>
      <c r="E24" s="25" t="s">
        <v>51</v>
      </c>
      <c r="F24" s="25" t="s">
        <v>41</v>
      </c>
      <c r="G24" s="25" t="s">
        <v>47</v>
      </c>
      <c r="H24" s="34">
        <v>45464</v>
      </c>
      <c r="I24" s="49">
        <v>228</v>
      </c>
      <c r="J24" s="49">
        <v>280</v>
      </c>
      <c r="K24" s="50">
        <v>0.03</v>
      </c>
      <c r="L24" s="43" t="s">
        <v>36</v>
      </c>
      <c r="M24" s="51">
        <v>63840</v>
      </c>
      <c r="N24" s="51">
        <v>61924.800000000003</v>
      </c>
      <c r="O24" s="43" t="s">
        <v>265</v>
      </c>
    </row>
    <row r="25" spans="1:15" x14ac:dyDescent="0.3">
      <c r="A25" s="20" t="s">
        <v>1051</v>
      </c>
      <c r="B25" s="20" t="s">
        <v>58</v>
      </c>
      <c r="C25" s="26" t="s">
        <v>255</v>
      </c>
      <c r="D25" s="26" t="s">
        <v>59</v>
      </c>
      <c r="E25" s="26" t="s">
        <v>51</v>
      </c>
      <c r="F25" s="26" t="s">
        <v>52</v>
      </c>
      <c r="G25" s="26" t="s">
        <v>35</v>
      </c>
      <c r="H25" s="35">
        <v>45460</v>
      </c>
      <c r="I25" s="52">
        <v>64</v>
      </c>
      <c r="J25" s="52">
        <v>2800</v>
      </c>
      <c r="K25" s="53">
        <v>0.13</v>
      </c>
      <c r="L25" s="44" t="s">
        <v>36</v>
      </c>
      <c r="M25" s="54">
        <v>179200</v>
      </c>
      <c r="N25" s="54">
        <v>155904</v>
      </c>
      <c r="O25" s="44" t="s">
        <v>267</v>
      </c>
    </row>
    <row r="26" spans="1:15" x14ac:dyDescent="0.3">
      <c r="A26" s="19" t="s">
        <v>1052</v>
      </c>
      <c r="B26" s="19" t="s">
        <v>55</v>
      </c>
      <c r="C26" s="25" t="s">
        <v>249</v>
      </c>
      <c r="D26" s="25" t="s">
        <v>39</v>
      </c>
      <c r="E26" s="25" t="s">
        <v>45</v>
      </c>
      <c r="F26" s="25" t="s">
        <v>28</v>
      </c>
      <c r="G26" s="25" t="s">
        <v>35</v>
      </c>
      <c r="H26" s="34">
        <v>45470</v>
      </c>
      <c r="I26" s="49">
        <v>68</v>
      </c>
      <c r="J26" s="49">
        <v>650</v>
      </c>
      <c r="K26" s="50">
        <v>0</v>
      </c>
      <c r="L26" s="43" t="s">
        <v>36</v>
      </c>
      <c r="M26" s="51">
        <v>44200</v>
      </c>
      <c r="N26" s="51">
        <v>44200</v>
      </c>
      <c r="O26" s="43" t="s">
        <v>265</v>
      </c>
    </row>
    <row r="27" spans="1:15" x14ac:dyDescent="0.3">
      <c r="A27" s="20" t="s">
        <v>1053</v>
      </c>
      <c r="B27" s="20" t="s">
        <v>63</v>
      </c>
      <c r="C27" s="26" t="s">
        <v>253</v>
      </c>
      <c r="D27" s="26" t="s">
        <v>50</v>
      </c>
      <c r="E27" s="26" t="s">
        <v>33</v>
      </c>
      <c r="F27" s="26" t="s">
        <v>46</v>
      </c>
      <c r="G27" s="26" t="s">
        <v>47</v>
      </c>
      <c r="H27" s="35">
        <v>45468</v>
      </c>
      <c r="I27" s="52">
        <v>148</v>
      </c>
      <c r="J27" s="52">
        <v>750</v>
      </c>
      <c r="K27" s="53">
        <v>0.13</v>
      </c>
      <c r="L27" s="44" t="s">
        <v>30</v>
      </c>
      <c r="M27" s="54">
        <v>111000</v>
      </c>
      <c r="N27" s="54">
        <v>96570</v>
      </c>
      <c r="O27" s="44" t="s">
        <v>265</v>
      </c>
    </row>
    <row r="28" spans="1:15" x14ac:dyDescent="0.3">
      <c r="A28" s="19" t="s">
        <v>1054</v>
      </c>
      <c r="B28" s="19" t="s">
        <v>25</v>
      </c>
      <c r="C28" s="25" t="s">
        <v>257</v>
      </c>
      <c r="D28" s="25" t="s">
        <v>26</v>
      </c>
      <c r="E28" s="25" t="s">
        <v>40</v>
      </c>
      <c r="F28" s="25" t="s">
        <v>41</v>
      </c>
      <c r="G28" s="25" t="s">
        <v>47</v>
      </c>
      <c r="H28" s="34">
        <v>45466</v>
      </c>
      <c r="I28" s="49">
        <v>35</v>
      </c>
      <c r="J28" s="49">
        <v>350</v>
      </c>
      <c r="K28" s="50">
        <v>7.0000000000000007E-2</v>
      </c>
      <c r="L28" s="43" t="s">
        <v>36</v>
      </c>
      <c r="M28" s="51">
        <v>12250</v>
      </c>
      <c r="N28" s="51">
        <v>11392.5</v>
      </c>
      <c r="O28" s="43" t="s">
        <v>265</v>
      </c>
    </row>
    <row r="29" spans="1:15" x14ac:dyDescent="0.3">
      <c r="A29" s="20" t="s">
        <v>1055</v>
      </c>
      <c r="B29" s="20" t="s">
        <v>63</v>
      </c>
      <c r="C29" s="26" t="s">
        <v>253</v>
      </c>
      <c r="D29" s="26" t="s">
        <v>50</v>
      </c>
      <c r="E29" s="26" t="s">
        <v>51</v>
      </c>
      <c r="F29" s="26" t="s">
        <v>46</v>
      </c>
      <c r="G29" s="26" t="s">
        <v>56</v>
      </c>
      <c r="H29" s="35">
        <v>45460</v>
      </c>
      <c r="I29" s="52">
        <v>97</v>
      </c>
      <c r="J29" s="52">
        <v>750</v>
      </c>
      <c r="K29" s="53">
        <v>0</v>
      </c>
      <c r="L29" s="44" t="s">
        <v>30</v>
      </c>
      <c r="M29" s="54">
        <v>72750</v>
      </c>
      <c r="N29" s="54">
        <v>72750</v>
      </c>
      <c r="O29" s="44" t="s">
        <v>265</v>
      </c>
    </row>
    <row r="30" spans="1:15" x14ac:dyDescent="0.3">
      <c r="A30" s="19" t="s">
        <v>1056</v>
      </c>
      <c r="B30" s="19" t="s">
        <v>25</v>
      </c>
      <c r="C30" s="25" t="s">
        <v>257</v>
      </c>
      <c r="D30" s="25" t="s">
        <v>26</v>
      </c>
      <c r="E30" s="25" t="s">
        <v>40</v>
      </c>
      <c r="F30" s="25" t="s">
        <v>41</v>
      </c>
      <c r="G30" s="25" t="s">
        <v>35</v>
      </c>
      <c r="H30" s="34">
        <v>45449</v>
      </c>
      <c r="I30" s="49">
        <v>37</v>
      </c>
      <c r="J30" s="49">
        <v>350</v>
      </c>
      <c r="K30" s="50">
        <v>0</v>
      </c>
      <c r="L30" s="43" t="s">
        <v>36</v>
      </c>
      <c r="M30" s="51">
        <v>12950</v>
      </c>
      <c r="N30" s="51">
        <v>12950</v>
      </c>
      <c r="O30" s="43" t="s">
        <v>265</v>
      </c>
    </row>
    <row r="31" spans="1:15" x14ac:dyDescent="0.3">
      <c r="A31" s="20" t="s">
        <v>1057</v>
      </c>
      <c r="B31" s="20" t="s">
        <v>25</v>
      </c>
      <c r="C31" s="26" t="s">
        <v>257</v>
      </c>
      <c r="D31" s="26" t="s">
        <v>26</v>
      </c>
      <c r="E31" s="26" t="s">
        <v>45</v>
      </c>
      <c r="F31" s="26" t="s">
        <v>28</v>
      </c>
      <c r="G31" s="26" t="s">
        <v>42</v>
      </c>
      <c r="H31" s="35">
        <v>45456</v>
      </c>
      <c r="I31" s="52">
        <v>131</v>
      </c>
      <c r="J31" s="52">
        <v>350</v>
      </c>
      <c r="K31" s="53">
        <v>0</v>
      </c>
      <c r="L31" s="44" t="s">
        <v>30</v>
      </c>
      <c r="M31" s="54">
        <v>45850</v>
      </c>
      <c r="N31" s="54">
        <v>45850</v>
      </c>
      <c r="O31" s="44" t="s">
        <v>265</v>
      </c>
    </row>
    <row r="32" spans="1:15" x14ac:dyDescent="0.3">
      <c r="A32" s="19" t="s">
        <v>1058</v>
      </c>
      <c r="B32" s="19" t="s">
        <v>25</v>
      </c>
      <c r="C32" s="25" t="s">
        <v>257</v>
      </c>
      <c r="D32" s="25" t="s">
        <v>26</v>
      </c>
      <c r="E32" s="25" t="s">
        <v>51</v>
      </c>
      <c r="F32" s="25" t="s">
        <v>52</v>
      </c>
      <c r="G32" s="25" t="s">
        <v>56</v>
      </c>
      <c r="H32" s="34">
        <v>45457</v>
      </c>
      <c r="I32" s="49">
        <v>174</v>
      </c>
      <c r="J32" s="49">
        <v>350</v>
      </c>
      <c r="K32" s="50">
        <v>0.12</v>
      </c>
      <c r="L32" s="43" t="s">
        <v>36</v>
      </c>
      <c r="M32" s="51">
        <v>60900</v>
      </c>
      <c r="N32" s="51">
        <v>53592</v>
      </c>
      <c r="O32" s="43" t="s">
        <v>265</v>
      </c>
    </row>
    <row r="33" spans="1:15" x14ac:dyDescent="0.3">
      <c r="A33" s="20" t="s">
        <v>1059</v>
      </c>
      <c r="B33" s="20" t="s">
        <v>25</v>
      </c>
      <c r="C33" s="26" t="s">
        <v>257</v>
      </c>
      <c r="D33" s="26" t="s">
        <v>26</v>
      </c>
      <c r="E33" s="26" t="s">
        <v>40</v>
      </c>
      <c r="F33" s="26" t="s">
        <v>34</v>
      </c>
      <c r="G33" s="26" t="s">
        <v>53</v>
      </c>
      <c r="H33" s="35">
        <v>45462</v>
      </c>
      <c r="I33" s="52">
        <v>104</v>
      </c>
      <c r="J33" s="52">
        <v>350</v>
      </c>
      <c r="K33" s="53">
        <v>0.03</v>
      </c>
      <c r="L33" s="44" t="s">
        <v>36</v>
      </c>
      <c r="M33" s="54">
        <v>36400</v>
      </c>
      <c r="N33" s="54">
        <v>35308</v>
      </c>
      <c r="O33" s="44" t="s">
        <v>265</v>
      </c>
    </row>
    <row r="34" spans="1:15" x14ac:dyDescent="0.3">
      <c r="A34" s="19" t="s">
        <v>1060</v>
      </c>
      <c r="B34" s="19" t="s">
        <v>63</v>
      </c>
      <c r="C34" s="25" t="s">
        <v>253</v>
      </c>
      <c r="D34" s="25" t="s">
        <v>50</v>
      </c>
      <c r="E34" s="25" t="s">
        <v>40</v>
      </c>
      <c r="F34" s="25" t="s">
        <v>52</v>
      </c>
      <c r="G34" s="25" t="s">
        <v>29</v>
      </c>
      <c r="H34" s="34">
        <v>45473</v>
      </c>
      <c r="I34" s="49">
        <v>56</v>
      </c>
      <c r="J34" s="49">
        <v>750</v>
      </c>
      <c r="K34" s="50">
        <v>7.0000000000000007E-2</v>
      </c>
      <c r="L34" s="43" t="s">
        <v>36</v>
      </c>
      <c r="M34" s="51">
        <v>42000</v>
      </c>
      <c r="N34" s="51">
        <v>39060</v>
      </c>
      <c r="O34" s="43" t="s">
        <v>265</v>
      </c>
    </row>
    <row r="35" spans="1:15" x14ac:dyDescent="0.3">
      <c r="A35" s="20" t="s">
        <v>1061</v>
      </c>
      <c r="B35" s="20" t="s">
        <v>58</v>
      </c>
      <c r="C35" s="26" t="s">
        <v>255</v>
      </c>
      <c r="D35" s="26" t="s">
        <v>59</v>
      </c>
      <c r="E35" s="26" t="s">
        <v>51</v>
      </c>
      <c r="F35" s="26" t="s">
        <v>28</v>
      </c>
      <c r="G35" s="26" t="s">
        <v>35</v>
      </c>
      <c r="H35" s="35">
        <v>45455</v>
      </c>
      <c r="I35" s="52">
        <v>70</v>
      </c>
      <c r="J35" s="52">
        <v>2800</v>
      </c>
      <c r="K35" s="53">
        <v>0.12</v>
      </c>
      <c r="L35" s="44" t="s">
        <v>36</v>
      </c>
      <c r="M35" s="54">
        <v>196000</v>
      </c>
      <c r="N35" s="54">
        <v>172480</v>
      </c>
      <c r="O35" s="44" t="s">
        <v>267</v>
      </c>
    </row>
    <row r="36" spans="1:15" x14ac:dyDescent="0.3">
      <c r="A36" s="19" t="s">
        <v>1062</v>
      </c>
      <c r="B36" s="19" t="s">
        <v>25</v>
      </c>
      <c r="C36" s="25" t="s">
        <v>257</v>
      </c>
      <c r="D36" s="25" t="s">
        <v>26</v>
      </c>
      <c r="E36" s="25" t="s">
        <v>51</v>
      </c>
      <c r="F36" s="25" t="s">
        <v>46</v>
      </c>
      <c r="G36" s="25" t="s">
        <v>47</v>
      </c>
      <c r="H36" s="34">
        <v>45454</v>
      </c>
      <c r="I36" s="49">
        <v>113</v>
      </c>
      <c r="J36" s="49">
        <v>350</v>
      </c>
      <c r="K36" s="50">
        <v>0.13</v>
      </c>
      <c r="L36" s="43" t="s">
        <v>36</v>
      </c>
      <c r="M36" s="51">
        <v>39550</v>
      </c>
      <c r="N36" s="51">
        <v>34408.5</v>
      </c>
      <c r="O36" s="43" t="s">
        <v>265</v>
      </c>
    </row>
    <row r="37" spans="1:15" x14ac:dyDescent="0.3">
      <c r="A37" s="20" t="s">
        <v>1063</v>
      </c>
      <c r="B37" s="20" t="s">
        <v>44</v>
      </c>
      <c r="C37" s="26" t="s">
        <v>254</v>
      </c>
      <c r="D37" s="26" t="s">
        <v>39</v>
      </c>
      <c r="E37" s="26" t="s">
        <v>45</v>
      </c>
      <c r="F37" s="26" t="s">
        <v>34</v>
      </c>
      <c r="G37" s="26" t="s">
        <v>53</v>
      </c>
      <c r="H37" s="35">
        <v>45453</v>
      </c>
      <c r="I37" s="52">
        <v>162</v>
      </c>
      <c r="J37" s="52">
        <v>200</v>
      </c>
      <c r="K37" s="53">
        <v>0</v>
      </c>
      <c r="L37" s="44" t="s">
        <v>36</v>
      </c>
      <c r="M37" s="54">
        <v>32400</v>
      </c>
      <c r="N37" s="54">
        <v>32400</v>
      </c>
      <c r="O37" s="44" t="s">
        <v>265</v>
      </c>
    </row>
    <row r="38" spans="1:15" x14ac:dyDescent="0.3">
      <c r="A38" s="19" t="s">
        <v>1064</v>
      </c>
      <c r="B38" s="19" t="s">
        <v>38</v>
      </c>
      <c r="C38" s="25" t="s">
        <v>247</v>
      </c>
      <c r="D38" s="25" t="s">
        <v>39</v>
      </c>
      <c r="E38" s="25" t="s">
        <v>51</v>
      </c>
      <c r="F38" s="25" t="s">
        <v>46</v>
      </c>
      <c r="G38" s="25" t="s">
        <v>56</v>
      </c>
      <c r="H38" s="34">
        <v>45471</v>
      </c>
      <c r="I38" s="49">
        <v>54</v>
      </c>
      <c r="J38" s="49">
        <v>1200</v>
      </c>
      <c r="K38" s="50">
        <v>7.0000000000000007E-2</v>
      </c>
      <c r="L38" s="43" t="s">
        <v>30</v>
      </c>
      <c r="M38" s="51">
        <v>64800</v>
      </c>
      <c r="N38" s="51">
        <v>60264</v>
      </c>
      <c r="O38" s="43" t="s">
        <v>265</v>
      </c>
    </row>
    <row r="39" spans="1:15" x14ac:dyDescent="0.3">
      <c r="A39" s="20" t="s">
        <v>1065</v>
      </c>
      <c r="B39" s="20" t="s">
        <v>61</v>
      </c>
      <c r="C39" s="26" t="s">
        <v>244</v>
      </c>
      <c r="D39" s="26" t="s">
        <v>26</v>
      </c>
      <c r="E39" s="26" t="s">
        <v>45</v>
      </c>
      <c r="F39" s="26" t="s">
        <v>28</v>
      </c>
      <c r="G39" s="26" t="s">
        <v>53</v>
      </c>
      <c r="H39" s="35">
        <v>45456</v>
      </c>
      <c r="I39" s="52">
        <v>144</v>
      </c>
      <c r="J39" s="52">
        <v>280</v>
      </c>
      <c r="K39" s="53">
        <v>0</v>
      </c>
      <c r="L39" s="44" t="s">
        <v>36</v>
      </c>
      <c r="M39" s="54">
        <v>40320</v>
      </c>
      <c r="N39" s="54">
        <v>40320</v>
      </c>
      <c r="O39" s="44" t="s">
        <v>265</v>
      </c>
    </row>
    <row r="40" spans="1:15" x14ac:dyDescent="0.3">
      <c r="A40" s="19" t="s">
        <v>1066</v>
      </c>
      <c r="B40" s="19" t="s">
        <v>44</v>
      </c>
      <c r="C40" s="25" t="s">
        <v>254</v>
      </c>
      <c r="D40" s="25" t="s">
        <v>39</v>
      </c>
      <c r="E40" s="25" t="s">
        <v>51</v>
      </c>
      <c r="F40" s="25" t="s">
        <v>46</v>
      </c>
      <c r="G40" s="25" t="s">
        <v>29</v>
      </c>
      <c r="H40" s="34">
        <v>45469</v>
      </c>
      <c r="I40" s="49">
        <v>210</v>
      </c>
      <c r="J40" s="49">
        <v>200</v>
      </c>
      <c r="K40" s="50">
        <v>0</v>
      </c>
      <c r="L40" s="43" t="s">
        <v>30</v>
      </c>
      <c r="M40" s="51">
        <v>42000</v>
      </c>
      <c r="N40" s="51">
        <v>42000</v>
      </c>
      <c r="O40" s="43" t="s">
        <v>265</v>
      </c>
    </row>
    <row r="41" spans="1:15" x14ac:dyDescent="0.3">
      <c r="A41" s="20" t="s">
        <v>1067</v>
      </c>
      <c r="B41" s="20" t="s">
        <v>16</v>
      </c>
      <c r="C41" s="26" t="s">
        <v>250</v>
      </c>
      <c r="D41" s="26" t="s">
        <v>39</v>
      </c>
      <c r="E41" s="26" t="s">
        <v>40</v>
      </c>
      <c r="F41" s="26" t="s">
        <v>46</v>
      </c>
      <c r="G41" s="26" t="s">
        <v>53</v>
      </c>
      <c r="H41" s="35">
        <v>45455</v>
      </c>
      <c r="I41" s="52">
        <v>140</v>
      </c>
      <c r="J41" s="52">
        <v>990</v>
      </c>
      <c r="K41" s="53">
        <v>0</v>
      </c>
      <c r="L41" s="44" t="s">
        <v>30</v>
      </c>
      <c r="M41" s="54">
        <v>138600</v>
      </c>
      <c r="N41" s="54">
        <v>138600</v>
      </c>
      <c r="O41" s="44" t="s">
        <v>267</v>
      </c>
    </row>
    <row r="42" spans="1:15" x14ac:dyDescent="0.3">
      <c r="A42" s="19" t="s">
        <v>1068</v>
      </c>
      <c r="B42" s="19" t="s">
        <v>38</v>
      </c>
      <c r="C42" s="25" t="s">
        <v>247</v>
      </c>
      <c r="D42" s="25" t="s">
        <v>39</v>
      </c>
      <c r="E42" s="25" t="s">
        <v>45</v>
      </c>
      <c r="F42" s="25" t="s">
        <v>28</v>
      </c>
      <c r="G42" s="25" t="s">
        <v>35</v>
      </c>
      <c r="H42" s="34">
        <v>45451</v>
      </c>
      <c r="I42" s="49">
        <v>141</v>
      </c>
      <c r="J42" s="49">
        <v>1200</v>
      </c>
      <c r="K42" s="50">
        <v>0.11</v>
      </c>
      <c r="L42" s="43" t="s">
        <v>36</v>
      </c>
      <c r="M42" s="51">
        <v>169200</v>
      </c>
      <c r="N42" s="51">
        <v>150588</v>
      </c>
      <c r="O42" s="43" t="s">
        <v>267</v>
      </c>
    </row>
    <row r="43" spans="1:15" x14ac:dyDescent="0.3">
      <c r="A43" s="20" t="s">
        <v>1069</v>
      </c>
      <c r="B43" s="20" t="s">
        <v>61</v>
      </c>
      <c r="C43" s="26" t="s">
        <v>244</v>
      </c>
      <c r="D43" s="26" t="s">
        <v>26</v>
      </c>
      <c r="E43" s="26" t="s">
        <v>51</v>
      </c>
      <c r="F43" s="26" t="s">
        <v>46</v>
      </c>
      <c r="G43" s="26" t="s">
        <v>56</v>
      </c>
      <c r="H43" s="35">
        <v>45454</v>
      </c>
      <c r="I43" s="52">
        <v>131</v>
      </c>
      <c r="J43" s="52">
        <v>280</v>
      </c>
      <c r="K43" s="53">
        <v>0.14000000000000001</v>
      </c>
      <c r="L43" s="44" t="s">
        <v>36</v>
      </c>
      <c r="M43" s="54">
        <v>36680</v>
      </c>
      <c r="N43" s="54">
        <v>31544.799999999999</v>
      </c>
      <c r="O43" s="44" t="s">
        <v>265</v>
      </c>
    </row>
    <row r="44" spans="1:15" x14ac:dyDescent="0.3">
      <c r="A44" s="19" t="s">
        <v>1070</v>
      </c>
      <c r="B44" s="19" t="s">
        <v>63</v>
      </c>
      <c r="C44" s="25" t="s">
        <v>253</v>
      </c>
      <c r="D44" s="25" t="s">
        <v>50</v>
      </c>
      <c r="E44" s="25" t="s">
        <v>27</v>
      </c>
      <c r="F44" s="25" t="s">
        <v>52</v>
      </c>
      <c r="G44" s="25" t="s">
        <v>53</v>
      </c>
      <c r="H44" s="34">
        <v>45460</v>
      </c>
      <c r="I44" s="49">
        <v>99</v>
      </c>
      <c r="J44" s="49">
        <v>750</v>
      </c>
      <c r="K44" s="50">
        <v>0.05</v>
      </c>
      <c r="L44" s="43" t="s">
        <v>36</v>
      </c>
      <c r="M44" s="51">
        <v>74250</v>
      </c>
      <c r="N44" s="51">
        <v>70537.5</v>
      </c>
      <c r="O44" s="43" t="s">
        <v>265</v>
      </c>
    </row>
    <row r="45" spans="1:15" x14ac:dyDescent="0.3">
      <c r="A45" s="20" t="s">
        <v>1071</v>
      </c>
      <c r="B45" s="20" t="s">
        <v>16</v>
      </c>
      <c r="C45" s="26" t="s">
        <v>250</v>
      </c>
      <c r="D45" s="26" t="s">
        <v>39</v>
      </c>
      <c r="E45" s="26" t="s">
        <v>40</v>
      </c>
      <c r="F45" s="26" t="s">
        <v>34</v>
      </c>
      <c r="G45" s="26" t="s">
        <v>56</v>
      </c>
      <c r="H45" s="35">
        <v>45473</v>
      </c>
      <c r="I45" s="52">
        <v>56</v>
      </c>
      <c r="J45" s="52">
        <v>990</v>
      </c>
      <c r="K45" s="53">
        <v>0.05</v>
      </c>
      <c r="L45" s="44" t="s">
        <v>36</v>
      </c>
      <c r="M45" s="54">
        <v>55440</v>
      </c>
      <c r="N45" s="54">
        <v>52668</v>
      </c>
      <c r="O45" s="44" t="s">
        <v>265</v>
      </c>
    </row>
    <row r="46" spans="1:15" x14ac:dyDescent="0.3">
      <c r="A46" s="19" t="s">
        <v>1072</v>
      </c>
      <c r="B46" s="19" t="s">
        <v>44</v>
      </c>
      <c r="C46" s="25" t="s">
        <v>254</v>
      </c>
      <c r="D46" s="25" t="s">
        <v>39</v>
      </c>
      <c r="E46" s="25" t="s">
        <v>33</v>
      </c>
      <c r="F46" s="25" t="s">
        <v>28</v>
      </c>
      <c r="G46" s="25" t="s">
        <v>56</v>
      </c>
      <c r="H46" s="34">
        <v>45455</v>
      </c>
      <c r="I46" s="49">
        <v>114</v>
      </c>
      <c r="J46" s="49">
        <v>200</v>
      </c>
      <c r="K46" s="50">
        <v>0</v>
      </c>
      <c r="L46" s="43" t="s">
        <v>30</v>
      </c>
      <c r="M46" s="51">
        <v>22800</v>
      </c>
      <c r="N46" s="51">
        <v>22800</v>
      </c>
      <c r="O46" s="43" t="s">
        <v>265</v>
      </c>
    </row>
    <row r="47" spans="1:15" x14ac:dyDescent="0.3">
      <c r="A47" s="20" t="s">
        <v>1073</v>
      </c>
      <c r="B47" s="20" t="s">
        <v>32</v>
      </c>
      <c r="C47" s="26" t="s">
        <v>246</v>
      </c>
      <c r="D47" s="26" t="s">
        <v>26</v>
      </c>
      <c r="E47" s="26" t="s">
        <v>40</v>
      </c>
      <c r="F47" s="26" t="s">
        <v>34</v>
      </c>
      <c r="G47" s="26" t="s">
        <v>53</v>
      </c>
      <c r="H47" s="35">
        <v>45460</v>
      </c>
      <c r="I47" s="52">
        <v>64</v>
      </c>
      <c r="J47" s="52">
        <v>420</v>
      </c>
      <c r="K47" s="53">
        <v>0.15</v>
      </c>
      <c r="L47" s="44" t="s">
        <v>36</v>
      </c>
      <c r="M47" s="54">
        <v>26880</v>
      </c>
      <c r="N47" s="54">
        <v>22848</v>
      </c>
      <c r="O47" s="44" t="s">
        <v>265</v>
      </c>
    </row>
    <row r="48" spans="1:15" x14ac:dyDescent="0.3">
      <c r="A48" s="19" t="s">
        <v>1074</v>
      </c>
      <c r="B48" s="19" t="s">
        <v>38</v>
      </c>
      <c r="C48" s="25" t="s">
        <v>247</v>
      </c>
      <c r="D48" s="25" t="s">
        <v>39</v>
      </c>
      <c r="E48" s="25" t="s">
        <v>40</v>
      </c>
      <c r="F48" s="25" t="s">
        <v>41</v>
      </c>
      <c r="G48" s="25" t="s">
        <v>47</v>
      </c>
      <c r="H48" s="34">
        <v>45453</v>
      </c>
      <c r="I48" s="49">
        <v>87</v>
      </c>
      <c r="J48" s="49">
        <v>1200</v>
      </c>
      <c r="K48" s="50">
        <v>0.05</v>
      </c>
      <c r="L48" s="43" t="s">
        <v>36</v>
      </c>
      <c r="M48" s="51">
        <v>104400</v>
      </c>
      <c r="N48" s="51">
        <v>99180</v>
      </c>
      <c r="O48" s="43" t="s">
        <v>265</v>
      </c>
    </row>
    <row r="49" spans="1:15" x14ac:dyDescent="0.3">
      <c r="A49" s="20" t="s">
        <v>1075</v>
      </c>
      <c r="B49" s="20" t="s">
        <v>55</v>
      </c>
      <c r="C49" s="26" t="s">
        <v>249</v>
      </c>
      <c r="D49" s="26" t="s">
        <v>39</v>
      </c>
      <c r="E49" s="26" t="s">
        <v>51</v>
      </c>
      <c r="F49" s="26" t="s">
        <v>34</v>
      </c>
      <c r="G49" s="26" t="s">
        <v>42</v>
      </c>
      <c r="H49" s="35">
        <v>45464</v>
      </c>
      <c r="I49" s="52">
        <v>59</v>
      </c>
      <c r="J49" s="52">
        <v>650</v>
      </c>
      <c r="K49" s="53">
        <v>0.11</v>
      </c>
      <c r="L49" s="44" t="s">
        <v>36</v>
      </c>
      <c r="M49" s="54">
        <v>38350</v>
      </c>
      <c r="N49" s="54">
        <v>34131.5</v>
      </c>
      <c r="O49" s="44" t="s">
        <v>265</v>
      </c>
    </row>
    <row r="50" spans="1:15" x14ac:dyDescent="0.3">
      <c r="A50" s="19" t="s">
        <v>1076</v>
      </c>
      <c r="B50" s="19" t="s">
        <v>44</v>
      </c>
      <c r="C50" s="25" t="s">
        <v>254</v>
      </c>
      <c r="D50" s="25" t="s">
        <v>39</v>
      </c>
      <c r="E50" s="25" t="s">
        <v>51</v>
      </c>
      <c r="F50" s="25" t="s">
        <v>46</v>
      </c>
      <c r="G50" s="25" t="s">
        <v>35</v>
      </c>
      <c r="H50" s="34">
        <v>45453</v>
      </c>
      <c r="I50" s="49">
        <v>175</v>
      </c>
      <c r="J50" s="49">
        <v>200</v>
      </c>
      <c r="K50" s="50">
        <v>0.03</v>
      </c>
      <c r="L50" s="43" t="s">
        <v>36</v>
      </c>
      <c r="M50" s="51">
        <v>35000</v>
      </c>
      <c r="N50" s="51">
        <v>33950</v>
      </c>
      <c r="O50" s="43" t="s">
        <v>265</v>
      </c>
    </row>
    <row r="51" spans="1:15" x14ac:dyDescent="0.3">
      <c r="A51" s="20" t="s">
        <v>1077</v>
      </c>
      <c r="B51" s="20" t="s">
        <v>32</v>
      </c>
      <c r="C51" s="26" t="s">
        <v>246</v>
      </c>
      <c r="D51" s="26" t="s">
        <v>26</v>
      </c>
      <c r="E51" s="26" t="s">
        <v>33</v>
      </c>
      <c r="F51" s="26" t="s">
        <v>34</v>
      </c>
      <c r="G51" s="26" t="s">
        <v>53</v>
      </c>
      <c r="H51" s="35">
        <v>45471</v>
      </c>
      <c r="I51" s="52">
        <v>117</v>
      </c>
      <c r="J51" s="52">
        <v>420</v>
      </c>
      <c r="K51" s="53">
        <v>0.03</v>
      </c>
      <c r="L51" s="44" t="s">
        <v>30</v>
      </c>
      <c r="M51" s="54">
        <v>49140</v>
      </c>
      <c r="N51" s="54">
        <v>47665.8</v>
      </c>
      <c r="O51" s="44" t="s">
        <v>265</v>
      </c>
    </row>
    <row r="52" spans="1:15" x14ac:dyDescent="0.3">
      <c r="A52" s="19" t="s">
        <v>1078</v>
      </c>
      <c r="B52" s="19" t="s">
        <v>49</v>
      </c>
      <c r="C52" s="25" t="s">
        <v>251</v>
      </c>
      <c r="D52" s="25" t="s">
        <v>50</v>
      </c>
      <c r="E52" s="25" t="s">
        <v>45</v>
      </c>
      <c r="F52" s="25" t="s">
        <v>52</v>
      </c>
      <c r="G52" s="25" t="s">
        <v>47</v>
      </c>
      <c r="H52" s="34">
        <v>45453</v>
      </c>
      <c r="I52" s="49">
        <v>39</v>
      </c>
      <c r="J52" s="49">
        <v>895</v>
      </c>
      <c r="K52" s="50">
        <v>0.15</v>
      </c>
      <c r="L52" s="43" t="s">
        <v>36</v>
      </c>
      <c r="M52" s="51">
        <v>34905</v>
      </c>
      <c r="N52" s="51">
        <v>29669.25</v>
      </c>
      <c r="O52" s="43" t="s">
        <v>265</v>
      </c>
    </row>
    <row r="53" spans="1:15" x14ac:dyDescent="0.3">
      <c r="A53" s="20" t="s">
        <v>1079</v>
      </c>
      <c r="B53" s="20" t="s">
        <v>55</v>
      </c>
      <c r="C53" s="26" t="s">
        <v>249</v>
      </c>
      <c r="D53" s="26" t="s">
        <v>39</v>
      </c>
      <c r="E53" s="26" t="s">
        <v>27</v>
      </c>
      <c r="F53" s="26" t="s">
        <v>34</v>
      </c>
      <c r="G53" s="26" t="s">
        <v>42</v>
      </c>
      <c r="H53" s="35">
        <v>45450</v>
      </c>
      <c r="I53" s="52">
        <v>179</v>
      </c>
      <c r="J53" s="52">
        <v>650</v>
      </c>
      <c r="K53" s="53">
        <v>0.14000000000000001</v>
      </c>
      <c r="L53" s="44" t="s">
        <v>30</v>
      </c>
      <c r="M53" s="54">
        <v>116350</v>
      </c>
      <c r="N53" s="54">
        <v>100061</v>
      </c>
      <c r="O53" s="44" t="s">
        <v>267</v>
      </c>
    </row>
    <row r="54" spans="1:15" x14ac:dyDescent="0.3">
      <c r="A54" s="19" t="s">
        <v>1080</v>
      </c>
      <c r="B54" s="19" t="s">
        <v>55</v>
      </c>
      <c r="C54" s="25" t="s">
        <v>249</v>
      </c>
      <c r="D54" s="25" t="s">
        <v>39</v>
      </c>
      <c r="E54" s="25" t="s">
        <v>40</v>
      </c>
      <c r="F54" s="25" t="s">
        <v>34</v>
      </c>
      <c r="G54" s="25" t="s">
        <v>42</v>
      </c>
      <c r="H54" s="34">
        <v>45462</v>
      </c>
      <c r="I54" s="49">
        <v>131</v>
      </c>
      <c r="J54" s="49">
        <v>650</v>
      </c>
      <c r="K54" s="50">
        <v>0.12</v>
      </c>
      <c r="L54" s="43" t="s">
        <v>30</v>
      </c>
      <c r="M54" s="51">
        <v>85150</v>
      </c>
      <c r="N54" s="51">
        <v>74932</v>
      </c>
      <c r="O54" s="43" t="s">
        <v>265</v>
      </c>
    </row>
    <row r="55" spans="1:15" x14ac:dyDescent="0.3">
      <c r="A55" s="20" t="s">
        <v>1081</v>
      </c>
      <c r="B55" s="20" t="s">
        <v>63</v>
      </c>
      <c r="C55" s="26" t="s">
        <v>253</v>
      </c>
      <c r="D55" s="26" t="s">
        <v>50</v>
      </c>
      <c r="E55" s="26" t="s">
        <v>33</v>
      </c>
      <c r="F55" s="26" t="s">
        <v>52</v>
      </c>
      <c r="G55" s="26" t="s">
        <v>53</v>
      </c>
      <c r="H55" s="35">
        <v>45470</v>
      </c>
      <c r="I55" s="52">
        <v>75</v>
      </c>
      <c r="J55" s="52">
        <v>750</v>
      </c>
      <c r="K55" s="53">
        <v>0.08</v>
      </c>
      <c r="L55" s="44" t="s">
        <v>36</v>
      </c>
      <c r="M55" s="54">
        <v>56250</v>
      </c>
      <c r="N55" s="54">
        <v>51750</v>
      </c>
      <c r="O55" s="44" t="s">
        <v>265</v>
      </c>
    </row>
    <row r="56" spans="1:15" x14ac:dyDescent="0.3">
      <c r="A56" s="19" t="s">
        <v>1082</v>
      </c>
      <c r="B56" s="19" t="s">
        <v>44</v>
      </c>
      <c r="C56" s="25" t="s">
        <v>254</v>
      </c>
      <c r="D56" s="25" t="s">
        <v>39</v>
      </c>
      <c r="E56" s="25" t="s">
        <v>40</v>
      </c>
      <c r="F56" s="25" t="s">
        <v>41</v>
      </c>
      <c r="G56" s="25" t="s">
        <v>47</v>
      </c>
      <c r="H56" s="34">
        <v>45458</v>
      </c>
      <c r="I56" s="49">
        <v>187</v>
      </c>
      <c r="J56" s="49">
        <v>200</v>
      </c>
      <c r="K56" s="50">
        <v>0</v>
      </c>
      <c r="L56" s="43" t="s">
        <v>36</v>
      </c>
      <c r="M56" s="51">
        <v>37400</v>
      </c>
      <c r="N56" s="51">
        <v>37400</v>
      </c>
      <c r="O56" s="43" t="s">
        <v>265</v>
      </c>
    </row>
    <row r="57" spans="1:15" x14ac:dyDescent="0.3">
      <c r="A57" s="20" t="s">
        <v>1083</v>
      </c>
      <c r="B57" s="20" t="s">
        <v>49</v>
      </c>
      <c r="C57" s="26" t="s">
        <v>251</v>
      </c>
      <c r="D57" s="26" t="s">
        <v>50</v>
      </c>
      <c r="E57" s="26" t="s">
        <v>27</v>
      </c>
      <c r="F57" s="26" t="s">
        <v>52</v>
      </c>
      <c r="G57" s="26" t="s">
        <v>47</v>
      </c>
      <c r="H57" s="35">
        <v>45447</v>
      </c>
      <c r="I57" s="52">
        <v>39</v>
      </c>
      <c r="J57" s="52">
        <v>895</v>
      </c>
      <c r="K57" s="53">
        <v>0</v>
      </c>
      <c r="L57" s="44" t="s">
        <v>30</v>
      </c>
      <c r="M57" s="54">
        <v>34905</v>
      </c>
      <c r="N57" s="54">
        <v>34905</v>
      </c>
      <c r="O57" s="44" t="s">
        <v>265</v>
      </c>
    </row>
    <row r="58" spans="1:15" x14ac:dyDescent="0.3">
      <c r="A58" s="19" t="s">
        <v>1084</v>
      </c>
      <c r="B58" s="19" t="s">
        <v>38</v>
      </c>
      <c r="C58" s="25" t="s">
        <v>247</v>
      </c>
      <c r="D58" s="25" t="s">
        <v>39</v>
      </c>
      <c r="E58" s="25" t="s">
        <v>33</v>
      </c>
      <c r="F58" s="25" t="s">
        <v>46</v>
      </c>
      <c r="G58" s="25" t="s">
        <v>53</v>
      </c>
      <c r="H58" s="34">
        <v>45469</v>
      </c>
      <c r="I58" s="49">
        <v>53</v>
      </c>
      <c r="J58" s="49">
        <v>1200</v>
      </c>
      <c r="K58" s="50">
        <v>0.12</v>
      </c>
      <c r="L58" s="43" t="s">
        <v>36</v>
      </c>
      <c r="M58" s="51">
        <v>63600</v>
      </c>
      <c r="N58" s="51">
        <v>55968</v>
      </c>
      <c r="O58" s="43" t="s">
        <v>265</v>
      </c>
    </row>
    <row r="59" spans="1:15" x14ac:dyDescent="0.3">
      <c r="A59" s="20" t="s">
        <v>1085</v>
      </c>
      <c r="B59" s="20" t="s">
        <v>61</v>
      </c>
      <c r="C59" s="26" t="s">
        <v>244</v>
      </c>
      <c r="D59" s="26" t="s">
        <v>26</v>
      </c>
      <c r="E59" s="26" t="s">
        <v>33</v>
      </c>
      <c r="F59" s="26" t="s">
        <v>28</v>
      </c>
      <c r="G59" s="26" t="s">
        <v>42</v>
      </c>
      <c r="H59" s="35">
        <v>45467</v>
      </c>
      <c r="I59" s="52">
        <v>128</v>
      </c>
      <c r="J59" s="52">
        <v>280</v>
      </c>
      <c r="K59" s="53">
        <v>0.05</v>
      </c>
      <c r="L59" s="44" t="s">
        <v>30</v>
      </c>
      <c r="M59" s="54">
        <v>35840</v>
      </c>
      <c r="N59" s="54">
        <v>34048</v>
      </c>
      <c r="O59" s="44" t="s">
        <v>265</v>
      </c>
    </row>
    <row r="60" spans="1:15" x14ac:dyDescent="0.3">
      <c r="A60" s="19" t="s">
        <v>1086</v>
      </c>
      <c r="B60" s="19" t="s">
        <v>32</v>
      </c>
      <c r="C60" s="25" t="s">
        <v>246</v>
      </c>
      <c r="D60" s="25" t="s">
        <v>26</v>
      </c>
      <c r="E60" s="25" t="s">
        <v>27</v>
      </c>
      <c r="F60" s="25" t="s">
        <v>34</v>
      </c>
      <c r="G60" s="25" t="s">
        <v>35</v>
      </c>
      <c r="H60" s="34">
        <v>45462</v>
      </c>
      <c r="I60" s="49">
        <v>174</v>
      </c>
      <c r="J60" s="49">
        <v>420</v>
      </c>
      <c r="K60" s="50">
        <v>7.0000000000000007E-2</v>
      </c>
      <c r="L60" s="43" t="s">
        <v>36</v>
      </c>
      <c r="M60" s="51">
        <v>73080</v>
      </c>
      <c r="N60" s="51">
        <v>67964.399999999994</v>
      </c>
      <c r="O60" s="43" t="s">
        <v>265</v>
      </c>
    </row>
    <row r="61" spans="1:15" x14ac:dyDescent="0.3">
      <c r="A61" s="20" t="s">
        <v>1087</v>
      </c>
      <c r="B61" s="20" t="s">
        <v>63</v>
      </c>
      <c r="C61" s="26" t="s">
        <v>253</v>
      </c>
      <c r="D61" s="26" t="s">
        <v>50</v>
      </c>
      <c r="E61" s="26" t="s">
        <v>33</v>
      </c>
      <c r="F61" s="26" t="s">
        <v>28</v>
      </c>
      <c r="G61" s="26" t="s">
        <v>29</v>
      </c>
      <c r="H61" s="35">
        <v>45468</v>
      </c>
      <c r="I61" s="52">
        <v>128</v>
      </c>
      <c r="J61" s="52">
        <v>750</v>
      </c>
      <c r="K61" s="53">
        <v>0.11</v>
      </c>
      <c r="L61" s="44" t="s">
        <v>30</v>
      </c>
      <c r="M61" s="54">
        <v>96000</v>
      </c>
      <c r="N61" s="54">
        <v>85440</v>
      </c>
      <c r="O61" s="44" t="s">
        <v>265</v>
      </c>
    </row>
    <row r="62" spans="1:15" x14ac:dyDescent="0.3">
      <c r="A62" s="19" t="s">
        <v>1088</v>
      </c>
      <c r="B62" s="19" t="s">
        <v>49</v>
      </c>
      <c r="C62" s="25" t="s">
        <v>251</v>
      </c>
      <c r="D62" s="25" t="s">
        <v>50</v>
      </c>
      <c r="E62" s="25" t="s">
        <v>27</v>
      </c>
      <c r="F62" s="25" t="s">
        <v>41</v>
      </c>
      <c r="G62" s="25" t="s">
        <v>35</v>
      </c>
      <c r="H62" s="34">
        <v>45469</v>
      </c>
      <c r="I62" s="49">
        <v>117</v>
      </c>
      <c r="J62" s="49">
        <v>895</v>
      </c>
      <c r="K62" s="50">
        <v>7.0000000000000007E-2</v>
      </c>
      <c r="L62" s="43" t="s">
        <v>30</v>
      </c>
      <c r="M62" s="51">
        <v>104715</v>
      </c>
      <c r="N62" s="51">
        <v>97384.95</v>
      </c>
      <c r="O62" s="43" t="s">
        <v>265</v>
      </c>
    </row>
    <row r="63" spans="1:15" x14ac:dyDescent="0.3">
      <c r="A63" s="20" t="s">
        <v>1089</v>
      </c>
      <c r="B63" s="20" t="s">
        <v>55</v>
      </c>
      <c r="C63" s="26" t="s">
        <v>249</v>
      </c>
      <c r="D63" s="26" t="s">
        <v>39</v>
      </c>
      <c r="E63" s="26" t="s">
        <v>33</v>
      </c>
      <c r="F63" s="26" t="s">
        <v>28</v>
      </c>
      <c r="G63" s="26" t="s">
        <v>53</v>
      </c>
      <c r="H63" s="35">
        <v>45472</v>
      </c>
      <c r="I63" s="52">
        <v>159</v>
      </c>
      <c r="J63" s="52">
        <v>650</v>
      </c>
      <c r="K63" s="53">
        <v>0</v>
      </c>
      <c r="L63" s="44" t="s">
        <v>36</v>
      </c>
      <c r="M63" s="54">
        <v>103350</v>
      </c>
      <c r="N63" s="54">
        <v>103350</v>
      </c>
      <c r="O63" s="44" t="s">
        <v>267</v>
      </c>
    </row>
    <row r="64" spans="1:15" x14ac:dyDescent="0.3">
      <c r="A64" s="19" t="s">
        <v>1090</v>
      </c>
      <c r="B64" s="19" t="s">
        <v>49</v>
      </c>
      <c r="C64" s="25" t="s">
        <v>251</v>
      </c>
      <c r="D64" s="25" t="s">
        <v>50</v>
      </c>
      <c r="E64" s="25" t="s">
        <v>40</v>
      </c>
      <c r="F64" s="25" t="s">
        <v>52</v>
      </c>
      <c r="G64" s="25" t="s">
        <v>29</v>
      </c>
      <c r="H64" s="34">
        <v>45463</v>
      </c>
      <c r="I64" s="49">
        <v>94</v>
      </c>
      <c r="J64" s="49">
        <v>895</v>
      </c>
      <c r="K64" s="50">
        <v>0.1</v>
      </c>
      <c r="L64" s="43" t="s">
        <v>36</v>
      </c>
      <c r="M64" s="51">
        <v>84130</v>
      </c>
      <c r="N64" s="51">
        <v>75717</v>
      </c>
      <c r="O64" s="43" t="s">
        <v>265</v>
      </c>
    </row>
    <row r="65" spans="1:15" x14ac:dyDescent="0.3">
      <c r="A65" s="20" t="s">
        <v>1091</v>
      </c>
      <c r="B65" s="20" t="s">
        <v>61</v>
      </c>
      <c r="C65" s="26" t="s">
        <v>244</v>
      </c>
      <c r="D65" s="26" t="s">
        <v>26</v>
      </c>
      <c r="E65" s="26" t="s">
        <v>27</v>
      </c>
      <c r="F65" s="26" t="s">
        <v>52</v>
      </c>
      <c r="G65" s="26" t="s">
        <v>47</v>
      </c>
      <c r="H65" s="35">
        <v>45466</v>
      </c>
      <c r="I65" s="52">
        <v>136</v>
      </c>
      <c r="J65" s="52">
        <v>280</v>
      </c>
      <c r="K65" s="53">
        <v>0.03</v>
      </c>
      <c r="L65" s="44" t="s">
        <v>36</v>
      </c>
      <c r="M65" s="54">
        <v>38080</v>
      </c>
      <c r="N65" s="54">
        <v>36937.599999999999</v>
      </c>
      <c r="O65" s="44" t="s">
        <v>265</v>
      </c>
    </row>
    <row r="66" spans="1:15" x14ac:dyDescent="0.3">
      <c r="A66" s="19" t="s">
        <v>1092</v>
      </c>
      <c r="B66" s="19" t="s">
        <v>44</v>
      </c>
      <c r="C66" s="25" t="s">
        <v>254</v>
      </c>
      <c r="D66" s="25" t="s">
        <v>39</v>
      </c>
      <c r="E66" s="25" t="s">
        <v>27</v>
      </c>
      <c r="F66" s="25" t="s">
        <v>34</v>
      </c>
      <c r="G66" s="25" t="s">
        <v>56</v>
      </c>
      <c r="H66" s="34">
        <v>45454</v>
      </c>
      <c r="I66" s="49">
        <v>84</v>
      </c>
      <c r="J66" s="49">
        <v>200</v>
      </c>
      <c r="K66" s="50">
        <v>0.12</v>
      </c>
      <c r="L66" s="43" t="s">
        <v>36</v>
      </c>
      <c r="M66" s="51">
        <v>16800</v>
      </c>
      <c r="N66" s="51">
        <v>14784</v>
      </c>
      <c r="O66" s="43" t="s">
        <v>265</v>
      </c>
    </row>
    <row r="67" spans="1:15" x14ac:dyDescent="0.3">
      <c r="A67" s="20" t="s">
        <v>1093</v>
      </c>
      <c r="B67" s="20" t="s">
        <v>38</v>
      </c>
      <c r="C67" s="26" t="s">
        <v>247</v>
      </c>
      <c r="D67" s="26" t="s">
        <v>39</v>
      </c>
      <c r="E67" s="26" t="s">
        <v>33</v>
      </c>
      <c r="F67" s="26" t="s">
        <v>28</v>
      </c>
      <c r="G67" s="26" t="s">
        <v>56</v>
      </c>
      <c r="H67" s="35">
        <v>45448</v>
      </c>
      <c r="I67" s="52">
        <v>120</v>
      </c>
      <c r="J67" s="52">
        <v>1200</v>
      </c>
      <c r="K67" s="53">
        <v>0.11</v>
      </c>
      <c r="L67" s="44" t="s">
        <v>30</v>
      </c>
      <c r="M67" s="54">
        <v>144000</v>
      </c>
      <c r="N67" s="54">
        <v>128160</v>
      </c>
      <c r="O67" s="44" t="s">
        <v>267</v>
      </c>
    </row>
    <row r="68" spans="1:15" x14ac:dyDescent="0.3">
      <c r="A68" s="19" t="s">
        <v>1094</v>
      </c>
      <c r="B68" s="19" t="s">
        <v>16</v>
      </c>
      <c r="C68" s="25" t="s">
        <v>250</v>
      </c>
      <c r="D68" s="25" t="s">
        <v>39</v>
      </c>
      <c r="E68" s="25" t="s">
        <v>40</v>
      </c>
      <c r="F68" s="25" t="s">
        <v>46</v>
      </c>
      <c r="G68" s="25" t="s">
        <v>29</v>
      </c>
      <c r="H68" s="34">
        <v>45466</v>
      </c>
      <c r="I68" s="49">
        <v>30</v>
      </c>
      <c r="J68" s="49">
        <v>990</v>
      </c>
      <c r="K68" s="50">
        <v>0</v>
      </c>
      <c r="L68" s="43" t="s">
        <v>30</v>
      </c>
      <c r="M68" s="51">
        <v>29700</v>
      </c>
      <c r="N68" s="51">
        <v>29700</v>
      </c>
      <c r="O68" s="43" t="s">
        <v>265</v>
      </c>
    </row>
    <row r="69" spans="1:15" x14ac:dyDescent="0.3">
      <c r="A69" s="20" t="s">
        <v>1095</v>
      </c>
      <c r="B69" s="20" t="s">
        <v>63</v>
      </c>
      <c r="C69" s="26" t="s">
        <v>253</v>
      </c>
      <c r="D69" s="26" t="s">
        <v>50</v>
      </c>
      <c r="E69" s="26" t="s">
        <v>33</v>
      </c>
      <c r="F69" s="26" t="s">
        <v>41</v>
      </c>
      <c r="G69" s="26" t="s">
        <v>42</v>
      </c>
      <c r="H69" s="35">
        <v>45462</v>
      </c>
      <c r="I69" s="52">
        <v>42</v>
      </c>
      <c r="J69" s="52">
        <v>750</v>
      </c>
      <c r="K69" s="53">
        <v>0.1</v>
      </c>
      <c r="L69" s="44" t="s">
        <v>36</v>
      </c>
      <c r="M69" s="54">
        <v>31500</v>
      </c>
      <c r="N69" s="54">
        <v>28350</v>
      </c>
      <c r="O69" s="44" t="s">
        <v>265</v>
      </c>
    </row>
    <row r="70" spans="1:15" x14ac:dyDescent="0.3">
      <c r="A70" s="19" t="s">
        <v>1096</v>
      </c>
      <c r="B70" s="19" t="s">
        <v>32</v>
      </c>
      <c r="C70" s="25" t="s">
        <v>246</v>
      </c>
      <c r="D70" s="25" t="s">
        <v>26</v>
      </c>
      <c r="E70" s="25" t="s">
        <v>40</v>
      </c>
      <c r="F70" s="25" t="s">
        <v>52</v>
      </c>
      <c r="G70" s="25" t="s">
        <v>56</v>
      </c>
      <c r="H70" s="34">
        <v>45451</v>
      </c>
      <c r="I70" s="49">
        <v>157</v>
      </c>
      <c r="J70" s="49">
        <v>420</v>
      </c>
      <c r="K70" s="50">
        <v>7.0000000000000007E-2</v>
      </c>
      <c r="L70" s="43" t="s">
        <v>36</v>
      </c>
      <c r="M70" s="51">
        <v>65940</v>
      </c>
      <c r="N70" s="51">
        <v>61324.2</v>
      </c>
      <c r="O70" s="43" t="s">
        <v>265</v>
      </c>
    </row>
    <row r="71" spans="1:15" x14ac:dyDescent="0.3">
      <c r="A71" s="20" t="s">
        <v>1097</v>
      </c>
      <c r="B71" s="20" t="s">
        <v>25</v>
      </c>
      <c r="C71" s="26" t="s">
        <v>257</v>
      </c>
      <c r="D71" s="26" t="s">
        <v>26</v>
      </c>
      <c r="E71" s="26" t="s">
        <v>27</v>
      </c>
      <c r="F71" s="26" t="s">
        <v>28</v>
      </c>
      <c r="G71" s="26" t="s">
        <v>56</v>
      </c>
      <c r="H71" s="35">
        <v>45451</v>
      </c>
      <c r="I71" s="52">
        <v>180</v>
      </c>
      <c r="J71" s="52">
        <v>350</v>
      </c>
      <c r="K71" s="53">
        <v>0</v>
      </c>
      <c r="L71" s="44" t="s">
        <v>36</v>
      </c>
      <c r="M71" s="54">
        <v>63000</v>
      </c>
      <c r="N71" s="54">
        <v>63000</v>
      </c>
      <c r="O71" s="44" t="s">
        <v>265</v>
      </c>
    </row>
    <row r="72" spans="1:15" x14ac:dyDescent="0.3">
      <c r="A72" s="19" t="s">
        <v>1098</v>
      </c>
      <c r="B72" s="19" t="s">
        <v>44</v>
      </c>
      <c r="C72" s="25" t="s">
        <v>254</v>
      </c>
      <c r="D72" s="25" t="s">
        <v>39</v>
      </c>
      <c r="E72" s="25" t="s">
        <v>27</v>
      </c>
      <c r="F72" s="25" t="s">
        <v>28</v>
      </c>
      <c r="G72" s="25" t="s">
        <v>56</v>
      </c>
      <c r="H72" s="34">
        <v>45473</v>
      </c>
      <c r="I72" s="49">
        <v>119</v>
      </c>
      <c r="J72" s="49">
        <v>200</v>
      </c>
      <c r="K72" s="50">
        <v>0</v>
      </c>
      <c r="L72" s="43" t="s">
        <v>36</v>
      </c>
      <c r="M72" s="51">
        <v>23800</v>
      </c>
      <c r="N72" s="51">
        <v>23800</v>
      </c>
      <c r="O72" s="43" t="s">
        <v>265</v>
      </c>
    </row>
    <row r="73" spans="1:15" x14ac:dyDescent="0.3">
      <c r="A73" s="20" t="s">
        <v>1099</v>
      </c>
      <c r="B73" s="20" t="s">
        <v>32</v>
      </c>
      <c r="C73" s="26" t="s">
        <v>246</v>
      </c>
      <c r="D73" s="26" t="s">
        <v>26</v>
      </c>
      <c r="E73" s="26" t="s">
        <v>33</v>
      </c>
      <c r="F73" s="26" t="s">
        <v>41</v>
      </c>
      <c r="G73" s="26" t="s">
        <v>35</v>
      </c>
      <c r="H73" s="35">
        <v>45463</v>
      </c>
      <c r="I73" s="52">
        <v>199</v>
      </c>
      <c r="J73" s="52">
        <v>420</v>
      </c>
      <c r="K73" s="53">
        <v>0</v>
      </c>
      <c r="L73" s="44" t="s">
        <v>36</v>
      </c>
      <c r="M73" s="54">
        <v>83580</v>
      </c>
      <c r="N73" s="54">
        <v>83580</v>
      </c>
      <c r="O73" s="44" t="s">
        <v>265</v>
      </c>
    </row>
    <row r="74" spans="1:15" x14ac:dyDescent="0.3">
      <c r="A74" s="19" t="s">
        <v>1100</v>
      </c>
      <c r="B74" s="19" t="s">
        <v>55</v>
      </c>
      <c r="C74" s="25" t="s">
        <v>249</v>
      </c>
      <c r="D74" s="25" t="s">
        <v>39</v>
      </c>
      <c r="E74" s="25" t="s">
        <v>27</v>
      </c>
      <c r="F74" s="25" t="s">
        <v>41</v>
      </c>
      <c r="G74" s="25" t="s">
        <v>29</v>
      </c>
      <c r="H74" s="34">
        <v>45453</v>
      </c>
      <c r="I74" s="49">
        <v>135</v>
      </c>
      <c r="J74" s="49">
        <v>650</v>
      </c>
      <c r="K74" s="50">
        <v>0</v>
      </c>
      <c r="L74" s="43" t="s">
        <v>36</v>
      </c>
      <c r="M74" s="51">
        <v>87750</v>
      </c>
      <c r="N74" s="51">
        <v>87750</v>
      </c>
      <c r="O74" s="43" t="s">
        <v>265</v>
      </c>
    </row>
    <row r="75" spans="1:15" x14ac:dyDescent="0.3">
      <c r="A75" s="20" t="s">
        <v>1101</v>
      </c>
      <c r="B75" s="20" t="s">
        <v>25</v>
      </c>
      <c r="C75" s="26" t="s">
        <v>257</v>
      </c>
      <c r="D75" s="26" t="s">
        <v>26</v>
      </c>
      <c r="E75" s="26" t="s">
        <v>51</v>
      </c>
      <c r="F75" s="26" t="s">
        <v>46</v>
      </c>
      <c r="G75" s="26" t="s">
        <v>47</v>
      </c>
      <c r="H75" s="35">
        <v>45466</v>
      </c>
      <c r="I75" s="52">
        <v>104</v>
      </c>
      <c r="J75" s="52">
        <v>350</v>
      </c>
      <c r="K75" s="53">
        <v>0.03</v>
      </c>
      <c r="L75" s="44" t="s">
        <v>36</v>
      </c>
      <c r="M75" s="54">
        <v>36400</v>
      </c>
      <c r="N75" s="54">
        <v>35308</v>
      </c>
      <c r="O75" s="44" t="s">
        <v>265</v>
      </c>
    </row>
    <row r="76" spans="1:15" x14ac:dyDescent="0.3">
      <c r="A76" s="19" t="s">
        <v>1102</v>
      </c>
      <c r="B76" s="19" t="s">
        <v>38</v>
      </c>
      <c r="C76" s="25" t="s">
        <v>247</v>
      </c>
      <c r="D76" s="25" t="s">
        <v>39</v>
      </c>
      <c r="E76" s="25" t="s">
        <v>27</v>
      </c>
      <c r="F76" s="25" t="s">
        <v>34</v>
      </c>
      <c r="G76" s="25" t="s">
        <v>42</v>
      </c>
      <c r="H76" s="34">
        <v>45459</v>
      </c>
      <c r="I76" s="49">
        <v>46</v>
      </c>
      <c r="J76" s="49">
        <v>1200</v>
      </c>
      <c r="K76" s="50">
        <v>0.13</v>
      </c>
      <c r="L76" s="43" t="s">
        <v>36</v>
      </c>
      <c r="M76" s="51">
        <v>55200</v>
      </c>
      <c r="N76" s="51">
        <v>48024</v>
      </c>
      <c r="O76" s="43" t="s">
        <v>265</v>
      </c>
    </row>
    <row r="77" spans="1:15" x14ac:dyDescent="0.3">
      <c r="A77" s="20" t="s">
        <v>1103</v>
      </c>
      <c r="B77" s="20" t="s">
        <v>25</v>
      </c>
      <c r="C77" s="26" t="s">
        <v>257</v>
      </c>
      <c r="D77" s="26" t="s">
        <v>26</v>
      </c>
      <c r="E77" s="26" t="s">
        <v>51</v>
      </c>
      <c r="F77" s="26" t="s">
        <v>41</v>
      </c>
      <c r="G77" s="26" t="s">
        <v>56</v>
      </c>
      <c r="H77" s="35">
        <v>45465</v>
      </c>
      <c r="I77" s="52">
        <v>151</v>
      </c>
      <c r="J77" s="52">
        <v>350</v>
      </c>
      <c r="K77" s="53">
        <v>0.1</v>
      </c>
      <c r="L77" s="44" t="s">
        <v>30</v>
      </c>
      <c r="M77" s="54">
        <v>52850</v>
      </c>
      <c r="N77" s="54">
        <v>47565</v>
      </c>
      <c r="O77" s="44" t="s">
        <v>265</v>
      </c>
    </row>
    <row r="78" spans="1:15" x14ac:dyDescent="0.3">
      <c r="A78" s="19" t="s">
        <v>1104</v>
      </c>
      <c r="B78" s="19" t="s">
        <v>38</v>
      </c>
      <c r="C78" s="25" t="s">
        <v>247</v>
      </c>
      <c r="D78" s="25" t="s">
        <v>39</v>
      </c>
      <c r="E78" s="25" t="s">
        <v>40</v>
      </c>
      <c r="F78" s="25" t="s">
        <v>52</v>
      </c>
      <c r="G78" s="25" t="s">
        <v>53</v>
      </c>
      <c r="H78" s="34">
        <v>45469</v>
      </c>
      <c r="I78" s="49">
        <v>117</v>
      </c>
      <c r="J78" s="49">
        <v>1200</v>
      </c>
      <c r="K78" s="50">
        <v>0.14000000000000001</v>
      </c>
      <c r="L78" s="43" t="s">
        <v>36</v>
      </c>
      <c r="M78" s="51">
        <v>140400</v>
      </c>
      <c r="N78" s="51">
        <v>120744</v>
      </c>
      <c r="O78" s="43" t="s">
        <v>267</v>
      </c>
    </row>
    <row r="79" spans="1:15" x14ac:dyDescent="0.3">
      <c r="A79" s="20" t="s">
        <v>1105</v>
      </c>
      <c r="B79" s="20" t="s">
        <v>25</v>
      </c>
      <c r="C79" s="26" t="s">
        <v>257</v>
      </c>
      <c r="D79" s="26" t="s">
        <v>26</v>
      </c>
      <c r="E79" s="26" t="s">
        <v>40</v>
      </c>
      <c r="F79" s="26" t="s">
        <v>28</v>
      </c>
      <c r="G79" s="26" t="s">
        <v>42</v>
      </c>
      <c r="H79" s="35">
        <v>45453</v>
      </c>
      <c r="I79" s="52">
        <v>88</v>
      </c>
      <c r="J79" s="52">
        <v>350</v>
      </c>
      <c r="K79" s="53">
        <v>0.05</v>
      </c>
      <c r="L79" s="44" t="s">
        <v>36</v>
      </c>
      <c r="M79" s="54">
        <v>30800</v>
      </c>
      <c r="N79" s="54">
        <v>29260</v>
      </c>
      <c r="O79" s="44" t="s">
        <v>265</v>
      </c>
    </row>
    <row r="80" spans="1:15" x14ac:dyDescent="0.3">
      <c r="A80" s="19" t="s">
        <v>1106</v>
      </c>
      <c r="B80" s="19" t="s">
        <v>38</v>
      </c>
      <c r="C80" s="25" t="s">
        <v>247</v>
      </c>
      <c r="D80" s="25" t="s">
        <v>39</v>
      </c>
      <c r="E80" s="25" t="s">
        <v>33</v>
      </c>
      <c r="F80" s="25" t="s">
        <v>28</v>
      </c>
      <c r="G80" s="25" t="s">
        <v>29</v>
      </c>
      <c r="H80" s="34">
        <v>45461</v>
      </c>
      <c r="I80" s="49">
        <v>129</v>
      </c>
      <c r="J80" s="49">
        <v>1200</v>
      </c>
      <c r="K80" s="50">
        <v>7.0000000000000007E-2</v>
      </c>
      <c r="L80" s="43" t="s">
        <v>30</v>
      </c>
      <c r="M80" s="51">
        <v>154800</v>
      </c>
      <c r="N80" s="51">
        <v>143964</v>
      </c>
      <c r="O80" s="43" t="s">
        <v>267</v>
      </c>
    </row>
    <row r="81" spans="1:15" x14ac:dyDescent="0.3">
      <c r="A81" s="20" t="s">
        <v>1107</v>
      </c>
      <c r="B81" s="20" t="s">
        <v>63</v>
      </c>
      <c r="C81" s="26" t="s">
        <v>253</v>
      </c>
      <c r="D81" s="26" t="s">
        <v>50</v>
      </c>
      <c r="E81" s="26" t="s">
        <v>27</v>
      </c>
      <c r="F81" s="26" t="s">
        <v>46</v>
      </c>
      <c r="G81" s="26" t="s">
        <v>29</v>
      </c>
      <c r="H81" s="35">
        <v>45447</v>
      </c>
      <c r="I81" s="52">
        <v>35</v>
      </c>
      <c r="J81" s="52">
        <v>750</v>
      </c>
      <c r="K81" s="53">
        <v>0</v>
      </c>
      <c r="L81" s="44" t="s">
        <v>36</v>
      </c>
      <c r="M81" s="54">
        <v>26250</v>
      </c>
      <c r="N81" s="54">
        <v>26250</v>
      </c>
      <c r="O81" s="44" t="s">
        <v>265</v>
      </c>
    </row>
    <row r="82" spans="1:15" x14ac:dyDescent="0.3">
      <c r="A82" s="19" t="s">
        <v>1108</v>
      </c>
      <c r="B82" s="19" t="s">
        <v>63</v>
      </c>
      <c r="C82" s="25" t="s">
        <v>253</v>
      </c>
      <c r="D82" s="25" t="s">
        <v>50</v>
      </c>
      <c r="E82" s="25" t="s">
        <v>27</v>
      </c>
      <c r="F82" s="25" t="s">
        <v>34</v>
      </c>
      <c r="G82" s="25" t="s">
        <v>42</v>
      </c>
      <c r="H82" s="34">
        <v>45445</v>
      </c>
      <c r="I82" s="49">
        <v>21</v>
      </c>
      <c r="J82" s="49">
        <v>750</v>
      </c>
      <c r="K82" s="50">
        <v>7.0000000000000007E-2</v>
      </c>
      <c r="L82" s="43" t="s">
        <v>36</v>
      </c>
      <c r="M82" s="51">
        <v>15750</v>
      </c>
      <c r="N82" s="51">
        <v>14647.5</v>
      </c>
      <c r="O82" s="43" t="s">
        <v>265</v>
      </c>
    </row>
    <row r="83" spans="1:15" x14ac:dyDescent="0.3">
      <c r="A83" s="20" t="s">
        <v>1109</v>
      </c>
      <c r="B83" s="20" t="s">
        <v>44</v>
      </c>
      <c r="C83" s="26" t="s">
        <v>254</v>
      </c>
      <c r="D83" s="26" t="s">
        <v>39</v>
      </c>
      <c r="E83" s="26" t="s">
        <v>27</v>
      </c>
      <c r="F83" s="26" t="s">
        <v>28</v>
      </c>
      <c r="G83" s="26" t="s">
        <v>35</v>
      </c>
      <c r="H83" s="35">
        <v>45471</v>
      </c>
      <c r="I83" s="52">
        <v>41</v>
      </c>
      <c r="J83" s="52">
        <v>200</v>
      </c>
      <c r="K83" s="53">
        <v>7.0000000000000007E-2</v>
      </c>
      <c r="L83" s="44" t="s">
        <v>36</v>
      </c>
      <c r="M83" s="54">
        <v>8200</v>
      </c>
      <c r="N83" s="54">
        <v>7626</v>
      </c>
      <c r="O83" s="44" t="s">
        <v>265</v>
      </c>
    </row>
    <row r="84" spans="1:15" x14ac:dyDescent="0.3">
      <c r="A84" s="19" t="s">
        <v>1110</v>
      </c>
      <c r="B84" s="19" t="s">
        <v>58</v>
      </c>
      <c r="C84" s="25" t="s">
        <v>255</v>
      </c>
      <c r="D84" s="25" t="s">
        <v>59</v>
      </c>
      <c r="E84" s="25" t="s">
        <v>51</v>
      </c>
      <c r="F84" s="25" t="s">
        <v>41</v>
      </c>
      <c r="G84" s="25" t="s">
        <v>47</v>
      </c>
      <c r="H84" s="34">
        <v>45471</v>
      </c>
      <c r="I84" s="49">
        <v>56</v>
      </c>
      <c r="J84" s="49">
        <v>2800</v>
      </c>
      <c r="K84" s="50">
        <v>0.13</v>
      </c>
      <c r="L84" s="43" t="s">
        <v>36</v>
      </c>
      <c r="M84" s="51">
        <v>156800</v>
      </c>
      <c r="N84" s="51">
        <v>136416</v>
      </c>
      <c r="O84" s="43" t="s">
        <v>267</v>
      </c>
    </row>
    <row r="85" spans="1:15" x14ac:dyDescent="0.3">
      <c r="A85" s="20" t="s">
        <v>1111</v>
      </c>
      <c r="B85" s="20" t="s">
        <v>38</v>
      </c>
      <c r="C85" s="26" t="s">
        <v>247</v>
      </c>
      <c r="D85" s="26" t="s">
        <v>39</v>
      </c>
      <c r="E85" s="26" t="s">
        <v>45</v>
      </c>
      <c r="F85" s="26" t="s">
        <v>41</v>
      </c>
      <c r="G85" s="26" t="s">
        <v>53</v>
      </c>
      <c r="H85" s="35">
        <v>45456</v>
      </c>
      <c r="I85" s="52">
        <v>27</v>
      </c>
      <c r="J85" s="52">
        <v>1200</v>
      </c>
      <c r="K85" s="53">
        <v>0.11</v>
      </c>
      <c r="L85" s="44" t="s">
        <v>30</v>
      </c>
      <c r="M85" s="54">
        <v>32400</v>
      </c>
      <c r="N85" s="54">
        <v>28836</v>
      </c>
      <c r="O85" s="44" t="s">
        <v>265</v>
      </c>
    </row>
    <row r="86" spans="1:15" x14ac:dyDescent="0.3">
      <c r="A86" s="19" t="s">
        <v>1112</v>
      </c>
      <c r="B86" s="19" t="s">
        <v>49</v>
      </c>
      <c r="C86" s="25" t="s">
        <v>251</v>
      </c>
      <c r="D86" s="25" t="s">
        <v>50</v>
      </c>
      <c r="E86" s="25" t="s">
        <v>51</v>
      </c>
      <c r="F86" s="25" t="s">
        <v>41</v>
      </c>
      <c r="G86" s="25" t="s">
        <v>47</v>
      </c>
      <c r="H86" s="34">
        <v>45451</v>
      </c>
      <c r="I86" s="49">
        <v>71</v>
      </c>
      <c r="J86" s="49">
        <v>895</v>
      </c>
      <c r="K86" s="50">
        <v>0.12</v>
      </c>
      <c r="L86" s="43" t="s">
        <v>30</v>
      </c>
      <c r="M86" s="51">
        <v>63545</v>
      </c>
      <c r="N86" s="51">
        <v>55919.6</v>
      </c>
      <c r="O86" s="43" t="s">
        <v>265</v>
      </c>
    </row>
    <row r="87" spans="1:15" x14ac:dyDescent="0.3">
      <c r="A87" s="20" t="s">
        <v>1113</v>
      </c>
      <c r="B87" s="20" t="s">
        <v>61</v>
      </c>
      <c r="C87" s="26" t="s">
        <v>244</v>
      </c>
      <c r="D87" s="26" t="s">
        <v>26</v>
      </c>
      <c r="E87" s="26" t="s">
        <v>45</v>
      </c>
      <c r="F87" s="26" t="s">
        <v>52</v>
      </c>
      <c r="G87" s="26" t="s">
        <v>53</v>
      </c>
      <c r="H87" s="35">
        <v>45457</v>
      </c>
      <c r="I87" s="52">
        <v>123</v>
      </c>
      <c r="J87" s="52">
        <v>280</v>
      </c>
      <c r="K87" s="53">
        <v>7.0000000000000007E-2</v>
      </c>
      <c r="L87" s="44" t="s">
        <v>30</v>
      </c>
      <c r="M87" s="54">
        <v>34440</v>
      </c>
      <c r="N87" s="54">
        <v>32029.200000000001</v>
      </c>
      <c r="O87" s="44" t="s">
        <v>265</v>
      </c>
    </row>
    <row r="88" spans="1:15" x14ac:dyDescent="0.3">
      <c r="A88" s="19" t="s">
        <v>1114</v>
      </c>
      <c r="B88" s="19" t="s">
        <v>63</v>
      </c>
      <c r="C88" s="25" t="s">
        <v>253</v>
      </c>
      <c r="D88" s="25" t="s">
        <v>50</v>
      </c>
      <c r="E88" s="25" t="s">
        <v>45</v>
      </c>
      <c r="F88" s="25" t="s">
        <v>46</v>
      </c>
      <c r="G88" s="25" t="s">
        <v>56</v>
      </c>
      <c r="H88" s="34">
        <v>45445</v>
      </c>
      <c r="I88" s="49">
        <v>71</v>
      </c>
      <c r="J88" s="49">
        <v>750</v>
      </c>
      <c r="K88" s="50">
        <v>0</v>
      </c>
      <c r="L88" s="43" t="s">
        <v>36</v>
      </c>
      <c r="M88" s="51">
        <v>53250</v>
      </c>
      <c r="N88" s="51">
        <v>53250</v>
      </c>
      <c r="O88" s="43" t="s">
        <v>265</v>
      </c>
    </row>
    <row r="89" spans="1:15" x14ac:dyDescent="0.3">
      <c r="A89" s="20" t="s">
        <v>1115</v>
      </c>
      <c r="B89" s="20" t="s">
        <v>38</v>
      </c>
      <c r="C89" s="26" t="s">
        <v>247</v>
      </c>
      <c r="D89" s="26" t="s">
        <v>39</v>
      </c>
      <c r="E89" s="26" t="s">
        <v>40</v>
      </c>
      <c r="F89" s="26" t="s">
        <v>41</v>
      </c>
      <c r="G89" s="26" t="s">
        <v>53</v>
      </c>
      <c r="H89" s="35">
        <v>45452</v>
      </c>
      <c r="I89" s="52">
        <v>127</v>
      </c>
      <c r="J89" s="52">
        <v>1200</v>
      </c>
      <c r="K89" s="53">
        <v>0.05</v>
      </c>
      <c r="L89" s="44" t="s">
        <v>30</v>
      </c>
      <c r="M89" s="54">
        <v>152400</v>
      </c>
      <c r="N89" s="54">
        <v>144780</v>
      </c>
      <c r="O89" s="44" t="s">
        <v>267</v>
      </c>
    </row>
    <row r="90" spans="1:15" x14ac:dyDescent="0.3">
      <c r="A90" s="19" t="s">
        <v>1116</v>
      </c>
      <c r="B90" s="19" t="s">
        <v>58</v>
      </c>
      <c r="C90" s="25" t="s">
        <v>255</v>
      </c>
      <c r="D90" s="25" t="s">
        <v>59</v>
      </c>
      <c r="E90" s="25" t="s">
        <v>33</v>
      </c>
      <c r="F90" s="25" t="s">
        <v>46</v>
      </c>
      <c r="G90" s="25" t="s">
        <v>47</v>
      </c>
      <c r="H90" s="34">
        <v>45462</v>
      </c>
      <c r="I90" s="49">
        <v>34</v>
      </c>
      <c r="J90" s="49">
        <v>2800</v>
      </c>
      <c r="K90" s="50">
        <v>0</v>
      </c>
      <c r="L90" s="43" t="s">
        <v>30</v>
      </c>
      <c r="M90" s="51">
        <v>95200</v>
      </c>
      <c r="N90" s="51">
        <v>95200</v>
      </c>
      <c r="O90" s="43" t="s">
        <v>265</v>
      </c>
    </row>
    <row r="91" spans="1:15" x14ac:dyDescent="0.3">
      <c r="A91" s="20" t="s">
        <v>1117</v>
      </c>
      <c r="B91" s="20" t="s">
        <v>63</v>
      </c>
      <c r="C91" s="26" t="s">
        <v>253</v>
      </c>
      <c r="D91" s="26" t="s">
        <v>50</v>
      </c>
      <c r="E91" s="26" t="s">
        <v>45</v>
      </c>
      <c r="F91" s="26" t="s">
        <v>28</v>
      </c>
      <c r="G91" s="26" t="s">
        <v>53</v>
      </c>
      <c r="H91" s="35">
        <v>45454</v>
      </c>
      <c r="I91" s="52">
        <v>86</v>
      </c>
      <c r="J91" s="52">
        <v>750</v>
      </c>
      <c r="K91" s="53">
        <v>0.1</v>
      </c>
      <c r="L91" s="44" t="s">
        <v>36</v>
      </c>
      <c r="M91" s="54">
        <v>64500</v>
      </c>
      <c r="N91" s="54">
        <v>58050</v>
      </c>
      <c r="O91" s="44" t="s">
        <v>265</v>
      </c>
    </row>
    <row r="92" spans="1:15" x14ac:dyDescent="0.3">
      <c r="A92" s="19" t="s">
        <v>1118</v>
      </c>
      <c r="B92" s="19" t="s">
        <v>63</v>
      </c>
      <c r="C92" s="25" t="s">
        <v>253</v>
      </c>
      <c r="D92" s="25" t="s">
        <v>50</v>
      </c>
      <c r="E92" s="25" t="s">
        <v>27</v>
      </c>
      <c r="F92" s="25" t="s">
        <v>28</v>
      </c>
      <c r="G92" s="25" t="s">
        <v>29</v>
      </c>
      <c r="H92" s="34">
        <v>45452</v>
      </c>
      <c r="I92" s="49">
        <v>117</v>
      </c>
      <c r="J92" s="49">
        <v>750</v>
      </c>
      <c r="K92" s="50">
        <v>0.05</v>
      </c>
      <c r="L92" s="43" t="s">
        <v>30</v>
      </c>
      <c r="M92" s="51">
        <v>87750</v>
      </c>
      <c r="N92" s="51">
        <v>83362.5</v>
      </c>
      <c r="O92" s="43" t="s">
        <v>265</v>
      </c>
    </row>
    <row r="93" spans="1:15" x14ac:dyDescent="0.3">
      <c r="A93" s="20" t="s">
        <v>1119</v>
      </c>
      <c r="B93" s="20" t="s">
        <v>16</v>
      </c>
      <c r="C93" s="26" t="s">
        <v>250</v>
      </c>
      <c r="D93" s="26" t="s">
        <v>39</v>
      </c>
      <c r="E93" s="26" t="s">
        <v>33</v>
      </c>
      <c r="F93" s="26" t="s">
        <v>28</v>
      </c>
      <c r="G93" s="26" t="s">
        <v>47</v>
      </c>
      <c r="H93" s="35">
        <v>45461</v>
      </c>
      <c r="I93" s="52">
        <v>63</v>
      </c>
      <c r="J93" s="52">
        <v>990</v>
      </c>
      <c r="K93" s="53">
        <v>0.08</v>
      </c>
      <c r="L93" s="44" t="s">
        <v>30</v>
      </c>
      <c r="M93" s="54">
        <v>62370</v>
      </c>
      <c r="N93" s="54">
        <v>57380.4</v>
      </c>
      <c r="O93" s="44" t="s">
        <v>265</v>
      </c>
    </row>
    <row r="94" spans="1:15" x14ac:dyDescent="0.3">
      <c r="A94" s="19" t="s">
        <v>1120</v>
      </c>
      <c r="B94" s="19" t="s">
        <v>16</v>
      </c>
      <c r="C94" s="25" t="s">
        <v>250</v>
      </c>
      <c r="D94" s="25" t="s">
        <v>39</v>
      </c>
      <c r="E94" s="25" t="s">
        <v>33</v>
      </c>
      <c r="F94" s="25" t="s">
        <v>28</v>
      </c>
      <c r="G94" s="25" t="s">
        <v>53</v>
      </c>
      <c r="H94" s="34">
        <v>45451</v>
      </c>
      <c r="I94" s="49">
        <v>77</v>
      </c>
      <c r="J94" s="49">
        <v>990</v>
      </c>
      <c r="K94" s="50">
        <v>0.13</v>
      </c>
      <c r="L94" s="43" t="s">
        <v>36</v>
      </c>
      <c r="M94" s="51">
        <v>76230</v>
      </c>
      <c r="N94" s="51">
        <v>66320.100000000006</v>
      </c>
      <c r="O94" s="43" t="s">
        <v>265</v>
      </c>
    </row>
    <row r="95" spans="1:15" x14ac:dyDescent="0.3">
      <c r="A95" s="20" t="s">
        <v>1121</v>
      </c>
      <c r="B95" s="20" t="s">
        <v>44</v>
      </c>
      <c r="C95" s="26" t="s">
        <v>254</v>
      </c>
      <c r="D95" s="26" t="s">
        <v>39</v>
      </c>
      <c r="E95" s="26" t="s">
        <v>40</v>
      </c>
      <c r="F95" s="26" t="s">
        <v>28</v>
      </c>
      <c r="G95" s="26" t="s">
        <v>47</v>
      </c>
      <c r="H95" s="35">
        <v>45446</v>
      </c>
      <c r="I95" s="52">
        <v>61</v>
      </c>
      <c r="J95" s="52">
        <v>200</v>
      </c>
      <c r="K95" s="53">
        <v>0.08</v>
      </c>
      <c r="L95" s="44" t="s">
        <v>36</v>
      </c>
      <c r="M95" s="54">
        <v>12200</v>
      </c>
      <c r="N95" s="54">
        <v>11224</v>
      </c>
      <c r="O95" s="44" t="s">
        <v>265</v>
      </c>
    </row>
    <row r="96" spans="1:15" x14ac:dyDescent="0.3">
      <c r="A96" s="19" t="s">
        <v>1122</v>
      </c>
      <c r="B96" s="19" t="s">
        <v>38</v>
      </c>
      <c r="C96" s="25" t="s">
        <v>247</v>
      </c>
      <c r="D96" s="25" t="s">
        <v>39</v>
      </c>
      <c r="E96" s="25" t="s">
        <v>45</v>
      </c>
      <c r="F96" s="25" t="s">
        <v>34</v>
      </c>
      <c r="G96" s="25" t="s">
        <v>29</v>
      </c>
      <c r="H96" s="34">
        <v>45473</v>
      </c>
      <c r="I96" s="49">
        <v>150</v>
      </c>
      <c r="J96" s="49">
        <v>1200</v>
      </c>
      <c r="K96" s="50">
        <v>7.0000000000000007E-2</v>
      </c>
      <c r="L96" s="43" t="s">
        <v>36</v>
      </c>
      <c r="M96" s="51">
        <v>180000</v>
      </c>
      <c r="N96" s="51">
        <v>167400</v>
      </c>
      <c r="O96" s="43" t="s">
        <v>267</v>
      </c>
    </row>
    <row r="97" spans="1:15" x14ac:dyDescent="0.3">
      <c r="A97" s="20" t="s">
        <v>1123</v>
      </c>
      <c r="B97" s="20" t="s">
        <v>61</v>
      </c>
      <c r="C97" s="26" t="s">
        <v>244</v>
      </c>
      <c r="D97" s="26" t="s">
        <v>26</v>
      </c>
      <c r="E97" s="26" t="s">
        <v>45</v>
      </c>
      <c r="F97" s="26" t="s">
        <v>28</v>
      </c>
      <c r="G97" s="26" t="s">
        <v>47</v>
      </c>
      <c r="H97" s="35">
        <v>45459</v>
      </c>
      <c r="I97" s="52">
        <v>187</v>
      </c>
      <c r="J97" s="52">
        <v>280</v>
      </c>
      <c r="K97" s="53">
        <v>0.14000000000000001</v>
      </c>
      <c r="L97" s="44" t="s">
        <v>30</v>
      </c>
      <c r="M97" s="54">
        <v>52360</v>
      </c>
      <c r="N97" s="54">
        <v>45029.599999999999</v>
      </c>
      <c r="O97" s="44" t="s">
        <v>265</v>
      </c>
    </row>
    <row r="98" spans="1:15" x14ac:dyDescent="0.3">
      <c r="A98" s="19" t="s">
        <v>1124</v>
      </c>
      <c r="B98" s="19" t="s">
        <v>44</v>
      </c>
      <c r="C98" s="25" t="s">
        <v>254</v>
      </c>
      <c r="D98" s="25" t="s">
        <v>39</v>
      </c>
      <c r="E98" s="25" t="s">
        <v>45</v>
      </c>
      <c r="F98" s="25" t="s">
        <v>41</v>
      </c>
      <c r="G98" s="25" t="s">
        <v>56</v>
      </c>
      <c r="H98" s="34">
        <v>45473</v>
      </c>
      <c r="I98" s="49">
        <v>174</v>
      </c>
      <c r="J98" s="49">
        <v>200</v>
      </c>
      <c r="K98" s="50">
        <v>7.0000000000000007E-2</v>
      </c>
      <c r="L98" s="43" t="s">
        <v>30</v>
      </c>
      <c r="M98" s="51">
        <v>34800</v>
      </c>
      <c r="N98" s="51">
        <v>32364</v>
      </c>
      <c r="O98" s="43" t="s">
        <v>265</v>
      </c>
    </row>
    <row r="99" spans="1:15" x14ac:dyDescent="0.3">
      <c r="A99" s="20" t="s">
        <v>1125</v>
      </c>
      <c r="B99" s="20" t="s">
        <v>25</v>
      </c>
      <c r="C99" s="26" t="s">
        <v>257</v>
      </c>
      <c r="D99" s="26" t="s">
        <v>26</v>
      </c>
      <c r="E99" s="26" t="s">
        <v>45</v>
      </c>
      <c r="F99" s="26" t="s">
        <v>46</v>
      </c>
      <c r="G99" s="26" t="s">
        <v>53</v>
      </c>
      <c r="H99" s="35">
        <v>45446</v>
      </c>
      <c r="I99" s="52">
        <v>175</v>
      </c>
      <c r="J99" s="52">
        <v>350</v>
      </c>
      <c r="K99" s="53">
        <v>0.08</v>
      </c>
      <c r="L99" s="44" t="s">
        <v>36</v>
      </c>
      <c r="M99" s="54">
        <v>61250</v>
      </c>
      <c r="N99" s="54">
        <v>56350</v>
      </c>
      <c r="O99" s="44" t="s">
        <v>265</v>
      </c>
    </row>
    <row r="100" spans="1:15" x14ac:dyDescent="0.3">
      <c r="A100" s="19" t="s">
        <v>1126</v>
      </c>
      <c r="B100" s="19" t="s">
        <v>16</v>
      </c>
      <c r="C100" s="25" t="s">
        <v>250</v>
      </c>
      <c r="D100" s="25" t="s">
        <v>39</v>
      </c>
      <c r="E100" s="25" t="s">
        <v>51</v>
      </c>
      <c r="F100" s="25" t="s">
        <v>34</v>
      </c>
      <c r="G100" s="25" t="s">
        <v>35</v>
      </c>
      <c r="H100" s="34">
        <v>45448</v>
      </c>
      <c r="I100" s="49">
        <v>109</v>
      </c>
      <c r="J100" s="49">
        <v>990</v>
      </c>
      <c r="K100" s="50">
        <v>0.15</v>
      </c>
      <c r="L100" s="43" t="s">
        <v>36</v>
      </c>
      <c r="M100" s="51">
        <v>107910</v>
      </c>
      <c r="N100" s="51">
        <v>91723.5</v>
      </c>
      <c r="O100" s="43" t="s">
        <v>265</v>
      </c>
    </row>
    <row r="101" spans="1:15" x14ac:dyDescent="0.3">
      <c r="A101" s="20" t="s">
        <v>1127</v>
      </c>
      <c r="B101" s="20" t="s">
        <v>63</v>
      </c>
      <c r="C101" s="26" t="s">
        <v>253</v>
      </c>
      <c r="D101" s="26" t="s">
        <v>50</v>
      </c>
      <c r="E101" s="26" t="s">
        <v>51</v>
      </c>
      <c r="F101" s="26" t="s">
        <v>41</v>
      </c>
      <c r="G101" s="26" t="s">
        <v>29</v>
      </c>
      <c r="H101" s="35">
        <v>45463</v>
      </c>
      <c r="I101" s="52">
        <v>87</v>
      </c>
      <c r="J101" s="52">
        <v>750</v>
      </c>
      <c r="K101" s="53">
        <v>0.03</v>
      </c>
      <c r="L101" s="44" t="s">
        <v>36</v>
      </c>
      <c r="M101" s="54">
        <v>65250</v>
      </c>
      <c r="N101" s="54">
        <v>63292.5</v>
      </c>
      <c r="O101" s="44" t="s">
        <v>265</v>
      </c>
    </row>
    <row r="102" spans="1:15" x14ac:dyDescent="0.3">
      <c r="A102" s="19" t="s">
        <v>1128</v>
      </c>
      <c r="B102" s="19" t="s">
        <v>55</v>
      </c>
      <c r="C102" s="25" t="s">
        <v>249</v>
      </c>
      <c r="D102" s="25" t="s">
        <v>39</v>
      </c>
      <c r="E102" s="25" t="s">
        <v>51</v>
      </c>
      <c r="F102" s="25" t="s">
        <v>28</v>
      </c>
      <c r="G102" s="25" t="s">
        <v>47</v>
      </c>
      <c r="H102" s="34">
        <v>45464</v>
      </c>
      <c r="I102" s="49">
        <v>87</v>
      </c>
      <c r="J102" s="49">
        <v>650</v>
      </c>
      <c r="K102" s="50">
        <v>0.03</v>
      </c>
      <c r="L102" s="43" t="s">
        <v>30</v>
      </c>
      <c r="M102" s="51">
        <v>56550</v>
      </c>
      <c r="N102" s="51">
        <v>54853.5</v>
      </c>
      <c r="O102" s="43" t="s">
        <v>265</v>
      </c>
    </row>
    <row r="103" spans="1:15" x14ac:dyDescent="0.3">
      <c r="A103" s="20" t="s">
        <v>1129</v>
      </c>
      <c r="B103" s="20" t="s">
        <v>44</v>
      </c>
      <c r="C103" s="26" t="s">
        <v>254</v>
      </c>
      <c r="D103" s="26" t="s">
        <v>39</v>
      </c>
      <c r="E103" s="26" t="s">
        <v>27</v>
      </c>
      <c r="F103" s="26" t="s">
        <v>34</v>
      </c>
      <c r="G103" s="26" t="s">
        <v>42</v>
      </c>
      <c r="H103" s="35">
        <v>45456</v>
      </c>
      <c r="I103" s="52">
        <v>228</v>
      </c>
      <c r="J103" s="52">
        <v>200</v>
      </c>
      <c r="K103" s="53">
        <v>0</v>
      </c>
      <c r="L103" s="44" t="s">
        <v>30</v>
      </c>
      <c r="M103" s="54">
        <v>45600</v>
      </c>
      <c r="N103" s="54">
        <v>45600</v>
      </c>
      <c r="O103" s="44" t="s">
        <v>265</v>
      </c>
    </row>
    <row r="104" spans="1:15" x14ac:dyDescent="0.3">
      <c r="A104" s="19" t="s">
        <v>1130</v>
      </c>
      <c r="B104" s="19" t="s">
        <v>38</v>
      </c>
      <c r="C104" s="25" t="s">
        <v>247</v>
      </c>
      <c r="D104" s="25" t="s">
        <v>39</v>
      </c>
      <c r="E104" s="25" t="s">
        <v>45</v>
      </c>
      <c r="F104" s="25" t="s">
        <v>28</v>
      </c>
      <c r="G104" s="25" t="s">
        <v>29</v>
      </c>
      <c r="H104" s="34">
        <v>45455</v>
      </c>
      <c r="I104" s="49">
        <v>134</v>
      </c>
      <c r="J104" s="49">
        <v>1200</v>
      </c>
      <c r="K104" s="50">
        <v>0.15</v>
      </c>
      <c r="L104" s="43" t="s">
        <v>36</v>
      </c>
      <c r="M104" s="51">
        <v>160800</v>
      </c>
      <c r="N104" s="51">
        <v>136680</v>
      </c>
      <c r="O104" s="43" t="s">
        <v>267</v>
      </c>
    </row>
    <row r="105" spans="1:15" x14ac:dyDescent="0.3">
      <c r="A105" s="20" t="s">
        <v>1131</v>
      </c>
      <c r="B105" s="20" t="s">
        <v>25</v>
      </c>
      <c r="C105" s="26" t="s">
        <v>257</v>
      </c>
      <c r="D105" s="26" t="s">
        <v>26</v>
      </c>
      <c r="E105" s="26" t="s">
        <v>45</v>
      </c>
      <c r="F105" s="26" t="s">
        <v>34</v>
      </c>
      <c r="G105" s="26" t="s">
        <v>47</v>
      </c>
      <c r="H105" s="35">
        <v>45487</v>
      </c>
      <c r="I105" s="52">
        <v>161</v>
      </c>
      <c r="J105" s="52">
        <v>350</v>
      </c>
      <c r="K105" s="53">
        <v>0</v>
      </c>
      <c r="L105" s="44" t="s">
        <v>36</v>
      </c>
      <c r="M105" s="54">
        <v>56350</v>
      </c>
      <c r="N105" s="54">
        <v>56350</v>
      </c>
      <c r="O105" s="44" t="s">
        <v>265</v>
      </c>
    </row>
    <row r="106" spans="1:15" x14ac:dyDescent="0.3">
      <c r="A106" s="19" t="s">
        <v>1132</v>
      </c>
      <c r="B106" s="19" t="s">
        <v>61</v>
      </c>
      <c r="C106" s="25" t="s">
        <v>244</v>
      </c>
      <c r="D106" s="25" t="s">
        <v>26</v>
      </c>
      <c r="E106" s="25" t="s">
        <v>40</v>
      </c>
      <c r="F106" s="25" t="s">
        <v>41</v>
      </c>
      <c r="G106" s="25" t="s">
        <v>29</v>
      </c>
      <c r="H106" s="34">
        <v>45481</v>
      </c>
      <c r="I106" s="49">
        <v>191</v>
      </c>
      <c r="J106" s="49">
        <v>280</v>
      </c>
      <c r="K106" s="50">
        <v>0.11</v>
      </c>
      <c r="L106" s="43" t="s">
        <v>36</v>
      </c>
      <c r="M106" s="51">
        <v>53480</v>
      </c>
      <c r="N106" s="51">
        <v>47597.2</v>
      </c>
      <c r="O106" s="43" t="s">
        <v>265</v>
      </c>
    </row>
    <row r="107" spans="1:15" x14ac:dyDescent="0.3">
      <c r="A107" s="20" t="s">
        <v>1133</v>
      </c>
      <c r="B107" s="20" t="s">
        <v>44</v>
      </c>
      <c r="C107" s="26" t="s">
        <v>254</v>
      </c>
      <c r="D107" s="26" t="s">
        <v>39</v>
      </c>
      <c r="E107" s="26" t="s">
        <v>40</v>
      </c>
      <c r="F107" s="26" t="s">
        <v>52</v>
      </c>
      <c r="G107" s="26" t="s">
        <v>47</v>
      </c>
      <c r="H107" s="35">
        <v>45494</v>
      </c>
      <c r="I107" s="52">
        <v>73</v>
      </c>
      <c r="J107" s="52">
        <v>200</v>
      </c>
      <c r="K107" s="53">
        <v>0</v>
      </c>
      <c r="L107" s="44" t="s">
        <v>36</v>
      </c>
      <c r="M107" s="54">
        <v>14600</v>
      </c>
      <c r="N107" s="54">
        <v>14600</v>
      </c>
      <c r="O107" s="44" t="s">
        <v>265</v>
      </c>
    </row>
    <row r="108" spans="1:15" x14ac:dyDescent="0.3">
      <c r="A108" s="19" t="s">
        <v>1134</v>
      </c>
      <c r="B108" s="19" t="s">
        <v>55</v>
      </c>
      <c r="C108" s="25" t="s">
        <v>249</v>
      </c>
      <c r="D108" s="25" t="s">
        <v>39</v>
      </c>
      <c r="E108" s="25" t="s">
        <v>40</v>
      </c>
      <c r="F108" s="25" t="s">
        <v>41</v>
      </c>
      <c r="G108" s="25" t="s">
        <v>56</v>
      </c>
      <c r="H108" s="34">
        <v>45479</v>
      </c>
      <c r="I108" s="49">
        <v>116</v>
      </c>
      <c r="J108" s="49">
        <v>650</v>
      </c>
      <c r="K108" s="50">
        <v>0.03</v>
      </c>
      <c r="L108" s="43" t="s">
        <v>36</v>
      </c>
      <c r="M108" s="51">
        <v>75400</v>
      </c>
      <c r="N108" s="51">
        <v>73138</v>
      </c>
      <c r="O108" s="43" t="s">
        <v>265</v>
      </c>
    </row>
    <row r="109" spans="1:15" x14ac:dyDescent="0.3">
      <c r="A109" s="20" t="s">
        <v>1135</v>
      </c>
      <c r="B109" s="20" t="s">
        <v>38</v>
      </c>
      <c r="C109" s="26" t="s">
        <v>247</v>
      </c>
      <c r="D109" s="26" t="s">
        <v>39</v>
      </c>
      <c r="E109" s="26" t="s">
        <v>40</v>
      </c>
      <c r="F109" s="26" t="s">
        <v>41</v>
      </c>
      <c r="G109" s="26" t="s">
        <v>56</v>
      </c>
      <c r="H109" s="35">
        <v>45490</v>
      </c>
      <c r="I109" s="52">
        <v>74</v>
      </c>
      <c r="J109" s="52">
        <v>1200</v>
      </c>
      <c r="K109" s="53">
        <v>7.0000000000000007E-2</v>
      </c>
      <c r="L109" s="44" t="s">
        <v>36</v>
      </c>
      <c r="M109" s="54">
        <v>88800</v>
      </c>
      <c r="N109" s="54">
        <v>82584</v>
      </c>
      <c r="O109" s="44" t="s">
        <v>265</v>
      </c>
    </row>
    <row r="110" spans="1:15" x14ac:dyDescent="0.3">
      <c r="A110" s="19" t="s">
        <v>1136</v>
      </c>
      <c r="B110" s="19" t="s">
        <v>32</v>
      </c>
      <c r="C110" s="25" t="s">
        <v>246</v>
      </c>
      <c r="D110" s="25" t="s">
        <v>26</v>
      </c>
      <c r="E110" s="25" t="s">
        <v>51</v>
      </c>
      <c r="F110" s="25" t="s">
        <v>52</v>
      </c>
      <c r="G110" s="25" t="s">
        <v>42</v>
      </c>
      <c r="H110" s="34">
        <v>45500</v>
      </c>
      <c r="I110" s="49">
        <v>90</v>
      </c>
      <c r="J110" s="49">
        <v>420</v>
      </c>
      <c r="K110" s="50">
        <v>0.14000000000000001</v>
      </c>
      <c r="L110" s="43" t="s">
        <v>36</v>
      </c>
      <c r="M110" s="51">
        <v>37800</v>
      </c>
      <c r="N110" s="51">
        <v>32508</v>
      </c>
      <c r="O110" s="43" t="s">
        <v>265</v>
      </c>
    </row>
    <row r="111" spans="1:15" x14ac:dyDescent="0.3">
      <c r="A111" s="20" t="s">
        <v>1137</v>
      </c>
      <c r="B111" s="20" t="s">
        <v>16</v>
      </c>
      <c r="C111" s="26" t="s">
        <v>250</v>
      </c>
      <c r="D111" s="26" t="s">
        <v>39</v>
      </c>
      <c r="E111" s="26" t="s">
        <v>40</v>
      </c>
      <c r="F111" s="26" t="s">
        <v>28</v>
      </c>
      <c r="G111" s="26" t="s">
        <v>53</v>
      </c>
      <c r="H111" s="35">
        <v>45490</v>
      </c>
      <c r="I111" s="52">
        <v>51</v>
      </c>
      <c r="J111" s="52">
        <v>990</v>
      </c>
      <c r="K111" s="53">
        <v>0.03</v>
      </c>
      <c r="L111" s="44" t="s">
        <v>36</v>
      </c>
      <c r="M111" s="54">
        <v>50490</v>
      </c>
      <c r="N111" s="54">
        <v>48975.3</v>
      </c>
      <c r="O111" s="44" t="s">
        <v>265</v>
      </c>
    </row>
    <row r="112" spans="1:15" x14ac:dyDescent="0.3">
      <c r="A112" s="19" t="s">
        <v>1138</v>
      </c>
      <c r="B112" s="19" t="s">
        <v>55</v>
      </c>
      <c r="C112" s="25" t="s">
        <v>249</v>
      </c>
      <c r="D112" s="25" t="s">
        <v>39</v>
      </c>
      <c r="E112" s="25" t="s">
        <v>51</v>
      </c>
      <c r="F112" s="25" t="s">
        <v>46</v>
      </c>
      <c r="G112" s="25" t="s">
        <v>29</v>
      </c>
      <c r="H112" s="34">
        <v>45495</v>
      </c>
      <c r="I112" s="49">
        <v>152</v>
      </c>
      <c r="J112" s="49">
        <v>650</v>
      </c>
      <c r="K112" s="50">
        <v>0.05</v>
      </c>
      <c r="L112" s="43" t="s">
        <v>36</v>
      </c>
      <c r="M112" s="51">
        <v>98800</v>
      </c>
      <c r="N112" s="51">
        <v>93860</v>
      </c>
      <c r="O112" s="43" t="s">
        <v>265</v>
      </c>
    </row>
    <row r="113" spans="1:15" x14ac:dyDescent="0.3">
      <c r="A113" s="20" t="s">
        <v>1139</v>
      </c>
      <c r="B113" s="20" t="s">
        <v>32</v>
      </c>
      <c r="C113" s="26" t="s">
        <v>246</v>
      </c>
      <c r="D113" s="26" t="s">
        <v>26</v>
      </c>
      <c r="E113" s="26" t="s">
        <v>27</v>
      </c>
      <c r="F113" s="26" t="s">
        <v>46</v>
      </c>
      <c r="G113" s="26" t="s">
        <v>42</v>
      </c>
      <c r="H113" s="35">
        <v>45478</v>
      </c>
      <c r="I113" s="52">
        <v>177</v>
      </c>
      <c r="J113" s="52">
        <v>420</v>
      </c>
      <c r="K113" s="53">
        <v>0.1</v>
      </c>
      <c r="L113" s="44" t="s">
        <v>30</v>
      </c>
      <c r="M113" s="54">
        <v>74340</v>
      </c>
      <c r="N113" s="54">
        <v>66906</v>
      </c>
      <c r="O113" s="44" t="s">
        <v>265</v>
      </c>
    </row>
    <row r="114" spans="1:15" x14ac:dyDescent="0.3">
      <c r="A114" s="19" t="s">
        <v>1140</v>
      </c>
      <c r="B114" s="19" t="s">
        <v>63</v>
      </c>
      <c r="C114" s="25" t="s">
        <v>253</v>
      </c>
      <c r="D114" s="25" t="s">
        <v>50</v>
      </c>
      <c r="E114" s="25" t="s">
        <v>33</v>
      </c>
      <c r="F114" s="25" t="s">
        <v>46</v>
      </c>
      <c r="G114" s="25" t="s">
        <v>56</v>
      </c>
      <c r="H114" s="34">
        <v>45496</v>
      </c>
      <c r="I114" s="49">
        <v>114</v>
      </c>
      <c r="J114" s="49">
        <v>750</v>
      </c>
      <c r="K114" s="50">
        <v>0</v>
      </c>
      <c r="L114" s="43" t="s">
        <v>36</v>
      </c>
      <c r="M114" s="51">
        <v>85500</v>
      </c>
      <c r="N114" s="51">
        <v>85500</v>
      </c>
      <c r="O114" s="43" t="s">
        <v>265</v>
      </c>
    </row>
    <row r="115" spans="1:15" x14ac:dyDescent="0.3">
      <c r="A115" s="20" t="s">
        <v>1141</v>
      </c>
      <c r="B115" s="20" t="s">
        <v>58</v>
      </c>
      <c r="C115" s="26" t="s">
        <v>255</v>
      </c>
      <c r="D115" s="26" t="s">
        <v>59</v>
      </c>
      <c r="E115" s="26" t="s">
        <v>51</v>
      </c>
      <c r="F115" s="26" t="s">
        <v>41</v>
      </c>
      <c r="G115" s="26" t="s">
        <v>47</v>
      </c>
      <c r="H115" s="35">
        <v>45504</v>
      </c>
      <c r="I115" s="52">
        <v>63</v>
      </c>
      <c r="J115" s="52">
        <v>2800</v>
      </c>
      <c r="K115" s="53">
        <v>0.15</v>
      </c>
      <c r="L115" s="44" t="s">
        <v>30</v>
      </c>
      <c r="M115" s="54">
        <v>176400</v>
      </c>
      <c r="N115" s="54">
        <v>149940</v>
      </c>
      <c r="O115" s="44" t="s">
        <v>267</v>
      </c>
    </row>
    <row r="116" spans="1:15" x14ac:dyDescent="0.3">
      <c r="A116" s="19" t="s">
        <v>1142</v>
      </c>
      <c r="B116" s="19" t="s">
        <v>25</v>
      </c>
      <c r="C116" s="25" t="s">
        <v>257</v>
      </c>
      <c r="D116" s="25" t="s">
        <v>26</v>
      </c>
      <c r="E116" s="25" t="s">
        <v>45</v>
      </c>
      <c r="F116" s="25" t="s">
        <v>52</v>
      </c>
      <c r="G116" s="25" t="s">
        <v>35</v>
      </c>
      <c r="H116" s="34">
        <v>45478</v>
      </c>
      <c r="I116" s="49">
        <v>167</v>
      </c>
      <c r="J116" s="49">
        <v>350</v>
      </c>
      <c r="K116" s="50">
        <v>0.1</v>
      </c>
      <c r="L116" s="43" t="s">
        <v>36</v>
      </c>
      <c r="M116" s="51">
        <v>58450</v>
      </c>
      <c r="N116" s="51">
        <v>52605</v>
      </c>
      <c r="O116" s="43" t="s">
        <v>265</v>
      </c>
    </row>
    <row r="117" spans="1:15" x14ac:dyDescent="0.3">
      <c r="A117" s="20" t="s">
        <v>1143</v>
      </c>
      <c r="B117" s="20" t="s">
        <v>16</v>
      </c>
      <c r="C117" s="26" t="s">
        <v>250</v>
      </c>
      <c r="D117" s="26" t="s">
        <v>39</v>
      </c>
      <c r="E117" s="26" t="s">
        <v>45</v>
      </c>
      <c r="F117" s="26" t="s">
        <v>28</v>
      </c>
      <c r="G117" s="26" t="s">
        <v>35</v>
      </c>
      <c r="H117" s="35">
        <v>45484</v>
      </c>
      <c r="I117" s="52">
        <v>41</v>
      </c>
      <c r="J117" s="52">
        <v>990</v>
      </c>
      <c r="K117" s="53">
        <v>0.13</v>
      </c>
      <c r="L117" s="44" t="s">
        <v>36</v>
      </c>
      <c r="M117" s="54">
        <v>40590</v>
      </c>
      <c r="N117" s="54">
        <v>35313.300000000003</v>
      </c>
      <c r="O117" s="44" t="s">
        <v>265</v>
      </c>
    </row>
    <row r="118" spans="1:15" x14ac:dyDescent="0.3">
      <c r="A118" s="19" t="s">
        <v>1144</v>
      </c>
      <c r="B118" s="19" t="s">
        <v>49</v>
      </c>
      <c r="C118" s="25" t="s">
        <v>251</v>
      </c>
      <c r="D118" s="25" t="s">
        <v>50</v>
      </c>
      <c r="E118" s="25" t="s">
        <v>45</v>
      </c>
      <c r="F118" s="25" t="s">
        <v>52</v>
      </c>
      <c r="G118" s="25" t="s">
        <v>53</v>
      </c>
      <c r="H118" s="34">
        <v>45474</v>
      </c>
      <c r="I118" s="49">
        <v>146</v>
      </c>
      <c r="J118" s="49">
        <v>895</v>
      </c>
      <c r="K118" s="50">
        <v>0.13</v>
      </c>
      <c r="L118" s="43" t="s">
        <v>36</v>
      </c>
      <c r="M118" s="51">
        <v>130670</v>
      </c>
      <c r="N118" s="51">
        <v>113682.9</v>
      </c>
      <c r="O118" s="43" t="s">
        <v>267</v>
      </c>
    </row>
    <row r="119" spans="1:15" x14ac:dyDescent="0.3">
      <c r="A119" s="20" t="s">
        <v>1145</v>
      </c>
      <c r="B119" s="20" t="s">
        <v>38</v>
      </c>
      <c r="C119" s="26" t="s">
        <v>247</v>
      </c>
      <c r="D119" s="26" t="s">
        <v>39</v>
      </c>
      <c r="E119" s="26" t="s">
        <v>40</v>
      </c>
      <c r="F119" s="26" t="s">
        <v>52</v>
      </c>
      <c r="G119" s="26" t="s">
        <v>29</v>
      </c>
      <c r="H119" s="35">
        <v>45475</v>
      </c>
      <c r="I119" s="52">
        <v>67</v>
      </c>
      <c r="J119" s="52">
        <v>1200</v>
      </c>
      <c r="K119" s="53">
        <v>0.11</v>
      </c>
      <c r="L119" s="44" t="s">
        <v>36</v>
      </c>
      <c r="M119" s="54">
        <v>80400</v>
      </c>
      <c r="N119" s="54">
        <v>71556</v>
      </c>
      <c r="O119" s="44" t="s">
        <v>265</v>
      </c>
    </row>
    <row r="120" spans="1:15" x14ac:dyDescent="0.3">
      <c r="A120" s="19" t="s">
        <v>1146</v>
      </c>
      <c r="B120" s="19" t="s">
        <v>61</v>
      </c>
      <c r="C120" s="25" t="s">
        <v>244</v>
      </c>
      <c r="D120" s="25" t="s">
        <v>26</v>
      </c>
      <c r="E120" s="25" t="s">
        <v>51</v>
      </c>
      <c r="F120" s="25" t="s">
        <v>52</v>
      </c>
      <c r="G120" s="25" t="s">
        <v>35</v>
      </c>
      <c r="H120" s="34">
        <v>45489</v>
      </c>
      <c r="I120" s="49">
        <v>133</v>
      </c>
      <c r="J120" s="49">
        <v>280</v>
      </c>
      <c r="K120" s="50">
        <v>0.08</v>
      </c>
      <c r="L120" s="43" t="s">
        <v>36</v>
      </c>
      <c r="M120" s="51">
        <v>37240</v>
      </c>
      <c r="N120" s="51">
        <v>34260.800000000003</v>
      </c>
      <c r="O120" s="43" t="s">
        <v>265</v>
      </c>
    </row>
    <row r="121" spans="1:15" x14ac:dyDescent="0.3">
      <c r="A121" s="20" t="s">
        <v>1147</v>
      </c>
      <c r="B121" s="20" t="s">
        <v>32</v>
      </c>
      <c r="C121" s="26" t="s">
        <v>246</v>
      </c>
      <c r="D121" s="26" t="s">
        <v>26</v>
      </c>
      <c r="E121" s="26" t="s">
        <v>45</v>
      </c>
      <c r="F121" s="26" t="s">
        <v>52</v>
      </c>
      <c r="G121" s="26" t="s">
        <v>35</v>
      </c>
      <c r="H121" s="35">
        <v>45488</v>
      </c>
      <c r="I121" s="52">
        <v>199</v>
      </c>
      <c r="J121" s="52">
        <v>420</v>
      </c>
      <c r="K121" s="53">
        <v>0.11</v>
      </c>
      <c r="L121" s="44" t="s">
        <v>36</v>
      </c>
      <c r="M121" s="54">
        <v>83580</v>
      </c>
      <c r="N121" s="54">
        <v>74386.2</v>
      </c>
      <c r="O121" s="44" t="s">
        <v>265</v>
      </c>
    </row>
    <row r="122" spans="1:15" x14ac:dyDescent="0.3">
      <c r="A122" s="19" t="s">
        <v>1148</v>
      </c>
      <c r="B122" s="19" t="s">
        <v>38</v>
      </c>
      <c r="C122" s="25" t="s">
        <v>247</v>
      </c>
      <c r="D122" s="25" t="s">
        <v>39</v>
      </c>
      <c r="E122" s="25" t="s">
        <v>33</v>
      </c>
      <c r="F122" s="25" t="s">
        <v>52</v>
      </c>
      <c r="G122" s="25" t="s">
        <v>53</v>
      </c>
      <c r="H122" s="34">
        <v>45475</v>
      </c>
      <c r="I122" s="49">
        <v>136</v>
      </c>
      <c r="J122" s="49">
        <v>1200</v>
      </c>
      <c r="K122" s="50">
        <v>0</v>
      </c>
      <c r="L122" s="43" t="s">
        <v>36</v>
      </c>
      <c r="M122" s="51">
        <v>163200</v>
      </c>
      <c r="N122" s="51">
        <v>163200</v>
      </c>
      <c r="O122" s="43" t="s">
        <v>267</v>
      </c>
    </row>
    <row r="123" spans="1:15" x14ac:dyDescent="0.3">
      <c r="A123" s="20" t="s">
        <v>1149</v>
      </c>
      <c r="B123" s="20" t="s">
        <v>38</v>
      </c>
      <c r="C123" s="26" t="s">
        <v>247</v>
      </c>
      <c r="D123" s="26" t="s">
        <v>39</v>
      </c>
      <c r="E123" s="26" t="s">
        <v>40</v>
      </c>
      <c r="F123" s="26" t="s">
        <v>52</v>
      </c>
      <c r="G123" s="26" t="s">
        <v>53</v>
      </c>
      <c r="H123" s="35">
        <v>45497</v>
      </c>
      <c r="I123" s="52">
        <v>62</v>
      </c>
      <c r="J123" s="52">
        <v>1200</v>
      </c>
      <c r="K123" s="53">
        <v>0</v>
      </c>
      <c r="L123" s="44" t="s">
        <v>30</v>
      </c>
      <c r="M123" s="54">
        <v>74400</v>
      </c>
      <c r="N123" s="54">
        <v>74400</v>
      </c>
      <c r="O123" s="44" t="s">
        <v>265</v>
      </c>
    </row>
    <row r="124" spans="1:15" x14ac:dyDescent="0.3">
      <c r="A124" s="19" t="s">
        <v>1150</v>
      </c>
      <c r="B124" s="19" t="s">
        <v>55</v>
      </c>
      <c r="C124" s="25" t="s">
        <v>249</v>
      </c>
      <c r="D124" s="25" t="s">
        <v>39</v>
      </c>
      <c r="E124" s="25" t="s">
        <v>27</v>
      </c>
      <c r="F124" s="25" t="s">
        <v>34</v>
      </c>
      <c r="G124" s="25" t="s">
        <v>56</v>
      </c>
      <c r="H124" s="34">
        <v>45489</v>
      </c>
      <c r="I124" s="49">
        <v>171</v>
      </c>
      <c r="J124" s="49">
        <v>650</v>
      </c>
      <c r="K124" s="50">
        <v>0.13</v>
      </c>
      <c r="L124" s="43" t="s">
        <v>36</v>
      </c>
      <c r="M124" s="51">
        <v>111150</v>
      </c>
      <c r="N124" s="51">
        <v>96700.5</v>
      </c>
      <c r="O124" s="43" t="s">
        <v>265</v>
      </c>
    </row>
    <row r="125" spans="1:15" x14ac:dyDescent="0.3">
      <c r="A125" s="20" t="s">
        <v>1151</v>
      </c>
      <c r="B125" s="20" t="s">
        <v>55</v>
      </c>
      <c r="C125" s="26" t="s">
        <v>249</v>
      </c>
      <c r="D125" s="26" t="s">
        <v>39</v>
      </c>
      <c r="E125" s="26" t="s">
        <v>40</v>
      </c>
      <c r="F125" s="26" t="s">
        <v>46</v>
      </c>
      <c r="G125" s="26" t="s">
        <v>42</v>
      </c>
      <c r="H125" s="35">
        <v>45480</v>
      </c>
      <c r="I125" s="52">
        <v>182</v>
      </c>
      <c r="J125" s="52">
        <v>650</v>
      </c>
      <c r="K125" s="53">
        <v>0.08</v>
      </c>
      <c r="L125" s="44" t="s">
        <v>30</v>
      </c>
      <c r="M125" s="54">
        <v>118300</v>
      </c>
      <c r="N125" s="54">
        <v>108836</v>
      </c>
      <c r="O125" s="44" t="s">
        <v>267</v>
      </c>
    </row>
    <row r="126" spans="1:15" x14ac:dyDescent="0.3">
      <c r="A126" s="19" t="s">
        <v>1152</v>
      </c>
      <c r="B126" s="19" t="s">
        <v>38</v>
      </c>
      <c r="C126" s="25" t="s">
        <v>247</v>
      </c>
      <c r="D126" s="25" t="s">
        <v>39</v>
      </c>
      <c r="E126" s="25" t="s">
        <v>33</v>
      </c>
      <c r="F126" s="25" t="s">
        <v>34</v>
      </c>
      <c r="G126" s="25" t="s">
        <v>53</v>
      </c>
      <c r="H126" s="34">
        <v>45496</v>
      </c>
      <c r="I126" s="49">
        <v>63</v>
      </c>
      <c r="J126" s="49">
        <v>1200</v>
      </c>
      <c r="K126" s="50">
        <v>0.14000000000000001</v>
      </c>
      <c r="L126" s="43" t="s">
        <v>36</v>
      </c>
      <c r="M126" s="51">
        <v>75600</v>
      </c>
      <c r="N126" s="51">
        <v>65016</v>
      </c>
      <c r="O126" s="43" t="s">
        <v>265</v>
      </c>
    </row>
    <row r="127" spans="1:15" x14ac:dyDescent="0.3">
      <c r="A127" s="20" t="s">
        <v>1153</v>
      </c>
      <c r="B127" s="20" t="s">
        <v>55</v>
      </c>
      <c r="C127" s="26" t="s">
        <v>249</v>
      </c>
      <c r="D127" s="26" t="s">
        <v>39</v>
      </c>
      <c r="E127" s="26" t="s">
        <v>33</v>
      </c>
      <c r="F127" s="26" t="s">
        <v>52</v>
      </c>
      <c r="G127" s="26" t="s">
        <v>47</v>
      </c>
      <c r="H127" s="35">
        <v>45484</v>
      </c>
      <c r="I127" s="52">
        <v>157</v>
      </c>
      <c r="J127" s="52">
        <v>650</v>
      </c>
      <c r="K127" s="53">
        <v>7.0000000000000007E-2</v>
      </c>
      <c r="L127" s="44" t="s">
        <v>30</v>
      </c>
      <c r="M127" s="54">
        <v>102050</v>
      </c>
      <c r="N127" s="54">
        <v>94906.5</v>
      </c>
      <c r="O127" s="44" t="s">
        <v>265</v>
      </c>
    </row>
    <row r="128" spans="1:15" x14ac:dyDescent="0.3">
      <c r="A128" s="19" t="s">
        <v>1154</v>
      </c>
      <c r="B128" s="19" t="s">
        <v>44</v>
      </c>
      <c r="C128" s="25" t="s">
        <v>254</v>
      </c>
      <c r="D128" s="25" t="s">
        <v>39</v>
      </c>
      <c r="E128" s="25" t="s">
        <v>40</v>
      </c>
      <c r="F128" s="25" t="s">
        <v>52</v>
      </c>
      <c r="G128" s="25" t="s">
        <v>42</v>
      </c>
      <c r="H128" s="34">
        <v>45481</v>
      </c>
      <c r="I128" s="49">
        <v>158</v>
      </c>
      <c r="J128" s="49">
        <v>200</v>
      </c>
      <c r="K128" s="50">
        <v>0.12</v>
      </c>
      <c r="L128" s="43" t="s">
        <v>30</v>
      </c>
      <c r="M128" s="51">
        <v>31600</v>
      </c>
      <c r="N128" s="51">
        <v>27808</v>
      </c>
      <c r="O128" s="43" t="s">
        <v>265</v>
      </c>
    </row>
    <row r="129" spans="1:15" x14ac:dyDescent="0.3">
      <c r="A129" s="20" t="s">
        <v>1155</v>
      </c>
      <c r="B129" s="20" t="s">
        <v>38</v>
      </c>
      <c r="C129" s="26" t="s">
        <v>247</v>
      </c>
      <c r="D129" s="26" t="s">
        <v>39</v>
      </c>
      <c r="E129" s="26" t="s">
        <v>51</v>
      </c>
      <c r="F129" s="26" t="s">
        <v>52</v>
      </c>
      <c r="G129" s="26" t="s">
        <v>35</v>
      </c>
      <c r="H129" s="35">
        <v>45475</v>
      </c>
      <c r="I129" s="52">
        <v>67</v>
      </c>
      <c r="J129" s="52">
        <v>1200</v>
      </c>
      <c r="K129" s="53">
        <v>0</v>
      </c>
      <c r="L129" s="44" t="s">
        <v>36</v>
      </c>
      <c r="M129" s="54">
        <v>80400</v>
      </c>
      <c r="N129" s="54">
        <v>80400</v>
      </c>
      <c r="O129" s="44" t="s">
        <v>265</v>
      </c>
    </row>
    <row r="130" spans="1:15" x14ac:dyDescent="0.3">
      <c r="A130" s="19" t="s">
        <v>1156</v>
      </c>
      <c r="B130" s="19" t="s">
        <v>63</v>
      </c>
      <c r="C130" s="25" t="s">
        <v>253</v>
      </c>
      <c r="D130" s="25" t="s">
        <v>50</v>
      </c>
      <c r="E130" s="25" t="s">
        <v>40</v>
      </c>
      <c r="F130" s="25" t="s">
        <v>52</v>
      </c>
      <c r="G130" s="25" t="s">
        <v>42</v>
      </c>
      <c r="H130" s="34">
        <v>45481</v>
      </c>
      <c r="I130" s="49">
        <v>34</v>
      </c>
      <c r="J130" s="49">
        <v>750</v>
      </c>
      <c r="K130" s="50">
        <v>0.11</v>
      </c>
      <c r="L130" s="43" t="s">
        <v>30</v>
      </c>
      <c r="M130" s="51">
        <v>25500</v>
      </c>
      <c r="N130" s="51">
        <v>22695</v>
      </c>
      <c r="O130" s="43" t="s">
        <v>265</v>
      </c>
    </row>
    <row r="131" spans="1:15" x14ac:dyDescent="0.3">
      <c r="A131" s="20" t="s">
        <v>1157</v>
      </c>
      <c r="B131" s="20" t="s">
        <v>16</v>
      </c>
      <c r="C131" s="26" t="s">
        <v>250</v>
      </c>
      <c r="D131" s="26" t="s">
        <v>39</v>
      </c>
      <c r="E131" s="26" t="s">
        <v>51</v>
      </c>
      <c r="F131" s="26" t="s">
        <v>52</v>
      </c>
      <c r="G131" s="26" t="s">
        <v>47</v>
      </c>
      <c r="H131" s="35">
        <v>45492</v>
      </c>
      <c r="I131" s="52">
        <v>49</v>
      </c>
      <c r="J131" s="52">
        <v>990</v>
      </c>
      <c r="K131" s="53">
        <v>0.08</v>
      </c>
      <c r="L131" s="44" t="s">
        <v>30</v>
      </c>
      <c r="M131" s="54">
        <v>48510</v>
      </c>
      <c r="N131" s="54">
        <v>44629.2</v>
      </c>
      <c r="O131" s="44" t="s">
        <v>265</v>
      </c>
    </row>
    <row r="132" spans="1:15" x14ac:dyDescent="0.3">
      <c r="A132" s="19" t="s">
        <v>1158</v>
      </c>
      <c r="B132" s="19" t="s">
        <v>38</v>
      </c>
      <c r="C132" s="25" t="s">
        <v>247</v>
      </c>
      <c r="D132" s="25" t="s">
        <v>39</v>
      </c>
      <c r="E132" s="25" t="s">
        <v>40</v>
      </c>
      <c r="F132" s="25" t="s">
        <v>28</v>
      </c>
      <c r="G132" s="25" t="s">
        <v>53</v>
      </c>
      <c r="H132" s="34">
        <v>45504</v>
      </c>
      <c r="I132" s="49">
        <v>21</v>
      </c>
      <c r="J132" s="49">
        <v>1200</v>
      </c>
      <c r="K132" s="50">
        <v>0.13</v>
      </c>
      <c r="L132" s="43" t="s">
        <v>36</v>
      </c>
      <c r="M132" s="51">
        <v>25200</v>
      </c>
      <c r="N132" s="51">
        <v>21924</v>
      </c>
      <c r="O132" s="43" t="s">
        <v>265</v>
      </c>
    </row>
    <row r="133" spans="1:15" x14ac:dyDescent="0.3">
      <c r="A133" s="20" t="s">
        <v>1159</v>
      </c>
      <c r="B133" s="20" t="s">
        <v>32</v>
      </c>
      <c r="C133" s="26" t="s">
        <v>246</v>
      </c>
      <c r="D133" s="26" t="s">
        <v>26</v>
      </c>
      <c r="E133" s="26" t="s">
        <v>33</v>
      </c>
      <c r="F133" s="26" t="s">
        <v>34</v>
      </c>
      <c r="G133" s="26" t="s">
        <v>53</v>
      </c>
      <c r="H133" s="35">
        <v>45485</v>
      </c>
      <c r="I133" s="52">
        <v>103</v>
      </c>
      <c r="J133" s="52">
        <v>420</v>
      </c>
      <c r="K133" s="53">
        <v>0</v>
      </c>
      <c r="L133" s="44" t="s">
        <v>36</v>
      </c>
      <c r="M133" s="54">
        <v>43260</v>
      </c>
      <c r="N133" s="54">
        <v>43260</v>
      </c>
      <c r="O133" s="44" t="s">
        <v>265</v>
      </c>
    </row>
    <row r="134" spans="1:15" x14ac:dyDescent="0.3">
      <c r="A134" s="19" t="s">
        <v>1160</v>
      </c>
      <c r="B134" s="19" t="s">
        <v>61</v>
      </c>
      <c r="C134" s="25" t="s">
        <v>244</v>
      </c>
      <c r="D134" s="25" t="s">
        <v>26</v>
      </c>
      <c r="E134" s="25" t="s">
        <v>40</v>
      </c>
      <c r="F134" s="25" t="s">
        <v>41</v>
      </c>
      <c r="G134" s="25" t="s">
        <v>42</v>
      </c>
      <c r="H134" s="34">
        <v>45498</v>
      </c>
      <c r="I134" s="49">
        <v>129</v>
      </c>
      <c r="J134" s="49">
        <v>280</v>
      </c>
      <c r="K134" s="50">
        <v>0.12</v>
      </c>
      <c r="L134" s="43" t="s">
        <v>36</v>
      </c>
      <c r="M134" s="51">
        <v>36120</v>
      </c>
      <c r="N134" s="51">
        <v>31785.599999999999</v>
      </c>
      <c r="O134" s="43" t="s">
        <v>265</v>
      </c>
    </row>
    <row r="135" spans="1:15" x14ac:dyDescent="0.3">
      <c r="A135" s="20" t="s">
        <v>1161</v>
      </c>
      <c r="B135" s="20" t="s">
        <v>38</v>
      </c>
      <c r="C135" s="26" t="s">
        <v>247</v>
      </c>
      <c r="D135" s="26" t="s">
        <v>39</v>
      </c>
      <c r="E135" s="26" t="s">
        <v>40</v>
      </c>
      <c r="F135" s="26" t="s">
        <v>41</v>
      </c>
      <c r="G135" s="26" t="s">
        <v>56</v>
      </c>
      <c r="H135" s="35">
        <v>45484</v>
      </c>
      <c r="I135" s="52">
        <v>98</v>
      </c>
      <c r="J135" s="52">
        <v>1200</v>
      </c>
      <c r="K135" s="53">
        <v>0.15</v>
      </c>
      <c r="L135" s="44" t="s">
        <v>36</v>
      </c>
      <c r="M135" s="54">
        <v>117600</v>
      </c>
      <c r="N135" s="54">
        <v>99960</v>
      </c>
      <c r="O135" s="44" t="s">
        <v>265</v>
      </c>
    </row>
    <row r="136" spans="1:15" x14ac:dyDescent="0.3">
      <c r="A136" s="19" t="s">
        <v>1162</v>
      </c>
      <c r="B136" s="19" t="s">
        <v>38</v>
      </c>
      <c r="C136" s="25" t="s">
        <v>247</v>
      </c>
      <c r="D136" s="25" t="s">
        <v>39</v>
      </c>
      <c r="E136" s="25" t="s">
        <v>40</v>
      </c>
      <c r="F136" s="25" t="s">
        <v>28</v>
      </c>
      <c r="G136" s="25" t="s">
        <v>53</v>
      </c>
      <c r="H136" s="34">
        <v>45500</v>
      </c>
      <c r="I136" s="49">
        <v>32</v>
      </c>
      <c r="J136" s="49">
        <v>1200</v>
      </c>
      <c r="K136" s="50">
        <v>0.15</v>
      </c>
      <c r="L136" s="43" t="s">
        <v>36</v>
      </c>
      <c r="M136" s="51">
        <v>38400</v>
      </c>
      <c r="N136" s="51">
        <v>32640</v>
      </c>
      <c r="O136" s="43" t="s">
        <v>265</v>
      </c>
    </row>
    <row r="137" spans="1:15" x14ac:dyDescent="0.3">
      <c r="A137" s="20" t="s">
        <v>1163</v>
      </c>
      <c r="B137" s="20" t="s">
        <v>16</v>
      </c>
      <c r="C137" s="26" t="s">
        <v>250</v>
      </c>
      <c r="D137" s="26" t="s">
        <v>39</v>
      </c>
      <c r="E137" s="26" t="s">
        <v>40</v>
      </c>
      <c r="F137" s="26" t="s">
        <v>34</v>
      </c>
      <c r="G137" s="26" t="s">
        <v>35</v>
      </c>
      <c r="H137" s="35">
        <v>45484</v>
      </c>
      <c r="I137" s="52">
        <v>122</v>
      </c>
      <c r="J137" s="52">
        <v>990</v>
      </c>
      <c r="K137" s="53">
        <v>0.08</v>
      </c>
      <c r="L137" s="44" t="s">
        <v>36</v>
      </c>
      <c r="M137" s="54">
        <v>120780</v>
      </c>
      <c r="N137" s="54">
        <v>111117.6</v>
      </c>
      <c r="O137" s="44" t="s">
        <v>267</v>
      </c>
    </row>
    <row r="138" spans="1:15" x14ac:dyDescent="0.3">
      <c r="A138" s="19" t="s">
        <v>1164</v>
      </c>
      <c r="B138" s="19" t="s">
        <v>16</v>
      </c>
      <c r="C138" s="25" t="s">
        <v>250</v>
      </c>
      <c r="D138" s="25" t="s">
        <v>39</v>
      </c>
      <c r="E138" s="25" t="s">
        <v>27</v>
      </c>
      <c r="F138" s="25" t="s">
        <v>52</v>
      </c>
      <c r="G138" s="25" t="s">
        <v>56</v>
      </c>
      <c r="H138" s="34">
        <v>45486</v>
      </c>
      <c r="I138" s="49">
        <v>75</v>
      </c>
      <c r="J138" s="49">
        <v>990</v>
      </c>
      <c r="K138" s="50">
        <v>0.08</v>
      </c>
      <c r="L138" s="43" t="s">
        <v>30</v>
      </c>
      <c r="M138" s="51">
        <v>74250</v>
      </c>
      <c r="N138" s="51">
        <v>68310</v>
      </c>
      <c r="O138" s="43" t="s">
        <v>265</v>
      </c>
    </row>
    <row r="139" spans="1:15" x14ac:dyDescent="0.3">
      <c r="A139" s="20" t="s">
        <v>1165</v>
      </c>
      <c r="B139" s="20" t="s">
        <v>55</v>
      </c>
      <c r="C139" s="26" t="s">
        <v>249</v>
      </c>
      <c r="D139" s="26" t="s">
        <v>39</v>
      </c>
      <c r="E139" s="26" t="s">
        <v>51</v>
      </c>
      <c r="F139" s="26" t="s">
        <v>34</v>
      </c>
      <c r="G139" s="26" t="s">
        <v>47</v>
      </c>
      <c r="H139" s="35">
        <v>45480</v>
      </c>
      <c r="I139" s="52">
        <v>44</v>
      </c>
      <c r="J139" s="52">
        <v>650</v>
      </c>
      <c r="K139" s="53">
        <v>0</v>
      </c>
      <c r="L139" s="44" t="s">
        <v>30</v>
      </c>
      <c r="M139" s="54">
        <v>28600</v>
      </c>
      <c r="N139" s="54">
        <v>28600</v>
      </c>
      <c r="O139" s="44" t="s">
        <v>265</v>
      </c>
    </row>
    <row r="140" spans="1:15" x14ac:dyDescent="0.3">
      <c r="A140" s="19" t="s">
        <v>1166</v>
      </c>
      <c r="B140" s="19" t="s">
        <v>32</v>
      </c>
      <c r="C140" s="25" t="s">
        <v>246</v>
      </c>
      <c r="D140" s="25" t="s">
        <v>26</v>
      </c>
      <c r="E140" s="25" t="s">
        <v>27</v>
      </c>
      <c r="F140" s="25" t="s">
        <v>34</v>
      </c>
      <c r="G140" s="25" t="s">
        <v>53</v>
      </c>
      <c r="H140" s="34">
        <v>45503</v>
      </c>
      <c r="I140" s="49">
        <v>84</v>
      </c>
      <c r="J140" s="49">
        <v>420</v>
      </c>
      <c r="K140" s="50">
        <v>0.05</v>
      </c>
      <c r="L140" s="43" t="s">
        <v>36</v>
      </c>
      <c r="M140" s="51">
        <v>35280</v>
      </c>
      <c r="N140" s="51">
        <v>33516</v>
      </c>
      <c r="O140" s="43" t="s">
        <v>265</v>
      </c>
    </row>
    <row r="141" spans="1:15" x14ac:dyDescent="0.3">
      <c r="A141" s="20" t="s">
        <v>1167</v>
      </c>
      <c r="B141" s="20" t="s">
        <v>61</v>
      </c>
      <c r="C141" s="26" t="s">
        <v>244</v>
      </c>
      <c r="D141" s="26" t="s">
        <v>26</v>
      </c>
      <c r="E141" s="26" t="s">
        <v>51</v>
      </c>
      <c r="F141" s="26" t="s">
        <v>52</v>
      </c>
      <c r="G141" s="26" t="s">
        <v>42</v>
      </c>
      <c r="H141" s="35">
        <v>45485</v>
      </c>
      <c r="I141" s="52">
        <v>216</v>
      </c>
      <c r="J141" s="52">
        <v>280</v>
      </c>
      <c r="K141" s="53">
        <v>0.14000000000000001</v>
      </c>
      <c r="L141" s="44" t="s">
        <v>36</v>
      </c>
      <c r="M141" s="54">
        <v>60480</v>
      </c>
      <c r="N141" s="54">
        <v>52012.800000000003</v>
      </c>
      <c r="O141" s="44" t="s">
        <v>265</v>
      </c>
    </row>
    <row r="142" spans="1:15" x14ac:dyDescent="0.3">
      <c r="A142" s="19" t="s">
        <v>1168</v>
      </c>
      <c r="B142" s="19" t="s">
        <v>63</v>
      </c>
      <c r="C142" s="25" t="s">
        <v>253</v>
      </c>
      <c r="D142" s="25" t="s">
        <v>50</v>
      </c>
      <c r="E142" s="25" t="s">
        <v>40</v>
      </c>
      <c r="F142" s="25" t="s">
        <v>41</v>
      </c>
      <c r="G142" s="25" t="s">
        <v>56</v>
      </c>
      <c r="H142" s="34">
        <v>45483</v>
      </c>
      <c r="I142" s="49">
        <v>147</v>
      </c>
      <c r="J142" s="49">
        <v>750</v>
      </c>
      <c r="K142" s="50">
        <v>0.11</v>
      </c>
      <c r="L142" s="43" t="s">
        <v>36</v>
      </c>
      <c r="M142" s="51">
        <v>110250</v>
      </c>
      <c r="N142" s="51">
        <v>98122.5</v>
      </c>
      <c r="O142" s="43" t="s">
        <v>265</v>
      </c>
    </row>
    <row r="143" spans="1:15" x14ac:dyDescent="0.3">
      <c r="A143" s="20" t="s">
        <v>1169</v>
      </c>
      <c r="B143" s="20" t="s">
        <v>38</v>
      </c>
      <c r="C143" s="26" t="s">
        <v>247</v>
      </c>
      <c r="D143" s="26" t="s">
        <v>39</v>
      </c>
      <c r="E143" s="26" t="s">
        <v>27</v>
      </c>
      <c r="F143" s="26" t="s">
        <v>52</v>
      </c>
      <c r="G143" s="26" t="s">
        <v>47</v>
      </c>
      <c r="H143" s="35">
        <v>45489</v>
      </c>
      <c r="I143" s="52">
        <v>146</v>
      </c>
      <c r="J143" s="52">
        <v>1200</v>
      </c>
      <c r="K143" s="53">
        <v>0.14000000000000001</v>
      </c>
      <c r="L143" s="44" t="s">
        <v>30</v>
      </c>
      <c r="M143" s="54">
        <v>175200</v>
      </c>
      <c r="N143" s="54">
        <v>150672</v>
      </c>
      <c r="O143" s="44" t="s">
        <v>267</v>
      </c>
    </row>
    <row r="144" spans="1:15" x14ac:dyDescent="0.3">
      <c r="A144" s="19" t="s">
        <v>1170</v>
      </c>
      <c r="B144" s="19" t="s">
        <v>58</v>
      </c>
      <c r="C144" s="25" t="s">
        <v>255</v>
      </c>
      <c r="D144" s="25" t="s">
        <v>59</v>
      </c>
      <c r="E144" s="25" t="s">
        <v>27</v>
      </c>
      <c r="F144" s="25" t="s">
        <v>34</v>
      </c>
      <c r="G144" s="25" t="s">
        <v>53</v>
      </c>
      <c r="H144" s="34">
        <v>45490</v>
      </c>
      <c r="I144" s="49">
        <v>64</v>
      </c>
      <c r="J144" s="49">
        <v>2800</v>
      </c>
      <c r="K144" s="50">
        <v>0.08</v>
      </c>
      <c r="L144" s="43" t="s">
        <v>36</v>
      </c>
      <c r="M144" s="51">
        <v>179200</v>
      </c>
      <c r="N144" s="51">
        <v>164864</v>
      </c>
      <c r="O144" s="43" t="s">
        <v>267</v>
      </c>
    </row>
    <row r="145" spans="1:15" x14ac:dyDescent="0.3">
      <c r="A145" s="20" t="s">
        <v>1171</v>
      </c>
      <c r="B145" s="20" t="s">
        <v>63</v>
      </c>
      <c r="C145" s="26" t="s">
        <v>253</v>
      </c>
      <c r="D145" s="26" t="s">
        <v>50</v>
      </c>
      <c r="E145" s="26" t="s">
        <v>40</v>
      </c>
      <c r="F145" s="26" t="s">
        <v>28</v>
      </c>
      <c r="G145" s="26" t="s">
        <v>42</v>
      </c>
      <c r="H145" s="35">
        <v>45493</v>
      </c>
      <c r="I145" s="52">
        <v>74</v>
      </c>
      <c r="J145" s="52">
        <v>750</v>
      </c>
      <c r="K145" s="53">
        <v>0</v>
      </c>
      <c r="L145" s="44" t="s">
        <v>30</v>
      </c>
      <c r="M145" s="54">
        <v>55500</v>
      </c>
      <c r="N145" s="54">
        <v>55500</v>
      </c>
      <c r="O145" s="44" t="s">
        <v>265</v>
      </c>
    </row>
    <row r="146" spans="1:15" x14ac:dyDescent="0.3">
      <c r="A146" s="19" t="s">
        <v>1172</v>
      </c>
      <c r="B146" s="19" t="s">
        <v>44</v>
      </c>
      <c r="C146" s="25" t="s">
        <v>254</v>
      </c>
      <c r="D146" s="25" t="s">
        <v>39</v>
      </c>
      <c r="E146" s="25" t="s">
        <v>33</v>
      </c>
      <c r="F146" s="25" t="s">
        <v>41</v>
      </c>
      <c r="G146" s="25" t="s">
        <v>42</v>
      </c>
      <c r="H146" s="34">
        <v>45488</v>
      </c>
      <c r="I146" s="49">
        <v>132</v>
      </c>
      <c r="J146" s="49">
        <v>200</v>
      </c>
      <c r="K146" s="50">
        <v>0.05</v>
      </c>
      <c r="L146" s="43" t="s">
        <v>30</v>
      </c>
      <c r="M146" s="51">
        <v>26400</v>
      </c>
      <c r="N146" s="51">
        <v>25080</v>
      </c>
      <c r="O146" s="43" t="s">
        <v>265</v>
      </c>
    </row>
    <row r="147" spans="1:15" x14ac:dyDescent="0.3">
      <c r="A147" s="20" t="s">
        <v>1173</v>
      </c>
      <c r="B147" s="20" t="s">
        <v>38</v>
      </c>
      <c r="C147" s="26" t="s">
        <v>247</v>
      </c>
      <c r="D147" s="26" t="s">
        <v>39</v>
      </c>
      <c r="E147" s="26" t="s">
        <v>33</v>
      </c>
      <c r="F147" s="26" t="s">
        <v>46</v>
      </c>
      <c r="G147" s="26" t="s">
        <v>35</v>
      </c>
      <c r="H147" s="35">
        <v>45501</v>
      </c>
      <c r="I147" s="52">
        <v>111</v>
      </c>
      <c r="J147" s="52">
        <v>1200</v>
      </c>
      <c r="K147" s="53">
        <v>0</v>
      </c>
      <c r="L147" s="44" t="s">
        <v>36</v>
      </c>
      <c r="M147" s="54">
        <v>133200</v>
      </c>
      <c r="N147" s="54">
        <v>133200</v>
      </c>
      <c r="O147" s="44" t="s">
        <v>267</v>
      </c>
    </row>
    <row r="148" spans="1:15" x14ac:dyDescent="0.3">
      <c r="A148" s="19" t="s">
        <v>1174</v>
      </c>
      <c r="B148" s="19" t="s">
        <v>58</v>
      </c>
      <c r="C148" s="25" t="s">
        <v>255</v>
      </c>
      <c r="D148" s="25" t="s">
        <v>59</v>
      </c>
      <c r="E148" s="25" t="s">
        <v>33</v>
      </c>
      <c r="F148" s="25" t="s">
        <v>28</v>
      </c>
      <c r="G148" s="25" t="s">
        <v>53</v>
      </c>
      <c r="H148" s="34">
        <v>45477</v>
      </c>
      <c r="I148" s="49">
        <v>18</v>
      </c>
      <c r="J148" s="49">
        <v>2800</v>
      </c>
      <c r="K148" s="50">
        <v>7.0000000000000007E-2</v>
      </c>
      <c r="L148" s="43" t="s">
        <v>30</v>
      </c>
      <c r="M148" s="51">
        <v>50400</v>
      </c>
      <c r="N148" s="51">
        <v>46872</v>
      </c>
      <c r="O148" s="43" t="s">
        <v>265</v>
      </c>
    </row>
    <row r="149" spans="1:15" x14ac:dyDescent="0.3">
      <c r="A149" s="20" t="s">
        <v>1175</v>
      </c>
      <c r="B149" s="20" t="s">
        <v>58</v>
      </c>
      <c r="C149" s="26" t="s">
        <v>255</v>
      </c>
      <c r="D149" s="26" t="s">
        <v>59</v>
      </c>
      <c r="E149" s="26" t="s">
        <v>33</v>
      </c>
      <c r="F149" s="26" t="s">
        <v>52</v>
      </c>
      <c r="G149" s="26" t="s">
        <v>47</v>
      </c>
      <c r="H149" s="35">
        <v>45476</v>
      </c>
      <c r="I149" s="52">
        <v>57</v>
      </c>
      <c r="J149" s="52">
        <v>2800</v>
      </c>
      <c r="K149" s="53">
        <v>0</v>
      </c>
      <c r="L149" s="44" t="s">
        <v>30</v>
      </c>
      <c r="M149" s="54">
        <v>159600</v>
      </c>
      <c r="N149" s="54">
        <v>159600</v>
      </c>
      <c r="O149" s="44" t="s">
        <v>267</v>
      </c>
    </row>
    <row r="150" spans="1:15" x14ac:dyDescent="0.3">
      <c r="A150" s="19" t="s">
        <v>1176</v>
      </c>
      <c r="B150" s="19" t="s">
        <v>49</v>
      </c>
      <c r="C150" s="25" t="s">
        <v>251</v>
      </c>
      <c r="D150" s="25" t="s">
        <v>50</v>
      </c>
      <c r="E150" s="25" t="s">
        <v>33</v>
      </c>
      <c r="F150" s="25" t="s">
        <v>46</v>
      </c>
      <c r="G150" s="25" t="s">
        <v>35</v>
      </c>
      <c r="H150" s="34">
        <v>45478</v>
      </c>
      <c r="I150" s="49">
        <v>143</v>
      </c>
      <c r="J150" s="49">
        <v>895</v>
      </c>
      <c r="K150" s="50">
        <v>0.12</v>
      </c>
      <c r="L150" s="43" t="s">
        <v>30</v>
      </c>
      <c r="M150" s="51">
        <v>127985</v>
      </c>
      <c r="N150" s="51">
        <v>112626.8</v>
      </c>
      <c r="O150" s="43" t="s">
        <v>267</v>
      </c>
    </row>
    <row r="151" spans="1:15" x14ac:dyDescent="0.3">
      <c r="A151" s="20" t="s">
        <v>1177</v>
      </c>
      <c r="B151" s="20" t="s">
        <v>16</v>
      </c>
      <c r="C151" s="26" t="s">
        <v>250</v>
      </c>
      <c r="D151" s="26" t="s">
        <v>39</v>
      </c>
      <c r="E151" s="26" t="s">
        <v>27</v>
      </c>
      <c r="F151" s="26" t="s">
        <v>46</v>
      </c>
      <c r="G151" s="26" t="s">
        <v>35</v>
      </c>
      <c r="H151" s="35">
        <v>45500</v>
      </c>
      <c r="I151" s="52">
        <v>60</v>
      </c>
      <c r="J151" s="52">
        <v>990</v>
      </c>
      <c r="K151" s="53">
        <v>0.08</v>
      </c>
      <c r="L151" s="44" t="s">
        <v>36</v>
      </c>
      <c r="M151" s="54">
        <v>59400</v>
      </c>
      <c r="N151" s="54">
        <v>54648</v>
      </c>
      <c r="O151" s="44" t="s">
        <v>265</v>
      </c>
    </row>
    <row r="152" spans="1:15" x14ac:dyDescent="0.3">
      <c r="A152" s="19" t="s">
        <v>1178</v>
      </c>
      <c r="B152" s="19" t="s">
        <v>55</v>
      </c>
      <c r="C152" s="25" t="s">
        <v>249</v>
      </c>
      <c r="D152" s="25" t="s">
        <v>39</v>
      </c>
      <c r="E152" s="25" t="s">
        <v>27</v>
      </c>
      <c r="F152" s="25" t="s">
        <v>34</v>
      </c>
      <c r="G152" s="25" t="s">
        <v>47</v>
      </c>
      <c r="H152" s="34">
        <v>45482</v>
      </c>
      <c r="I152" s="49">
        <v>46</v>
      </c>
      <c r="J152" s="49">
        <v>650</v>
      </c>
      <c r="K152" s="50">
        <v>0.05</v>
      </c>
      <c r="L152" s="43" t="s">
        <v>36</v>
      </c>
      <c r="M152" s="51">
        <v>29900</v>
      </c>
      <c r="N152" s="51">
        <v>28405</v>
      </c>
      <c r="O152" s="43" t="s">
        <v>265</v>
      </c>
    </row>
    <row r="153" spans="1:15" x14ac:dyDescent="0.3">
      <c r="A153" s="20" t="s">
        <v>1179</v>
      </c>
      <c r="B153" s="20" t="s">
        <v>16</v>
      </c>
      <c r="C153" s="26" t="s">
        <v>250</v>
      </c>
      <c r="D153" s="26" t="s">
        <v>39</v>
      </c>
      <c r="E153" s="26" t="s">
        <v>51</v>
      </c>
      <c r="F153" s="26" t="s">
        <v>46</v>
      </c>
      <c r="G153" s="26" t="s">
        <v>56</v>
      </c>
      <c r="H153" s="35">
        <v>45484</v>
      </c>
      <c r="I153" s="52">
        <v>36</v>
      </c>
      <c r="J153" s="52">
        <v>990</v>
      </c>
      <c r="K153" s="53">
        <v>0.1</v>
      </c>
      <c r="L153" s="44" t="s">
        <v>30</v>
      </c>
      <c r="M153" s="54">
        <v>35640</v>
      </c>
      <c r="N153" s="54">
        <v>32076</v>
      </c>
      <c r="O153" s="44" t="s">
        <v>265</v>
      </c>
    </row>
    <row r="154" spans="1:15" x14ac:dyDescent="0.3">
      <c r="A154" s="19" t="s">
        <v>1180</v>
      </c>
      <c r="B154" s="19" t="s">
        <v>61</v>
      </c>
      <c r="C154" s="25" t="s">
        <v>244</v>
      </c>
      <c r="D154" s="25" t="s">
        <v>26</v>
      </c>
      <c r="E154" s="25" t="s">
        <v>45</v>
      </c>
      <c r="F154" s="25" t="s">
        <v>41</v>
      </c>
      <c r="G154" s="25" t="s">
        <v>29</v>
      </c>
      <c r="H154" s="34">
        <v>45498</v>
      </c>
      <c r="I154" s="49">
        <v>206</v>
      </c>
      <c r="J154" s="49">
        <v>280</v>
      </c>
      <c r="K154" s="50">
        <v>0.15</v>
      </c>
      <c r="L154" s="43" t="s">
        <v>36</v>
      </c>
      <c r="M154" s="51">
        <v>57680</v>
      </c>
      <c r="N154" s="51">
        <v>49028</v>
      </c>
      <c r="O154" s="43" t="s">
        <v>265</v>
      </c>
    </row>
    <row r="155" spans="1:15" x14ac:dyDescent="0.3">
      <c r="A155" s="20" t="s">
        <v>1181</v>
      </c>
      <c r="B155" s="20" t="s">
        <v>63</v>
      </c>
      <c r="C155" s="26" t="s">
        <v>253</v>
      </c>
      <c r="D155" s="26" t="s">
        <v>50</v>
      </c>
      <c r="E155" s="26" t="s">
        <v>45</v>
      </c>
      <c r="F155" s="26" t="s">
        <v>41</v>
      </c>
      <c r="G155" s="26" t="s">
        <v>42</v>
      </c>
      <c r="H155" s="35">
        <v>45484</v>
      </c>
      <c r="I155" s="52">
        <v>116</v>
      </c>
      <c r="J155" s="52">
        <v>750</v>
      </c>
      <c r="K155" s="53">
        <v>0.14000000000000001</v>
      </c>
      <c r="L155" s="44" t="s">
        <v>36</v>
      </c>
      <c r="M155" s="54">
        <v>87000</v>
      </c>
      <c r="N155" s="54">
        <v>74820</v>
      </c>
      <c r="O155" s="44" t="s">
        <v>265</v>
      </c>
    </row>
    <row r="156" spans="1:15" x14ac:dyDescent="0.3">
      <c r="A156" s="19" t="s">
        <v>1182</v>
      </c>
      <c r="B156" s="19" t="s">
        <v>25</v>
      </c>
      <c r="C156" s="25" t="s">
        <v>257</v>
      </c>
      <c r="D156" s="25" t="s">
        <v>26</v>
      </c>
      <c r="E156" s="25" t="s">
        <v>45</v>
      </c>
      <c r="F156" s="25" t="s">
        <v>28</v>
      </c>
      <c r="G156" s="25" t="s">
        <v>29</v>
      </c>
      <c r="H156" s="34">
        <v>45478</v>
      </c>
      <c r="I156" s="49">
        <v>182</v>
      </c>
      <c r="J156" s="49">
        <v>350</v>
      </c>
      <c r="K156" s="50">
        <v>0.05</v>
      </c>
      <c r="L156" s="43" t="s">
        <v>36</v>
      </c>
      <c r="M156" s="51">
        <v>63700</v>
      </c>
      <c r="N156" s="51">
        <v>60515</v>
      </c>
      <c r="O156" s="43" t="s">
        <v>265</v>
      </c>
    </row>
    <row r="157" spans="1:15" x14ac:dyDescent="0.3">
      <c r="A157" s="20" t="s">
        <v>1183</v>
      </c>
      <c r="B157" s="20" t="s">
        <v>49</v>
      </c>
      <c r="C157" s="26" t="s">
        <v>251</v>
      </c>
      <c r="D157" s="26" t="s">
        <v>50</v>
      </c>
      <c r="E157" s="26" t="s">
        <v>27</v>
      </c>
      <c r="F157" s="26" t="s">
        <v>28</v>
      </c>
      <c r="G157" s="26" t="s">
        <v>35</v>
      </c>
      <c r="H157" s="35">
        <v>45479</v>
      </c>
      <c r="I157" s="52">
        <v>36</v>
      </c>
      <c r="J157" s="52">
        <v>895</v>
      </c>
      <c r="K157" s="53">
        <v>0.14000000000000001</v>
      </c>
      <c r="L157" s="44" t="s">
        <v>36</v>
      </c>
      <c r="M157" s="54">
        <v>32220</v>
      </c>
      <c r="N157" s="54">
        <v>27709.200000000001</v>
      </c>
      <c r="O157" s="44" t="s">
        <v>265</v>
      </c>
    </row>
    <row r="158" spans="1:15" x14ac:dyDescent="0.3">
      <c r="A158" s="19" t="s">
        <v>1184</v>
      </c>
      <c r="B158" s="19" t="s">
        <v>25</v>
      </c>
      <c r="C158" s="25" t="s">
        <v>257</v>
      </c>
      <c r="D158" s="25" t="s">
        <v>26</v>
      </c>
      <c r="E158" s="25" t="s">
        <v>33</v>
      </c>
      <c r="F158" s="25" t="s">
        <v>46</v>
      </c>
      <c r="G158" s="25" t="s">
        <v>47</v>
      </c>
      <c r="H158" s="34">
        <v>45500</v>
      </c>
      <c r="I158" s="49">
        <v>130</v>
      </c>
      <c r="J158" s="49">
        <v>350</v>
      </c>
      <c r="K158" s="50">
        <v>7.0000000000000007E-2</v>
      </c>
      <c r="L158" s="43" t="s">
        <v>30</v>
      </c>
      <c r="M158" s="51">
        <v>45500</v>
      </c>
      <c r="N158" s="51">
        <v>42315</v>
      </c>
      <c r="O158" s="43" t="s">
        <v>265</v>
      </c>
    </row>
    <row r="159" spans="1:15" x14ac:dyDescent="0.3">
      <c r="A159" s="20" t="s">
        <v>1185</v>
      </c>
      <c r="B159" s="20" t="s">
        <v>16</v>
      </c>
      <c r="C159" s="26" t="s">
        <v>250</v>
      </c>
      <c r="D159" s="26" t="s">
        <v>39</v>
      </c>
      <c r="E159" s="26" t="s">
        <v>51</v>
      </c>
      <c r="F159" s="26" t="s">
        <v>41</v>
      </c>
      <c r="G159" s="26" t="s">
        <v>53</v>
      </c>
      <c r="H159" s="35">
        <v>45474</v>
      </c>
      <c r="I159" s="52">
        <v>67</v>
      </c>
      <c r="J159" s="52">
        <v>990</v>
      </c>
      <c r="K159" s="53">
        <v>0</v>
      </c>
      <c r="L159" s="44" t="s">
        <v>36</v>
      </c>
      <c r="M159" s="54">
        <v>66330</v>
      </c>
      <c r="N159" s="54">
        <v>66330</v>
      </c>
      <c r="O159" s="44" t="s">
        <v>265</v>
      </c>
    </row>
    <row r="160" spans="1:15" x14ac:dyDescent="0.3">
      <c r="A160" s="19" t="s">
        <v>1186</v>
      </c>
      <c r="B160" s="19" t="s">
        <v>16</v>
      </c>
      <c r="C160" s="25" t="s">
        <v>250</v>
      </c>
      <c r="D160" s="25" t="s">
        <v>39</v>
      </c>
      <c r="E160" s="25" t="s">
        <v>51</v>
      </c>
      <c r="F160" s="25" t="s">
        <v>28</v>
      </c>
      <c r="G160" s="25" t="s">
        <v>29</v>
      </c>
      <c r="H160" s="34">
        <v>45496</v>
      </c>
      <c r="I160" s="49">
        <v>114</v>
      </c>
      <c r="J160" s="49">
        <v>990</v>
      </c>
      <c r="K160" s="50">
        <v>0.13</v>
      </c>
      <c r="L160" s="43" t="s">
        <v>36</v>
      </c>
      <c r="M160" s="51">
        <v>112860</v>
      </c>
      <c r="N160" s="51">
        <v>98188.2</v>
      </c>
      <c r="O160" s="43" t="s">
        <v>265</v>
      </c>
    </row>
    <row r="161" spans="1:15" x14ac:dyDescent="0.3">
      <c r="A161" s="20" t="s">
        <v>1187</v>
      </c>
      <c r="B161" s="20" t="s">
        <v>49</v>
      </c>
      <c r="C161" s="26" t="s">
        <v>251</v>
      </c>
      <c r="D161" s="26" t="s">
        <v>50</v>
      </c>
      <c r="E161" s="26" t="s">
        <v>33</v>
      </c>
      <c r="F161" s="26" t="s">
        <v>52</v>
      </c>
      <c r="G161" s="26" t="s">
        <v>47</v>
      </c>
      <c r="H161" s="35">
        <v>45478</v>
      </c>
      <c r="I161" s="52">
        <v>85</v>
      </c>
      <c r="J161" s="52">
        <v>895</v>
      </c>
      <c r="K161" s="53">
        <v>0</v>
      </c>
      <c r="L161" s="44" t="s">
        <v>30</v>
      </c>
      <c r="M161" s="54">
        <v>76075</v>
      </c>
      <c r="N161" s="54">
        <v>76075</v>
      </c>
      <c r="O161" s="44" t="s">
        <v>265</v>
      </c>
    </row>
    <row r="162" spans="1:15" x14ac:dyDescent="0.3">
      <c r="A162" s="19" t="s">
        <v>1188</v>
      </c>
      <c r="B162" s="19" t="s">
        <v>63</v>
      </c>
      <c r="C162" s="25" t="s">
        <v>253</v>
      </c>
      <c r="D162" s="25" t="s">
        <v>50</v>
      </c>
      <c r="E162" s="25" t="s">
        <v>51</v>
      </c>
      <c r="F162" s="25" t="s">
        <v>34</v>
      </c>
      <c r="G162" s="25" t="s">
        <v>47</v>
      </c>
      <c r="H162" s="34">
        <v>45498</v>
      </c>
      <c r="I162" s="49">
        <v>132</v>
      </c>
      <c r="J162" s="49">
        <v>750</v>
      </c>
      <c r="K162" s="50">
        <v>0.03</v>
      </c>
      <c r="L162" s="43" t="s">
        <v>36</v>
      </c>
      <c r="M162" s="51">
        <v>99000</v>
      </c>
      <c r="N162" s="51">
        <v>96030</v>
      </c>
      <c r="O162" s="43" t="s">
        <v>265</v>
      </c>
    </row>
    <row r="163" spans="1:15" x14ac:dyDescent="0.3">
      <c r="A163" s="20" t="s">
        <v>1189</v>
      </c>
      <c r="B163" s="20" t="s">
        <v>58</v>
      </c>
      <c r="C163" s="26" t="s">
        <v>255</v>
      </c>
      <c r="D163" s="26" t="s">
        <v>59</v>
      </c>
      <c r="E163" s="26" t="s">
        <v>40</v>
      </c>
      <c r="F163" s="26" t="s">
        <v>34</v>
      </c>
      <c r="G163" s="26" t="s">
        <v>53</v>
      </c>
      <c r="H163" s="35">
        <v>45482</v>
      </c>
      <c r="I163" s="52">
        <v>59</v>
      </c>
      <c r="J163" s="52">
        <v>2800</v>
      </c>
      <c r="K163" s="53">
        <v>0</v>
      </c>
      <c r="L163" s="44" t="s">
        <v>36</v>
      </c>
      <c r="M163" s="54">
        <v>165200</v>
      </c>
      <c r="N163" s="54">
        <v>165200</v>
      </c>
      <c r="O163" s="44" t="s">
        <v>267</v>
      </c>
    </row>
    <row r="164" spans="1:15" x14ac:dyDescent="0.3">
      <c r="A164" s="19" t="s">
        <v>1190</v>
      </c>
      <c r="B164" s="19" t="s">
        <v>32</v>
      </c>
      <c r="C164" s="25" t="s">
        <v>246</v>
      </c>
      <c r="D164" s="25" t="s">
        <v>26</v>
      </c>
      <c r="E164" s="25" t="s">
        <v>33</v>
      </c>
      <c r="F164" s="25" t="s">
        <v>28</v>
      </c>
      <c r="G164" s="25" t="s">
        <v>53</v>
      </c>
      <c r="H164" s="34">
        <v>45495</v>
      </c>
      <c r="I164" s="49">
        <v>147</v>
      </c>
      <c r="J164" s="49">
        <v>420</v>
      </c>
      <c r="K164" s="50">
        <v>0.03</v>
      </c>
      <c r="L164" s="43" t="s">
        <v>36</v>
      </c>
      <c r="M164" s="51">
        <v>61740</v>
      </c>
      <c r="N164" s="51">
        <v>59887.8</v>
      </c>
      <c r="O164" s="43" t="s">
        <v>265</v>
      </c>
    </row>
    <row r="165" spans="1:15" x14ac:dyDescent="0.3">
      <c r="A165" s="20" t="s">
        <v>1191</v>
      </c>
      <c r="B165" s="20" t="s">
        <v>44</v>
      </c>
      <c r="C165" s="26" t="s">
        <v>254</v>
      </c>
      <c r="D165" s="26" t="s">
        <v>39</v>
      </c>
      <c r="E165" s="26" t="s">
        <v>51</v>
      </c>
      <c r="F165" s="26" t="s">
        <v>28</v>
      </c>
      <c r="G165" s="26" t="s">
        <v>47</v>
      </c>
      <c r="H165" s="35">
        <v>45501</v>
      </c>
      <c r="I165" s="52">
        <v>94</v>
      </c>
      <c r="J165" s="52">
        <v>200</v>
      </c>
      <c r="K165" s="53">
        <v>0.05</v>
      </c>
      <c r="L165" s="44" t="s">
        <v>36</v>
      </c>
      <c r="M165" s="54">
        <v>18800</v>
      </c>
      <c r="N165" s="54">
        <v>17860</v>
      </c>
      <c r="O165" s="44" t="s">
        <v>265</v>
      </c>
    </row>
    <row r="166" spans="1:15" x14ac:dyDescent="0.3">
      <c r="A166" s="19" t="s">
        <v>1192</v>
      </c>
      <c r="B166" s="19" t="s">
        <v>63</v>
      </c>
      <c r="C166" s="25" t="s">
        <v>253</v>
      </c>
      <c r="D166" s="25" t="s">
        <v>50</v>
      </c>
      <c r="E166" s="25" t="s">
        <v>45</v>
      </c>
      <c r="F166" s="25" t="s">
        <v>46</v>
      </c>
      <c r="G166" s="25" t="s">
        <v>35</v>
      </c>
      <c r="H166" s="34">
        <v>45494</v>
      </c>
      <c r="I166" s="49">
        <v>95</v>
      </c>
      <c r="J166" s="49">
        <v>750</v>
      </c>
      <c r="K166" s="50">
        <v>0.14000000000000001</v>
      </c>
      <c r="L166" s="43" t="s">
        <v>36</v>
      </c>
      <c r="M166" s="51">
        <v>71250</v>
      </c>
      <c r="N166" s="51">
        <v>61275</v>
      </c>
      <c r="O166" s="43" t="s">
        <v>265</v>
      </c>
    </row>
    <row r="167" spans="1:15" x14ac:dyDescent="0.3">
      <c r="A167" s="20" t="s">
        <v>1193</v>
      </c>
      <c r="B167" s="20" t="s">
        <v>44</v>
      </c>
      <c r="C167" s="26" t="s">
        <v>254</v>
      </c>
      <c r="D167" s="26" t="s">
        <v>39</v>
      </c>
      <c r="E167" s="26" t="s">
        <v>40</v>
      </c>
      <c r="F167" s="26" t="s">
        <v>34</v>
      </c>
      <c r="G167" s="26" t="s">
        <v>29</v>
      </c>
      <c r="H167" s="35">
        <v>45482</v>
      </c>
      <c r="I167" s="52">
        <v>168</v>
      </c>
      <c r="J167" s="52">
        <v>200</v>
      </c>
      <c r="K167" s="53">
        <v>0.05</v>
      </c>
      <c r="L167" s="44" t="s">
        <v>30</v>
      </c>
      <c r="M167" s="54">
        <v>33600</v>
      </c>
      <c r="N167" s="54">
        <v>31920</v>
      </c>
      <c r="O167" s="44" t="s">
        <v>265</v>
      </c>
    </row>
    <row r="168" spans="1:15" x14ac:dyDescent="0.3">
      <c r="A168" s="19" t="s">
        <v>1194</v>
      </c>
      <c r="B168" s="19" t="s">
        <v>32</v>
      </c>
      <c r="C168" s="25" t="s">
        <v>246</v>
      </c>
      <c r="D168" s="25" t="s">
        <v>26</v>
      </c>
      <c r="E168" s="25" t="s">
        <v>33</v>
      </c>
      <c r="F168" s="25" t="s">
        <v>46</v>
      </c>
      <c r="G168" s="25" t="s">
        <v>29</v>
      </c>
      <c r="H168" s="34">
        <v>45503</v>
      </c>
      <c r="I168" s="49">
        <v>172</v>
      </c>
      <c r="J168" s="49">
        <v>420</v>
      </c>
      <c r="K168" s="50">
        <v>0.1</v>
      </c>
      <c r="L168" s="43" t="s">
        <v>36</v>
      </c>
      <c r="M168" s="51">
        <v>72240</v>
      </c>
      <c r="N168" s="51">
        <v>65016</v>
      </c>
      <c r="O168" s="43" t="s">
        <v>265</v>
      </c>
    </row>
    <row r="169" spans="1:15" x14ac:dyDescent="0.3">
      <c r="A169" s="20" t="s">
        <v>1195</v>
      </c>
      <c r="B169" s="20" t="s">
        <v>55</v>
      </c>
      <c r="C169" s="26" t="s">
        <v>249</v>
      </c>
      <c r="D169" s="26" t="s">
        <v>39</v>
      </c>
      <c r="E169" s="26" t="s">
        <v>33</v>
      </c>
      <c r="F169" s="26" t="s">
        <v>52</v>
      </c>
      <c r="G169" s="26" t="s">
        <v>47</v>
      </c>
      <c r="H169" s="35">
        <v>45493</v>
      </c>
      <c r="I169" s="52">
        <v>167</v>
      </c>
      <c r="J169" s="52">
        <v>650</v>
      </c>
      <c r="K169" s="53">
        <v>0.12</v>
      </c>
      <c r="L169" s="44" t="s">
        <v>36</v>
      </c>
      <c r="M169" s="54">
        <v>108550</v>
      </c>
      <c r="N169" s="54">
        <v>95524</v>
      </c>
      <c r="O169" s="44" t="s">
        <v>265</v>
      </c>
    </row>
    <row r="170" spans="1:15" x14ac:dyDescent="0.3">
      <c r="A170" s="19" t="s">
        <v>1196</v>
      </c>
      <c r="B170" s="19" t="s">
        <v>16</v>
      </c>
      <c r="C170" s="25" t="s">
        <v>250</v>
      </c>
      <c r="D170" s="25" t="s">
        <v>39</v>
      </c>
      <c r="E170" s="25" t="s">
        <v>27</v>
      </c>
      <c r="F170" s="25" t="s">
        <v>52</v>
      </c>
      <c r="G170" s="25" t="s">
        <v>29</v>
      </c>
      <c r="H170" s="34">
        <v>45498</v>
      </c>
      <c r="I170" s="49">
        <v>34</v>
      </c>
      <c r="J170" s="49">
        <v>990</v>
      </c>
      <c r="K170" s="50">
        <v>0</v>
      </c>
      <c r="L170" s="43" t="s">
        <v>36</v>
      </c>
      <c r="M170" s="51">
        <v>33660</v>
      </c>
      <c r="N170" s="51">
        <v>33660</v>
      </c>
      <c r="O170" s="43" t="s">
        <v>265</v>
      </c>
    </row>
    <row r="171" spans="1:15" x14ac:dyDescent="0.3">
      <c r="A171" s="20" t="s">
        <v>1197</v>
      </c>
      <c r="B171" s="20" t="s">
        <v>25</v>
      </c>
      <c r="C171" s="26" t="s">
        <v>257</v>
      </c>
      <c r="D171" s="26" t="s">
        <v>26</v>
      </c>
      <c r="E171" s="26" t="s">
        <v>45</v>
      </c>
      <c r="F171" s="26" t="s">
        <v>34</v>
      </c>
      <c r="G171" s="26" t="s">
        <v>47</v>
      </c>
      <c r="H171" s="35">
        <v>45482</v>
      </c>
      <c r="I171" s="52">
        <v>44</v>
      </c>
      <c r="J171" s="52">
        <v>350</v>
      </c>
      <c r="K171" s="53">
        <v>7.0000000000000007E-2</v>
      </c>
      <c r="L171" s="44" t="s">
        <v>30</v>
      </c>
      <c r="M171" s="54">
        <v>15400</v>
      </c>
      <c r="N171" s="54">
        <v>14322</v>
      </c>
      <c r="O171" s="44" t="s">
        <v>265</v>
      </c>
    </row>
    <row r="172" spans="1:15" x14ac:dyDescent="0.3">
      <c r="A172" s="19" t="s">
        <v>1198</v>
      </c>
      <c r="B172" s="19" t="s">
        <v>49</v>
      </c>
      <c r="C172" s="25" t="s">
        <v>251</v>
      </c>
      <c r="D172" s="25" t="s">
        <v>50</v>
      </c>
      <c r="E172" s="25" t="s">
        <v>45</v>
      </c>
      <c r="F172" s="25" t="s">
        <v>28</v>
      </c>
      <c r="G172" s="25" t="s">
        <v>47</v>
      </c>
      <c r="H172" s="34">
        <v>45499</v>
      </c>
      <c r="I172" s="49">
        <v>108</v>
      </c>
      <c r="J172" s="49">
        <v>895</v>
      </c>
      <c r="K172" s="50">
        <v>0.14000000000000001</v>
      </c>
      <c r="L172" s="43" t="s">
        <v>36</v>
      </c>
      <c r="M172" s="51">
        <v>96660</v>
      </c>
      <c r="N172" s="51">
        <v>83127.600000000006</v>
      </c>
      <c r="O172" s="43" t="s">
        <v>265</v>
      </c>
    </row>
    <row r="173" spans="1:15" x14ac:dyDescent="0.3">
      <c r="A173" s="20" t="s">
        <v>1199</v>
      </c>
      <c r="B173" s="20" t="s">
        <v>49</v>
      </c>
      <c r="C173" s="26" t="s">
        <v>251</v>
      </c>
      <c r="D173" s="26" t="s">
        <v>50</v>
      </c>
      <c r="E173" s="26" t="s">
        <v>33</v>
      </c>
      <c r="F173" s="26" t="s">
        <v>28</v>
      </c>
      <c r="G173" s="26" t="s">
        <v>53</v>
      </c>
      <c r="H173" s="35">
        <v>45485</v>
      </c>
      <c r="I173" s="52">
        <v>76</v>
      </c>
      <c r="J173" s="52">
        <v>895</v>
      </c>
      <c r="K173" s="53">
        <v>0.08</v>
      </c>
      <c r="L173" s="44" t="s">
        <v>36</v>
      </c>
      <c r="M173" s="54">
        <v>68020</v>
      </c>
      <c r="N173" s="54">
        <v>62578.400000000001</v>
      </c>
      <c r="O173" s="44" t="s">
        <v>265</v>
      </c>
    </row>
    <row r="174" spans="1:15" x14ac:dyDescent="0.3">
      <c r="A174" s="19" t="s">
        <v>1200</v>
      </c>
      <c r="B174" s="19" t="s">
        <v>25</v>
      </c>
      <c r="C174" s="25" t="s">
        <v>257</v>
      </c>
      <c r="D174" s="25" t="s">
        <v>26</v>
      </c>
      <c r="E174" s="25" t="s">
        <v>51</v>
      </c>
      <c r="F174" s="25" t="s">
        <v>41</v>
      </c>
      <c r="G174" s="25" t="s">
        <v>42</v>
      </c>
      <c r="H174" s="34">
        <v>45490</v>
      </c>
      <c r="I174" s="49">
        <v>178</v>
      </c>
      <c r="J174" s="49">
        <v>350</v>
      </c>
      <c r="K174" s="50">
        <v>0.15</v>
      </c>
      <c r="L174" s="43" t="s">
        <v>36</v>
      </c>
      <c r="M174" s="51">
        <v>62300</v>
      </c>
      <c r="N174" s="51">
        <v>52955</v>
      </c>
      <c r="O174" s="43" t="s">
        <v>265</v>
      </c>
    </row>
    <row r="175" spans="1:15" x14ac:dyDescent="0.3">
      <c r="A175" s="20" t="s">
        <v>1201</v>
      </c>
      <c r="B175" s="20" t="s">
        <v>58</v>
      </c>
      <c r="C175" s="26" t="s">
        <v>255</v>
      </c>
      <c r="D175" s="26" t="s">
        <v>59</v>
      </c>
      <c r="E175" s="26" t="s">
        <v>40</v>
      </c>
      <c r="F175" s="26" t="s">
        <v>34</v>
      </c>
      <c r="G175" s="26" t="s">
        <v>42</v>
      </c>
      <c r="H175" s="35">
        <v>45481</v>
      </c>
      <c r="I175" s="52">
        <v>64</v>
      </c>
      <c r="J175" s="52">
        <v>2800</v>
      </c>
      <c r="K175" s="53">
        <v>0.11</v>
      </c>
      <c r="L175" s="44" t="s">
        <v>36</v>
      </c>
      <c r="M175" s="54">
        <v>179200</v>
      </c>
      <c r="N175" s="54">
        <v>159488</v>
      </c>
      <c r="O175" s="44" t="s">
        <v>267</v>
      </c>
    </row>
    <row r="176" spans="1:15" x14ac:dyDescent="0.3">
      <c r="A176" s="19" t="s">
        <v>1202</v>
      </c>
      <c r="B176" s="19" t="s">
        <v>61</v>
      </c>
      <c r="C176" s="25" t="s">
        <v>244</v>
      </c>
      <c r="D176" s="25" t="s">
        <v>26</v>
      </c>
      <c r="E176" s="25" t="s">
        <v>45</v>
      </c>
      <c r="F176" s="25" t="s">
        <v>34</v>
      </c>
      <c r="G176" s="25" t="s">
        <v>35</v>
      </c>
      <c r="H176" s="34">
        <v>45474</v>
      </c>
      <c r="I176" s="49">
        <v>41</v>
      </c>
      <c r="J176" s="49">
        <v>280</v>
      </c>
      <c r="K176" s="50">
        <v>0</v>
      </c>
      <c r="L176" s="43" t="s">
        <v>36</v>
      </c>
      <c r="M176" s="51">
        <v>11480</v>
      </c>
      <c r="N176" s="51">
        <v>11480</v>
      </c>
      <c r="O176" s="43" t="s">
        <v>265</v>
      </c>
    </row>
    <row r="177" spans="1:15" x14ac:dyDescent="0.3">
      <c r="A177" s="20" t="s">
        <v>1203</v>
      </c>
      <c r="B177" s="20" t="s">
        <v>32</v>
      </c>
      <c r="C177" s="26" t="s">
        <v>246</v>
      </c>
      <c r="D177" s="26" t="s">
        <v>26</v>
      </c>
      <c r="E177" s="26" t="s">
        <v>51</v>
      </c>
      <c r="F177" s="26" t="s">
        <v>28</v>
      </c>
      <c r="G177" s="26" t="s">
        <v>42</v>
      </c>
      <c r="H177" s="35">
        <v>45499</v>
      </c>
      <c r="I177" s="52">
        <v>197</v>
      </c>
      <c r="J177" s="52">
        <v>420</v>
      </c>
      <c r="K177" s="53">
        <v>0.13</v>
      </c>
      <c r="L177" s="44" t="s">
        <v>36</v>
      </c>
      <c r="M177" s="54">
        <v>82740</v>
      </c>
      <c r="N177" s="54">
        <v>71983.8</v>
      </c>
      <c r="O177" s="44" t="s">
        <v>265</v>
      </c>
    </row>
    <row r="178" spans="1:15" x14ac:dyDescent="0.3">
      <c r="A178" s="19" t="s">
        <v>1204</v>
      </c>
      <c r="B178" s="19" t="s">
        <v>16</v>
      </c>
      <c r="C178" s="25" t="s">
        <v>250</v>
      </c>
      <c r="D178" s="25" t="s">
        <v>39</v>
      </c>
      <c r="E178" s="25" t="s">
        <v>33</v>
      </c>
      <c r="F178" s="25" t="s">
        <v>52</v>
      </c>
      <c r="G178" s="25" t="s">
        <v>53</v>
      </c>
      <c r="H178" s="34">
        <v>45493</v>
      </c>
      <c r="I178" s="49">
        <v>107</v>
      </c>
      <c r="J178" s="49">
        <v>990</v>
      </c>
      <c r="K178" s="50">
        <v>0.13</v>
      </c>
      <c r="L178" s="43" t="s">
        <v>36</v>
      </c>
      <c r="M178" s="51">
        <v>105930</v>
      </c>
      <c r="N178" s="51">
        <v>92159.1</v>
      </c>
      <c r="O178" s="43" t="s">
        <v>265</v>
      </c>
    </row>
    <row r="179" spans="1:15" x14ac:dyDescent="0.3">
      <c r="A179" s="20" t="s">
        <v>1205</v>
      </c>
      <c r="B179" s="20" t="s">
        <v>16</v>
      </c>
      <c r="C179" s="26" t="s">
        <v>250</v>
      </c>
      <c r="D179" s="26" t="s">
        <v>39</v>
      </c>
      <c r="E179" s="26" t="s">
        <v>51</v>
      </c>
      <c r="F179" s="26" t="s">
        <v>34</v>
      </c>
      <c r="G179" s="26" t="s">
        <v>53</v>
      </c>
      <c r="H179" s="35">
        <v>45481</v>
      </c>
      <c r="I179" s="52">
        <v>53</v>
      </c>
      <c r="J179" s="52">
        <v>990</v>
      </c>
      <c r="K179" s="53">
        <v>0</v>
      </c>
      <c r="L179" s="44" t="s">
        <v>36</v>
      </c>
      <c r="M179" s="54">
        <v>52470</v>
      </c>
      <c r="N179" s="54">
        <v>52470</v>
      </c>
      <c r="O179" s="44" t="s">
        <v>265</v>
      </c>
    </row>
    <row r="180" spans="1:15" x14ac:dyDescent="0.3">
      <c r="A180" s="19" t="s">
        <v>1206</v>
      </c>
      <c r="B180" s="19" t="s">
        <v>25</v>
      </c>
      <c r="C180" s="25" t="s">
        <v>257</v>
      </c>
      <c r="D180" s="25" t="s">
        <v>26</v>
      </c>
      <c r="E180" s="25" t="s">
        <v>33</v>
      </c>
      <c r="F180" s="25" t="s">
        <v>52</v>
      </c>
      <c r="G180" s="25" t="s">
        <v>35</v>
      </c>
      <c r="H180" s="34">
        <v>45492</v>
      </c>
      <c r="I180" s="49">
        <v>181</v>
      </c>
      <c r="J180" s="49">
        <v>350</v>
      </c>
      <c r="K180" s="50">
        <v>0</v>
      </c>
      <c r="L180" s="43" t="s">
        <v>30</v>
      </c>
      <c r="M180" s="51">
        <v>63350</v>
      </c>
      <c r="N180" s="51">
        <v>63350</v>
      </c>
      <c r="O180" s="43" t="s">
        <v>265</v>
      </c>
    </row>
    <row r="181" spans="1:15" x14ac:dyDescent="0.3">
      <c r="A181" s="20" t="s">
        <v>1207</v>
      </c>
      <c r="B181" s="20" t="s">
        <v>32</v>
      </c>
      <c r="C181" s="26" t="s">
        <v>246</v>
      </c>
      <c r="D181" s="26" t="s">
        <v>26</v>
      </c>
      <c r="E181" s="26" t="s">
        <v>27</v>
      </c>
      <c r="F181" s="26" t="s">
        <v>41</v>
      </c>
      <c r="G181" s="26" t="s">
        <v>35</v>
      </c>
      <c r="H181" s="35">
        <v>45489</v>
      </c>
      <c r="I181" s="52">
        <v>190</v>
      </c>
      <c r="J181" s="52">
        <v>420</v>
      </c>
      <c r="K181" s="53">
        <v>0.03</v>
      </c>
      <c r="L181" s="44" t="s">
        <v>36</v>
      </c>
      <c r="M181" s="54">
        <v>79800</v>
      </c>
      <c r="N181" s="54">
        <v>77406</v>
      </c>
      <c r="O181" s="44" t="s">
        <v>265</v>
      </c>
    </row>
    <row r="182" spans="1:15" x14ac:dyDescent="0.3">
      <c r="A182" s="19" t="s">
        <v>1208</v>
      </c>
      <c r="B182" s="19" t="s">
        <v>58</v>
      </c>
      <c r="C182" s="25" t="s">
        <v>255</v>
      </c>
      <c r="D182" s="25" t="s">
        <v>59</v>
      </c>
      <c r="E182" s="25" t="s">
        <v>27</v>
      </c>
      <c r="F182" s="25" t="s">
        <v>28</v>
      </c>
      <c r="G182" s="25" t="s">
        <v>35</v>
      </c>
      <c r="H182" s="34">
        <v>45496</v>
      </c>
      <c r="I182" s="49">
        <v>87</v>
      </c>
      <c r="J182" s="49">
        <v>2800</v>
      </c>
      <c r="K182" s="50">
        <v>0.13</v>
      </c>
      <c r="L182" s="43" t="s">
        <v>36</v>
      </c>
      <c r="M182" s="51">
        <v>243600</v>
      </c>
      <c r="N182" s="51">
        <v>211932</v>
      </c>
      <c r="O182" s="43" t="s">
        <v>267</v>
      </c>
    </row>
    <row r="183" spans="1:15" x14ac:dyDescent="0.3">
      <c r="A183" s="20" t="s">
        <v>1209</v>
      </c>
      <c r="B183" s="20" t="s">
        <v>38</v>
      </c>
      <c r="C183" s="26" t="s">
        <v>247</v>
      </c>
      <c r="D183" s="26" t="s">
        <v>39</v>
      </c>
      <c r="E183" s="26" t="s">
        <v>33</v>
      </c>
      <c r="F183" s="26" t="s">
        <v>34</v>
      </c>
      <c r="G183" s="26" t="s">
        <v>29</v>
      </c>
      <c r="H183" s="35">
        <v>45530</v>
      </c>
      <c r="I183" s="52">
        <v>60</v>
      </c>
      <c r="J183" s="52">
        <v>1200</v>
      </c>
      <c r="K183" s="53">
        <v>0.14000000000000001</v>
      </c>
      <c r="L183" s="44" t="s">
        <v>30</v>
      </c>
      <c r="M183" s="54">
        <v>72000</v>
      </c>
      <c r="N183" s="54">
        <v>61920</v>
      </c>
      <c r="O183" s="44" t="s">
        <v>265</v>
      </c>
    </row>
    <row r="184" spans="1:15" x14ac:dyDescent="0.3">
      <c r="A184" s="19" t="s">
        <v>1210</v>
      </c>
      <c r="B184" s="19" t="s">
        <v>38</v>
      </c>
      <c r="C184" s="25" t="s">
        <v>247</v>
      </c>
      <c r="D184" s="25" t="s">
        <v>39</v>
      </c>
      <c r="E184" s="25" t="s">
        <v>45</v>
      </c>
      <c r="F184" s="25" t="s">
        <v>46</v>
      </c>
      <c r="G184" s="25" t="s">
        <v>29</v>
      </c>
      <c r="H184" s="34">
        <v>45516</v>
      </c>
      <c r="I184" s="49">
        <v>100</v>
      </c>
      <c r="J184" s="49">
        <v>1200</v>
      </c>
      <c r="K184" s="50">
        <v>0.08</v>
      </c>
      <c r="L184" s="43" t="s">
        <v>36</v>
      </c>
      <c r="M184" s="51">
        <v>120000</v>
      </c>
      <c r="N184" s="51">
        <v>110400</v>
      </c>
      <c r="O184" s="43" t="s">
        <v>267</v>
      </c>
    </row>
    <row r="185" spans="1:15" x14ac:dyDescent="0.3">
      <c r="A185" s="20" t="s">
        <v>1211</v>
      </c>
      <c r="B185" s="20" t="s">
        <v>63</v>
      </c>
      <c r="C185" s="26" t="s">
        <v>253</v>
      </c>
      <c r="D185" s="26" t="s">
        <v>50</v>
      </c>
      <c r="E185" s="26" t="s">
        <v>27</v>
      </c>
      <c r="F185" s="26" t="s">
        <v>52</v>
      </c>
      <c r="G185" s="26" t="s">
        <v>29</v>
      </c>
      <c r="H185" s="35">
        <v>45530</v>
      </c>
      <c r="I185" s="52">
        <v>34</v>
      </c>
      <c r="J185" s="52">
        <v>750</v>
      </c>
      <c r="K185" s="53">
        <v>0.14000000000000001</v>
      </c>
      <c r="L185" s="44" t="s">
        <v>36</v>
      </c>
      <c r="M185" s="54">
        <v>25500</v>
      </c>
      <c r="N185" s="54">
        <v>21930</v>
      </c>
      <c r="O185" s="44" t="s">
        <v>265</v>
      </c>
    </row>
    <row r="186" spans="1:15" x14ac:dyDescent="0.3">
      <c r="A186" s="19" t="s">
        <v>1212</v>
      </c>
      <c r="B186" s="19" t="s">
        <v>32</v>
      </c>
      <c r="C186" s="25" t="s">
        <v>246</v>
      </c>
      <c r="D186" s="25" t="s">
        <v>26</v>
      </c>
      <c r="E186" s="25" t="s">
        <v>45</v>
      </c>
      <c r="F186" s="25" t="s">
        <v>28</v>
      </c>
      <c r="G186" s="25" t="s">
        <v>53</v>
      </c>
      <c r="H186" s="34">
        <v>45524</v>
      </c>
      <c r="I186" s="49">
        <v>134</v>
      </c>
      <c r="J186" s="49">
        <v>420</v>
      </c>
      <c r="K186" s="50">
        <v>0.05</v>
      </c>
      <c r="L186" s="43" t="s">
        <v>36</v>
      </c>
      <c r="M186" s="51">
        <v>56280</v>
      </c>
      <c r="N186" s="51">
        <v>53466</v>
      </c>
      <c r="O186" s="43" t="s">
        <v>265</v>
      </c>
    </row>
    <row r="187" spans="1:15" x14ac:dyDescent="0.3">
      <c r="A187" s="20" t="s">
        <v>1213</v>
      </c>
      <c r="B187" s="20" t="s">
        <v>49</v>
      </c>
      <c r="C187" s="26" t="s">
        <v>251</v>
      </c>
      <c r="D187" s="26" t="s">
        <v>50</v>
      </c>
      <c r="E187" s="26" t="s">
        <v>27</v>
      </c>
      <c r="F187" s="26" t="s">
        <v>41</v>
      </c>
      <c r="G187" s="26" t="s">
        <v>53</v>
      </c>
      <c r="H187" s="35">
        <v>45515</v>
      </c>
      <c r="I187" s="52">
        <v>123</v>
      </c>
      <c r="J187" s="52">
        <v>895</v>
      </c>
      <c r="K187" s="53">
        <v>0</v>
      </c>
      <c r="L187" s="44" t="s">
        <v>30</v>
      </c>
      <c r="M187" s="54">
        <v>110085</v>
      </c>
      <c r="N187" s="54">
        <v>110085</v>
      </c>
      <c r="O187" s="44" t="s">
        <v>267</v>
      </c>
    </row>
    <row r="188" spans="1:15" x14ac:dyDescent="0.3">
      <c r="A188" s="19" t="s">
        <v>1214</v>
      </c>
      <c r="B188" s="19" t="s">
        <v>58</v>
      </c>
      <c r="C188" s="25" t="s">
        <v>255</v>
      </c>
      <c r="D188" s="25" t="s">
        <v>59</v>
      </c>
      <c r="E188" s="25" t="s">
        <v>51</v>
      </c>
      <c r="F188" s="25" t="s">
        <v>34</v>
      </c>
      <c r="G188" s="25" t="s">
        <v>53</v>
      </c>
      <c r="H188" s="34">
        <v>45527</v>
      </c>
      <c r="I188" s="49">
        <v>19</v>
      </c>
      <c r="J188" s="49">
        <v>2800</v>
      </c>
      <c r="K188" s="50">
        <v>0.14000000000000001</v>
      </c>
      <c r="L188" s="43" t="s">
        <v>30</v>
      </c>
      <c r="M188" s="51">
        <v>53200</v>
      </c>
      <c r="N188" s="51">
        <v>45752</v>
      </c>
      <c r="O188" s="43" t="s">
        <v>265</v>
      </c>
    </row>
    <row r="189" spans="1:15" x14ac:dyDescent="0.3">
      <c r="A189" s="20" t="s">
        <v>1215</v>
      </c>
      <c r="B189" s="20" t="s">
        <v>63</v>
      </c>
      <c r="C189" s="26" t="s">
        <v>253</v>
      </c>
      <c r="D189" s="26" t="s">
        <v>50</v>
      </c>
      <c r="E189" s="26" t="s">
        <v>45</v>
      </c>
      <c r="F189" s="26" t="s">
        <v>46</v>
      </c>
      <c r="G189" s="26" t="s">
        <v>53</v>
      </c>
      <c r="H189" s="35">
        <v>45525</v>
      </c>
      <c r="I189" s="52">
        <v>36</v>
      </c>
      <c r="J189" s="52">
        <v>750</v>
      </c>
      <c r="K189" s="53">
        <v>0.14000000000000001</v>
      </c>
      <c r="L189" s="44" t="s">
        <v>36</v>
      </c>
      <c r="M189" s="54">
        <v>27000</v>
      </c>
      <c r="N189" s="54">
        <v>23220</v>
      </c>
      <c r="O189" s="44" t="s">
        <v>265</v>
      </c>
    </row>
    <row r="190" spans="1:15" x14ac:dyDescent="0.3">
      <c r="A190" s="19" t="s">
        <v>1216</v>
      </c>
      <c r="B190" s="19" t="s">
        <v>61</v>
      </c>
      <c r="C190" s="25" t="s">
        <v>244</v>
      </c>
      <c r="D190" s="25" t="s">
        <v>26</v>
      </c>
      <c r="E190" s="25" t="s">
        <v>27</v>
      </c>
      <c r="F190" s="25" t="s">
        <v>28</v>
      </c>
      <c r="G190" s="25" t="s">
        <v>29</v>
      </c>
      <c r="H190" s="34">
        <v>45516</v>
      </c>
      <c r="I190" s="49">
        <v>108</v>
      </c>
      <c r="J190" s="49">
        <v>280</v>
      </c>
      <c r="K190" s="50">
        <v>0.1</v>
      </c>
      <c r="L190" s="43" t="s">
        <v>36</v>
      </c>
      <c r="M190" s="51">
        <v>30240</v>
      </c>
      <c r="N190" s="51">
        <v>27216</v>
      </c>
      <c r="O190" s="43" t="s">
        <v>265</v>
      </c>
    </row>
    <row r="191" spans="1:15" x14ac:dyDescent="0.3">
      <c r="A191" s="20" t="s">
        <v>1217</v>
      </c>
      <c r="B191" s="20" t="s">
        <v>16</v>
      </c>
      <c r="C191" s="26" t="s">
        <v>250</v>
      </c>
      <c r="D191" s="26" t="s">
        <v>39</v>
      </c>
      <c r="E191" s="26" t="s">
        <v>40</v>
      </c>
      <c r="F191" s="26" t="s">
        <v>41</v>
      </c>
      <c r="G191" s="26" t="s">
        <v>35</v>
      </c>
      <c r="H191" s="35">
        <v>45533</v>
      </c>
      <c r="I191" s="52">
        <v>33</v>
      </c>
      <c r="J191" s="52">
        <v>990</v>
      </c>
      <c r="K191" s="53">
        <v>0.08</v>
      </c>
      <c r="L191" s="44" t="s">
        <v>36</v>
      </c>
      <c r="M191" s="54">
        <v>32670</v>
      </c>
      <c r="N191" s="54">
        <v>30056.400000000001</v>
      </c>
      <c r="O191" s="44" t="s">
        <v>265</v>
      </c>
    </row>
    <row r="192" spans="1:15" x14ac:dyDescent="0.3">
      <c r="A192" s="19" t="s">
        <v>1218</v>
      </c>
      <c r="B192" s="19" t="s">
        <v>63</v>
      </c>
      <c r="C192" s="25" t="s">
        <v>253</v>
      </c>
      <c r="D192" s="25" t="s">
        <v>50</v>
      </c>
      <c r="E192" s="25" t="s">
        <v>45</v>
      </c>
      <c r="F192" s="25" t="s">
        <v>28</v>
      </c>
      <c r="G192" s="25" t="s">
        <v>53</v>
      </c>
      <c r="H192" s="34">
        <v>45535</v>
      </c>
      <c r="I192" s="49">
        <v>128</v>
      </c>
      <c r="J192" s="49">
        <v>750</v>
      </c>
      <c r="K192" s="50">
        <v>0.12</v>
      </c>
      <c r="L192" s="43" t="s">
        <v>36</v>
      </c>
      <c r="M192" s="51">
        <v>96000</v>
      </c>
      <c r="N192" s="51">
        <v>84480</v>
      </c>
      <c r="O192" s="43" t="s">
        <v>265</v>
      </c>
    </row>
    <row r="193" spans="1:15" x14ac:dyDescent="0.3">
      <c r="A193" s="20" t="s">
        <v>1219</v>
      </c>
      <c r="B193" s="20" t="s">
        <v>63</v>
      </c>
      <c r="C193" s="26" t="s">
        <v>253</v>
      </c>
      <c r="D193" s="26" t="s">
        <v>50</v>
      </c>
      <c r="E193" s="26" t="s">
        <v>40</v>
      </c>
      <c r="F193" s="26" t="s">
        <v>28</v>
      </c>
      <c r="G193" s="26" t="s">
        <v>47</v>
      </c>
      <c r="H193" s="35">
        <v>45518</v>
      </c>
      <c r="I193" s="52">
        <v>124</v>
      </c>
      <c r="J193" s="52">
        <v>750</v>
      </c>
      <c r="K193" s="53">
        <v>0.05</v>
      </c>
      <c r="L193" s="44" t="s">
        <v>36</v>
      </c>
      <c r="M193" s="54">
        <v>93000</v>
      </c>
      <c r="N193" s="54">
        <v>88350</v>
      </c>
      <c r="O193" s="44" t="s">
        <v>265</v>
      </c>
    </row>
    <row r="194" spans="1:15" x14ac:dyDescent="0.3">
      <c r="A194" s="19" t="s">
        <v>1220</v>
      </c>
      <c r="B194" s="19" t="s">
        <v>25</v>
      </c>
      <c r="C194" s="25" t="s">
        <v>257</v>
      </c>
      <c r="D194" s="25" t="s">
        <v>26</v>
      </c>
      <c r="E194" s="25" t="s">
        <v>40</v>
      </c>
      <c r="F194" s="25" t="s">
        <v>41</v>
      </c>
      <c r="G194" s="25" t="s">
        <v>35</v>
      </c>
      <c r="H194" s="34">
        <v>45529</v>
      </c>
      <c r="I194" s="49">
        <v>156</v>
      </c>
      <c r="J194" s="49">
        <v>350</v>
      </c>
      <c r="K194" s="50">
        <v>0.05</v>
      </c>
      <c r="L194" s="43" t="s">
        <v>30</v>
      </c>
      <c r="M194" s="51">
        <v>54600</v>
      </c>
      <c r="N194" s="51">
        <v>51870</v>
      </c>
      <c r="O194" s="43" t="s">
        <v>265</v>
      </c>
    </row>
    <row r="195" spans="1:15" x14ac:dyDescent="0.3">
      <c r="A195" s="20" t="s">
        <v>1221</v>
      </c>
      <c r="B195" s="20" t="s">
        <v>49</v>
      </c>
      <c r="C195" s="26" t="s">
        <v>251</v>
      </c>
      <c r="D195" s="26" t="s">
        <v>50</v>
      </c>
      <c r="E195" s="26" t="s">
        <v>51</v>
      </c>
      <c r="F195" s="26" t="s">
        <v>46</v>
      </c>
      <c r="G195" s="26" t="s">
        <v>53</v>
      </c>
      <c r="H195" s="35">
        <v>45520</v>
      </c>
      <c r="I195" s="52">
        <v>148</v>
      </c>
      <c r="J195" s="52">
        <v>895</v>
      </c>
      <c r="K195" s="53">
        <v>0</v>
      </c>
      <c r="L195" s="44" t="s">
        <v>36</v>
      </c>
      <c r="M195" s="54">
        <v>132460</v>
      </c>
      <c r="N195" s="54">
        <v>132460</v>
      </c>
      <c r="O195" s="44" t="s">
        <v>267</v>
      </c>
    </row>
    <row r="196" spans="1:15" x14ac:dyDescent="0.3">
      <c r="A196" s="19" t="s">
        <v>1222</v>
      </c>
      <c r="B196" s="19" t="s">
        <v>25</v>
      </c>
      <c r="C196" s="25" t="s">
        <v>257</v>
      </c>
      <c r="D196" s="25" t="s">
        <v>26</v>
      </c>
      <c r="E196" s="25" t="s">
        <v>45</v>
      </c>
      <c r="F196" s="25" t="s">
        <v>52</v>
      </c>
      <c r="G196" s="25" t="s">
        <v>42</v>
      </c>
      <c r="H196" s="34">
        <v>45517</v>
      </c>
      <c r="I196" s="49">
        <v>175</v>
      </c>
      <c r="J196" s="49">
        <v>350</v>
      </c>
      <c r="K196" s="50">
        <v>0.05</v>
      </c>
      <c r="L196" s="43" t="s">
        <v>36</v>
      </c>
      <c r="M196" s="51">
        <v>61250</v>
      </c>
      <c r="N196" s="51">
        <v>58187.5</v>
      </c>
      <c r="O196" s="43" t="s">
        <v>265</v>
      </c>
    </row>
    <row r="197" spans="1:15" x14ac:dyDescent="0.3">
      <c r="A197" s="20" t="s">
        <v>1223</v>
      </c>
      <c r="B197" s="20" t="s">
        <v>16</v>
      </c>
      <c r="C197" s="26" t="s">
        <v>250</v>
      </c>
      <c r="D197" s="26" t="s">
        <v>39</v>
      </c>
      <c r="E197" s="26" t="s">
        <v>45</v>
      </c>
      <c r="F197" s="26" t="s">
        <v>46</v>
      </c>
      <c r="G197" s="26" t="s">
        <v>35</v>
      </c>
      <c r="H197" s="35">
        <v>45521</v>
      </c>
      <c r="I197" s="52">
        <v>26</v>
      </c>
      <c r="J197" s="52">
        <v>990</v>
      </c>
      <c r="K197" s="53">
        <v>0</v>
      </c>
      <c r="L197" s="44" t="s">
        <v>36</v>
      </c>
      <c r="M197" s="54">
        <v>25740</v>
      </c>
      <c r="N197" s="54">
        <v>25740</v>
      </c>
      <c r="O197" s="44" t="s">
        <v>265</v>
      </c>
    </row>
    <row r="198" spans="1:15" x14ac:dyDescent="0.3">
      <c r="A198" s="19" t="s">
        <v>1224</v>
      </c>
      <c r="B198" s="19" t="s">
        <v>25</v>
      </c>
      <c r="C198" s="25" t="s">
        <v>257</v>
      </c>
      <c r="D198" s="25" t="s">
        <v>26</v>
      </c>
      <c r="E198" s="25" t="s">
        <v>45</v>
      </c>
      <c r="F198" s="25" t="s">
        <v>46</v>
      </c>
      <c r="G198" s="25" t="s">
        <v>53</v>
      </c>
      <c r="H198" s="34">
        <v>45523</v>
      </c>
      <c r="I198" s="49">
        <v>135</v>
      </c>
      <c r="J198" s="49">
        <v>350</v>
      </c>
      <c r="K198" s="50">
        <v>0.1</v>
      </c>
      <c r="L198" s="43" t="s">
        <v>36</v>
      </c>
      <c r="M198" s="51">
        <v>47250</v>
      </c>
      <c r="N198" s="51">
        <v>42525</v>
      </c>
      <c r="O198" s="43" t="s">
        <v>265</v>
      </c>
    </row>
    <row r="199" spans="1:15" x14ac:dyDescent="0.3">
      <c r="A199" s="20" t="s">
        <v>1225</v>
      </c>
      <c r="B199" s="20" t="s">
        <v>49</v>
      </c>
      <c r="C199" s="26" t="s">
        <v>251</v>
      </c>
      <c r="D199" s="26" t="s">
        <v>50</v>
      </c>
      <c r="E199" s="26" t="s">
        <v>45</v>
      </c>
      <c r="F199" s="26" t="s">
        <v>28</v>
      </c>
      <c r="G199" s="26" t="s">
        <v>35</v>
      </c>
      <c r="H199" s="35">
        <v>45518</v>
      </c>
      <c r="I199" s="52">
        <v>134</v>
      </c>
      <c r="J199" s="52">
        <v>895</v>
      </c>
      <c r="K199" s="53">
        <v>0.13</v>
      </c>
      <c r="L199" s="44" t="s">
        <v>36</v>
      </c>
      <c r="M199" s="54">
        <v>119930</v>
      </c>
      <c r="N199" s="54">
        <v>104339.1</v>
      </c>
      <c r="O199" s="44" t="s">
        <v>267</v>
      </c>
    </row>
    <row r="200" spans="1:15" x14ac:dyDescent="0.3">
      <c r="A200" s="19" t="s">
        <v>1226</v>
      </c>
      <c r="B200" s="19" t="s">
        <v>58</v>
      </c>
      <c r="C200" s="25" t="s">
        <v>255</v>
      </c>
      <c r="D200" s="25" t="s">
        <v>59</v>
      </c>
      <c r="E200" s="25" t="s">
        <v>27</v>
      </c>
      <c r="F200" s="25" t="s">
        <v>46</v>
      </c>
      <c r="G200" s="25" t="s">
        <v>35</v>
      </c>
      <c r="H200" s="34">
        <v>45511</v>
      </c>
      <c r="I200" s="49">
        <v>92</v>
      </c>
      <c r="J200" s="49">
        <v>2800</v>
      </c>
      <c r="K200" s="50">
        <v>0.12</v>
      </c>
      <c r="L200" s="43" t="s">
        <v>30</v>
      </c>
      <c r="M200" s="51">
        <v>257600</v>
      </c>
      <c r="N200" s="51">
        <v>226688</v>
      </c>
      <c r="O200" s="43" t="s">
        <v>267</v>
      </c>
    </row>
    <row r="201" spans="1:15" x14ac:dyDescent="0.3">
      <c r="A201" s="20" t="s">
        <v>1227</v>
      </c>
      <c r="B201" s="20" t="s">
        <v>44</v>
      </c>
      <c r="C201" s="26" t="s">
        <v>254</v>
      </c>
      <c r="D201" s="26" t="s">
        <v>39</v>
      </c>
      <c r="E201" s="26" t="s">
        <v>51</v>
      </c>
      <c r="F201" s="26" t="s">
        <v>46</v>
      </c>
      <c r="G201" s="26" t="s">
        <v>47</v>
      </c>
      <c r="H201" s="35">
        <v>45519</v>
      </c>
      <c r="I201" s="52">
        <v>79</v>
      </c>
      <c r="J201" s="52">
        <v>200</v>
      </c>
      <c r="K201" s="53">
        <v>7.0000000000000007E-2</v>
      </c>
      <c r="L201" s="44" t="s">
        <v>36</v>
      </c>
      <c r="M201" s="54">
        <v>15800</v>
      </c>
      <c r="N201" s="54">
        <v>14694</v>
      </c>
      <c r="O201" s="44" t="s">
        <v>265</v>
      </c>
    </row>
    <row r="202" spans="1:15" x14ac:dyDescent="0.3">
      <c r="A202" s="19" t="s">
        <v>1228</v>
      </c>
      <c r="B202" s="19" t="s">
        <v>38</v>
      </c>
      <c r="C202" s="25" t="s">
        <v>247</v>
      </c>
      <c r="D202" s="25" t="s">
        <v>39</v>
      </c>
      <c r="E202" s="25" t="s">
        <v>27</v>
      </c>
      <c r="F202" s="25" t="s">
        <v>34</v>
      </c>
      <c r="G202" s="25" t="s">
        <v>35</v>
      </c>
      <c r="H202" s="34">
        <v>45521</v>
      </c>
      <c r="I202" s="49">
        <v>104</v>
      </c>
      <c r="J202" s="49">
        <v>1200</v>
      </c>
      <c r="K202" s="50">
        <v>0</v>
      </c>
      <c r="L202" s="43" t="s">
        <v>36</v>
      </c>
      <c r="M202" s="51">
        <v>124800</v>
      </c>
      <c r="N202" s="51">
        <v>124800</v>
      </c>
      <c r="O202" s="43" t="s">
        <v>267</v>
      </c>
    </row>
    <row r="203" spans="1:15" x14ac:dyDescent="0.3">
      <c r="A203" s="20" t="s">
        <v>1229</v>
      </c>
      <c r="B203" s="20" t="s">
        <v>38</v>
      </c>
      <c r="C203" s="26" t="s">
        <v>247</v>
      </c>
      <c r="D203" s="26" t="s">
        <v>39</v>
      </c>
      <c r="E203" s="26" t="s">
        <v>45</v>
      </c>
      <c r="F203" s="26" t="s">
        <v>41</v>
      </c>
      <c r="G203" s="26" t="s">
        <v>47</v>
      </c>
      <c r="H203" s="35">
        <v>45519</v>
      </c>
      <c r="I203" s="52">
        <v>35</v>
      </c>
      <c r="J203" s="52">
        <v>1200</v>
      </c>
      <c r="K203" s="53">
        <v>0.12</v>
      </c>
      <c r="L203" s="44" t="s">
        <v>30</v>
      </c>
      <c r="M203" s="54">
        <v>42000</v>
      </c>
      <c r="N203" s="54">
        <v>36960</v>
      </c>
      <c r="O203" s="44" t="s">
        <v>265</v>
      </c>
    </row>
    <row r="204" spans="1:15" x14ac:dyDescent="0.3">
      <c r="A204" s="19" t="s">
        <v>1230</v>
      </c>
      <c r="B204" s="19" t="s">
        <v>38</v>
      </c>
      <c r="C204" s="25" t="s">
        <v>247</v>
      </c>
      <c r="D204" s="25" t="s">
        <v>39</v>
      </c>
      <c r="E204" s="25" t="s">
        <v>27</v>
      </c>
      <c r="F204" s="25" t="s">
        <v>46</v>
      </c>
      <c r="G204" s="25" t="s">
        <v>56</v>
      </c>
      <c r="H204" s="34">
        <v>45523</v>
      </c>
      <c r="I204" s="49">
        <v>53</v>
      </c>
      <c r="J204" s="49">
        <v>1200</v>
      </c>
      <c r="K204" s="50">
        <v>0.14000000000000001</v>
      </c>
      <c r="L204" s="43" t="s">
        <v>36</v>
      </c>
      <c r="M204" s="51">
        <v>63600</v>
      </c>
      <c r="N204" s="51">
        <v>54696</v>
      </c>
      <c r="O204" s="43" t="s">
        <v>265</v>
      </c>
    </row>
    <row r="205" spans="1:15" x14ac:dyDescent="0.3">
      <c r="A205" s="20" t="s">
        <v>1231</v>
      </c>
      <c r="B205" s="20" t="s">
        <v>25</v>
      </c>
      <c r="C205" s="26" t="s">
        <v>257</v>
      </c>
      <c r="D205" s="26" t="s">
        <v>26</v>
      </c>
      <c r="E205" s="26" t="s">
        <v>33</v>
      </c>
      <c r="F205" s="26" t="s">
        <v>41</v>
      </c>
      <c r="G205" s="26" t="s">
        <v>47</v>
      </c>
      <c r="H205" s="35">
        <v>45535</v>
      </c>
      <c r="I205" s="52">
        <v>156</v>
      </c>
      <c r="J205" s="52">
        <v>350</v>
      </c>
      <c r="K205" s="53">
        <v>0</v>
      </c>
      <c r="L205" s="44" t="s">
        <v>30</v>
      </c>
      <c r="M205" s="54">
        <v>54600</v>
      </c>
      <c r="N205" s="54">
        <v>54600</v>
      </c>
      <c r="O205" s="44" t="s">
        <v>265</v>
      </c>
    </row>
    <row r="206" spans="1:15" x14ac:dyDescent="0.3">
      <c r="A206" s="19" t="s">
        <v>1232</v>
      </c>
      <c r="B206" s="19" t="s">
        <v>58</v>
      </c>
      <c r="C206" s="25" t="s">
        <v>255</v>
      </c>
      <c r="D206" s="25" t="s">
        <v>59</v>
      </c>
      <c r="E206" s="25" t="s">
        <v>33</v>
      </c>
      <c r="F206" s="25" t="s">
        <v>41</v>
      </c>
      <c r="G206" s="25" t="s">
        <v>29</v>
      </c>
      <c r="H206" s="34">
        <v>45527</v>
      </c>
      <c r="I206" s="49">
        <v>73</v>
      </c>
      <c r="J206" s="49">
        <v>2800</v>
      </c>
      <c r="K206" s="50">
        <v>0.08</v>
      </c>
      <c r="L206" s="43" t="s">
        <v>36</v>
      </c>
      <c r="M206" s="51">
        <v>204400</v>
      </c>
      <c r="N206" s="51">
        <v>188048</v>
      </c>
      <c r="O206" s="43" t="s">
        <v>267</v>
      </c>
    </row>
    <row r="207" spans="1:15" x14ac:dyDescent="0.3">
      <c r="A207" s="20" t="s">
        <v>1233</v>
      </c>
      <c r="B207" s="20" t="s">
        <v>55</v>
      </c>
      <c r="C207" s="26" t="s">
        <v>249</v>
      </c>
      <c r="D207" s="26" t="s">
        <v>39</v>
      </c>
      <c r="E207" s="26" t="s">
        <v>51</v>
      </c>
      <c r="F207" s="26" t="s">
        <v>46</v>
      </c>
      <c r="G207" s="26" t="s">
        <v>29</v>
      </c>
      <c r="H207" s="35">
        <v>45513</v>
      </c>
      <c r="I207" s="52">
        <v>41</v>
      </c>
      <c r="J207" s="52">
        <v>650</v>
      </c>
      <c r="K207" s="53">
        <v>0</v>
      </c>
      <c r="L207" s="44" t="s">
        <v>36</v>
      </c>
      <c r="M207" s="54">
        <v>26650</v>
      </c>
      <c r="N207" s="54">
        <v>26650</v>
      </c>
      <c r="O207" s="44" t="s">
        <v>265</v>
      </c>
    </row>
    <row r="208" spans="1:15" x14ac:dyDescent="0.3">
      <c r="A208" s="19" t="s">
        <v>1234</v>
      </c>
      <c r="B208" s="19" t="s">
        <v>25</v>
      </c>
      <c r="C208" s="25" t="s">
        <v>257</v>
      </c>
      <c r="D208" s="25" t="s">
        <v>26</v>
      </c>
      <c r="E208" s="25" t="s">
        <v>45</v>
      </c>
      <c r="F208" s="25" t="s">
        <v>28</v>
      </c>
      <c r="G208" s="25" t="s">
        <v>53</v>
      </c>
      <c r="H208" s="34">
        <v>45505</v>
      </c>
      <c r="I208" s="49">
        <v>56</v>
      </c>
      <c r="J208" s="49">
        <v>350</v>
      </c>
      <c r="K208" s="50">
        <v>0.12</v>
      </c>
      <c r="L208" s="43" t="s">
        <v>36</v>
      </c>
      <c r="M208" s="51">
        <v>19600</v>
      </c>
      <c r="N208" s="51">
        <v>17248</v>
      </c>
      <c r="O208" s="43" t="s">
        <v>265</v>
      </c>
    </row>
    <row r="209" spans="1:15" x14ac:dyDescent="0.3">
      <c r="A209" s="20" t="s">
        <v>1235</v>
      </c>
      <c r="B209" s="20" t="s">
        <v>63</v>
      </c>
      <c r="C209" s="26" t="s">
        <v>253</v>
      </c>
      <c r="D209" s="26" t="s">
        <v>50</v>
      </c>
      <c r="E209" s="26" t="s">
        <v>45</v>
      </c>
      <c r="F209" s="26" t="s">
        <v>28</v>
      </c>
      <c r="G209" s="26" t="s">
        <v>56</v>
      </c>
      <c r="H209" s="35">
        <v>45522</v>
      </c>
      <c r="I209" s="52">
        <v>66</v>
      </c>
      <c r="J209" s="52">
        <v>750</v>
      </c>
      <c r="K209" s="53">
        <v>0</v>
      </c>
      <c r="L209" s="44" t="s">
        <v>30</v>
      </c>
      <c r="M209" s="54">
        <v>49500</v>
      </c>
      <c r="N209" s="54">
        <v>49500</v>
      </c>
      <c r="O209" s="44" t="s">
        <v>265</v>
      </c>
    </row>
    <row r="210" spans="1:15" x14ac:dyDescent="0.3">
      <c r="A210" s="19" t="s">
        <v>1236</v>
      </c>
      <c r="B210" s="19" t="s">
        <v>55</v>
      </c>
      <c r="C210" s="25" t="s">
        <v>249</v>
      </c>
      <c r="D210" s="25" t="s">
        <v>39</v>
      </c>
      <c r="E210" s="25" t="s">
        <v>33</v>
      </c>
      <c r="F210" s="25" t="s">
        <v>34</v>
      </c>
      <c r="G210" s="25" t="s">
        <v>47</v>
      </c>
      <c r="H210" s="34">
        <v>45510</v>
      </c>
      <c r="I210" s="49">
        <v>51</v>
      </c>
      <c r="J210" s="49">
        <v>650</v>
      </c>
      <c r="K210" s="50">
        <v>0</v>
      </c>
      <c r="L210" s="43" t="s">
        <v>36</v>
      </c>
      <c r="M210" s="51">
        <v>33150</v>
      </c>
      <c r="N210" s="51">
        <v>33150</v>
      </c>
      <c r="O210" s="43" t="s">
        <v>265</v>
      </c>
    </row>
    <row r="211" spans="1:15" x14ac:dyDescent="0.3">
      <c r="A211" s="20" t="s">
        <v>1237</v>
      </c>
      <c r="B211" s="20" t="s">
        <v>58</v>
      </c>
      <c r="C211" s="26" t="s">
        <v>255</v>
      </c>
      <c r="D211" s="26" t="s">
        <v>59</v>
      </c>
      <c r="E211" s="26" t="s">
        <v>45</v>
      </c>
      <c r="F211" s="26" t="s">
        <v>34</v>
      </c>
      <c r="G211" s="26" t="s">
        <v>42</v>
      </c>
      <c r="H211" s="35">
        <v>45533</v>
      </c>
      <c r="I211" s="52">
        <v>75</v>
      </c>
      <c r="J211" s="52">
        <v>2800</v>
      </c>
      <c r="K211" s="53">
        <v>0.11</v>
      </c>
      <c r="L211" s="44" t="s">
        <v>36</v>
      </c>
      <c r="M211" s="54">
        <v>210000</v>
      </c>
      <c r="N211" s="54">
        <v>186900</v>
      </c>
      <c r="O211" s="44" t="s">
        <v>267</v>
      </c>
    </row>
    <row r="212" spans="1:15" x14ac:dyDescent="0.3">
      <c r="A212" s="19" t="s">
        <v>1238</v>
      </c>
      <c r="B212" s="19" t="s">
        <v>58</v>
      </c>
      <c r="C212" s="25" t="s">
        <v>255</v>
      </c>
      <c r="D212" s="25" t="s">
        <v>59</v>
      </c>
      <c r="E212" s="25" t="s">
        <v>33</v>
      </c>
      <c r="F212" s="25" t="s">
        <v>41</v>
      </c>
      <c r="G212" s="25" t="s">
        <v>47</v>
      </c>
      <c r="H212" s="34">
        <v>45533</v>
      </c>
      <c r="I212" s="49">
        <v>50</v>
      </c>
      <c r="J212" s="49">
        <v>2800</v>
      </c>
      <c r="K212" s="50">
        <v>0</v>
      </c>
      <c r="L212" s="43" t="s">
        <v>36</v>
      </c>
      <c r="M212" s="51">
        <v>140000</v>
      </c>
      <c r="N212" s="51">
        <v>140000</v>
      </c>
      <c r="O212" s="43" t="s">
        <v>267</v>
      </c>
    </row>
    <row r="213" spans="1:15" x14ac:dyDescent="0.3">
      <c r="A213" s="20" t="s">
        <v>1239</v>
      </c>
      <c r="B213" s="20" t="s">
        <v>38</v>
      </c>
      <c r="C213" s="26" t="s">
        <v>247</v>
      </c>
      <c r="D213" s="26" t="s">
        <v>39</v>
      </c>
      <c r="E213" s="26" t="s">
        <v>51</v>
      </c>
      <c r="F213" s="26" t="s">
        <v>46</v>
      </c>
      <c r="G213" s="26" t="s">
        <v>53</v>
      </c>
      <c r="H213" s="35">
        <v>45516</v>
      </c>
      <c r="I213" s="52">
        <v>46</v>
      </c>
      <c r="J213" s="52">
        <v>1200</v>
      </c>
      <c r="K213" s="53">
        <v>0.08</v>
      </c>
      <c r="L213" s="44" t="s">
        <v>36</v>
      </c>
      <c r="M213" s="54">
        <v>55200</v>
      </c>
      <c r="N213" s="54">
        <v>50784</v>
      </c>
      <c r="O213" s="44" t="s">
        <v>265</v>
      </c>
    </row>
    <row r="214" spans="1:15" x14ac:dyDescent="0.3">
      <c r="A214" s="19" t="s">
        <v>1240</v>
      </c>
      <c r="B214" s="19" t="s">
        <v>63</v>
      </c>
      <c r="C214" s="25" t="s">
        <v>253</v>
      </c>
      <c r="D214" s="25" t="s">
        <v>50</v>
      </c>
      <c r="E214" s="25" t="s">
        <v>27</v>
      </c>
      <c r="F214" s="25" t="s">
        <v>34</v>
      </c>
      <c r="G214" s="25" t="s">
        <v>53</v>
      </c>
      <c r="H214" s="34">
        <v>45530</v>
      </c>
      <c r="I214" s="49">
        <v>136</v>
      </c>
      <c r="J214" s="49">
        <v>750</v>
      </c>
      <c r="K214" s="50">
        <v>0.15</v>
      </c>
      <c r="L214" s="43" t="s">
        <v>36</v>
      </c>
      <c r="M214" s="51">
        <v>102000</v>
      </c>
      <c r="N214" s="51">
        <v>86700</v>
      </c>
      <c r="O214" s="43" t="s">
        <v>265</v>
      </c>
    </row>
    <row r="215" spans="1:15" x14ac:dyDescent="0.3">
      <c r="A215" s="20" t="s">
        <v>1241</v>
      </c>
      <c r="B215" s="20" t="s">
        <v>55</v>
      </c>
      <c r="C215" s="26" t="s">
        <v>249</v>
      </c>
      <c r="D215" s="26" t="s">
        <v>39</v>
      </c>
      <c r="E215" s="26" t="s">
        <v>45</v>
      </c>
      <c r="F215" s="26" t="s">
        <v>28</v>
      </c>
      <c r="G215" s="26" t="s">
        <v>29</v>
      </c>
      <c r="H215" s="35">
        <v>45530</v>
      </c>
      <c r="I215" s="52">
        <v>174</v>
      </c>
      <c r="J215" s="52">
        <v>650</v>
      </c>
      <c r="K215" s="53">
        <v>0.15</v>
      </c>
      <c r="L215" s="44" t="s">
        <v>36</v>
      </c>
      <c r="M215" s="54">
        <v>113100</v>
      </c>
      <c r="N215" s="54">
        <v>96135</v>
      </c>
      <c r="O215" s="44" t="s">
        <v>265</v>
      </c>
    </row>
    <row r="216" spans="1:15" x14ac:dyDescent="0.3">
      <c r="A216" s="19" t="s">
        <v>1242</v>
      </c>
      <c r="B216" s="19" t="s">
        <v>58</v>
      </c>
      <c r="C216" s="25" t="s">
        <v>255</v>
      </c>
      <c r="D216" s="25" t="s">
        <v>59</v>
      </c>
      <c r="E216" s="25" t="s">
        <v>33</v>
      </c>
      <c r="F216" s="25" t="s">
        <v>28</v>
      </c>
      <c r="G216" s="25" t="s">
        <v>53</v>
      </c>
      <c r="H216" s="34">
        <v>45519</v>
      </c>
      <c r="I216" s="49">
        <v>80</v>
      </c>
      <c r="J216" s="49">
        <v>2800</v>
      </c>
      <c r="K216" s="50">
        <v>0.05</v>
      </c>
      <c r="L216" s="43" t="s">
        <v>36</v>
      </c>
      <c r="M216" s="51">
        <v>224000</v>
      </c>
      <c r="N216" s="51">
        <v>212800</v>
      </c>
      <c r="O216" s="43" t="s">
        <v>267</v>
      </c>
    </row>
    <row r="217" spans="1:15" x14ac:dyDescent="0.3">
      <c r="A217" s="20" t="s">
        <v>1243</v>
      </c>
      <c r="B217" s="20" t="s">
        <v>25</v>
      </c>
      <c r="C217" s="26" t="s">
        <v>257</v>
      </c>
      <c r="D217" s="26" t="s">
        <v>26</v>
      </c>
      <c r="E217" s="26" t="s">
        <v>40</v>
      </c>
      <c r="F217" s="26" t="s">
        <v>46</v>
      </c>
      <c r="G217" s="26" t="s">
        <v>35</v>
      </c>
      <c r="H217" s="35">
        <v>45514</v>
      </c>
      <c r="I217" s="52">
        <v>130</v>
      </c>
      <c r="J217" s="52">
        <v>350</v>
      </c>
      <c r="K217" s="53">
        <v>0.15</v>
      </c>
      <c r="L217" s="44" t="s">
        <v>36</v>
      </c>
      <c r="M217" s="54">
        <v>45500</v>
      </c>
      <c r="N217" s="54">
        <v>38675</v>
      </c>
      <c r="O217" s="44" t="s">
        <v>265</v>
      </c>
    </row>
    <row r="218" spans="1:15" x14ac:dyDescent="0.3">
      <c r="A218" s="19" t="s">
        <v>1244</v>
      </c>
      <c r="B218" s="19" t="s">
        <v>61</v>
      </c>
      <c r="C218" s="25" t="s">
        <v>244</v>
      </c>
      <c r="D218" s="25" t="s">
        <v>26</v>
      </c>
      <c r="E218" s="25" t="s">
        <v>33</v>
      </c>
      <c r="F218" s="25" t="s">
        <v>41</v>
      </c>
      <c r="G218" s="25" t="s">
        <v>56</v>
      </c>
      <c r="H218" s="34">
        <v>45509</v>
      </c>
      <c r="I218" s="49">
        <v>155</v>
      </c>
      <c r="J218" s="49">
        <v>280</v>
      </c>
      <c r="K218" s="50">
        <v>0.14000000000000001</v>
      </c>
      <c r="L218" s="43" t="s">
        <v>30</v>
      </c>
      <c r="M218" s="51">
        <v>43400</v>
      </c>
      <c r="N218" s="51">
        <v>37324</v>
      </c>
      <c r="O218" s="43" t="s">
        <v>265</v>
      </c>
    </row>
    <row r="219" spans="1:15" x14ac:dyDescent="0.3">
      <c r="A219" s="20" t="s">
        <v>1245</v>
      </c>
      <c r="B219" s="20" t="s">
        <v>16</v>
      </c>
      <c r="C219" s="26" t="s">
        <v>250</v>
      </c>
      <c r="D219" s="26" t="s">
        <v>39</v>
      </c>
      <c r="E219" s="26" t="s">
        <v>27</v>
      </c>
      <c r="F219" s="26" t="s">
        <v>34</v>
      </c>
      <c r="G219" s="26" t="s">
        <v>53</v>
      </c>
      <c r="H219" s="35">
        <v>45505</v>
      </c>
      <c r="I219" s="52">
        <v>141</v>
      </c>
      <c r="J219" s="52">
        <v>990</v>
      </c>
      <c r="K219" s="53">
        <v>0.13</v>
      </c>
      <c r="L219" s="44" t="s">
        <v>36</v>
      </c>
      <c r="M219" s="54">
        <v>139590</v>
      </c>
      <c r="N219" s="54">
        <v>121443.3</v>
      </c>
      <c r="O219" s="44" t="s">
        <v>267</v>
      </c>
    </row>
    <row r="220" spans="1:15" x14ac:dyDescent="0.3">
      <c r="A220" s="19" t="s">
        <v>1246</v>
      </c>
      <c r="B220" s="19" t="s">
        <v>32</v>
      </c>
      <c r="C220" s="25" t="s">
        <v>246</v>
      </c>
      <c r="D220" s="25" t="s">
        <v>26</v>
      </c>
      <c r="E220" s="25" t="s">
        <v>40</v>
      </c>
      <c r="F220" s="25" t="s">
        <v>46</v>
      </c>
      <c r="G220" s="25" t="s">
        <v>53</v>
      </c>
      <c r="H220" s="34">
        <v>45507</v>
      </c>
      <c r="I220" s="49">
        <v>186</v>
      </c>
      <c r="J220" s="49">
        <v>420</v>
      </c>
      <c r="K220" s="50">
        <v>0.11</v>
      </c>
      <c r="L220" s="43" t="s">
        <v>30</v>
      </c>
      <c r="M220" s="51">
        <v>78120</v>
      </c>
      <c r="N220" s="51">
        <v>69526.8</v>
      </c>
      <c r="O220" s="43" t="s">
        <v>265</v>
      </c>
    </row>
    <row r="221" spans="1:15" x14ac:dyDescent="0.3">
      <c r="A221" s="20" t="s">
        <v>1247</v>
      </c>
      <c r="B221" s="20" t="s">
        <v>61</v>
      </c>
      <c r="C221" s="26" t="s">
        <v>244</v>
      </c>
      <c r="D221" s="26" t="s">
        <v>26</v>
      </c>
      <c r="E221" s="26" t="s">
        <v>33</v>
      </c>
      <c r="F221" s="26" t="s">
        <v>28</v>
      </c>
      <c r="G221" s="26" t="s">
        <v>29</v>
      </c>
      <c r="H221" s="35">
        <v>45522</v>
      </c>
      <c r="I221" s="52">
        <v>137</v>
      </c>
      <c r="J221" s="52">
        <v>280</v>
      </c>
      <c r="K221" s="53">
        <v>0.15</v>
      </c>
      <c r="L221" s="44" t="s">
        <v>36</v>
      </c>
      <c r="M221" s="54">
        <v>38360</v>
      </c>
      <c r="N221" s="54">
        <v>32606</v>
      </c>
      <c r="O221" s="44" t="s">
        <v>265</v>
      </c>
    </row>
    <row r="222" spans="1:15" x14ac:dyDescent="0.3">
      <c r="A222" s="19" t="s">
        <v>1248</v>
      </c>
      <c r="B222" s="19" t="s">
        <v>16</v>
      </c>
      <c r="C222" s="25" t="s">
        <v>250</v>
      </c>
      <c r="D222" s="25" t="s">
        <v>39</v>
      </c>
      <c r="E222" s="25" t="s">
        <v>51</v>
      </c>
      <c r="F222" s="25" t="s">
        <v>34</v>
      </c>
      <c r="G222" s="25" t="s">
        <v>42</v>
      </c>
      <c r="H222" s="34">
        <v>45535</v>
      </c>
      <c r="I222" s="49">
        <v>118</v>
      </c>
      <c r="J222" s="49">
        <v>990</v>
      </c>
      <c r="K222" s="50">
        <v>0.12</v>
      </c>
      <c r="L222" s="43" t="s">
        <v>36</v>
      </c>
      <c r="M222" s="51">
        <v>116820</v>
      </c>
      <c r="N222" s="51">
        <v>102801.60000000001</v>
      </c>
      <c r="O222" s="43" t="s">
        <v>267</v>
      </c>
    </row>
    <row r="223" spans="1:15" x14ac:dyDescent="0.3">
      <c r="A223" s="20" t="s">
        <v>1249</v>
      </c>
      <c r="B223" s="20" t="s">
        <v>49</v>
      </c>
      <c r="C223" s="26" t="s">
        <v>251</v>
      </c>
      <c r="D223" s="26" t="s">
        <v>50</v>
      </c>
      <c r="E223" s="26" t="s">
        <v>27</v>
      </c>
      <c r="F223" s="26" t="s">
        <v>52</v>
      </c>
      <c r="G223" s="26" t="s">
        <v>42</v>
      </c>
      <c r="H223" s="35">
        <v>45515</v>
      </c>
      <c r="I223" s="52">
        <v>77</v>
      </c>
      <c r="J223" s="52">
        <v>895</v>
      </c>
      <c r="K223" s="53">
        <v>0.12</v>
      </c>
      <c r="L223" s="44" t="s">
        <v>36</v>
      </c>
      <c r="M223" s="54">
        <v>68915</v>
      </c>
      <c r="N223" s="54">
        <v>60645.2</v>
      </c>
      <c r="O223" s="44" t="s">
        <v>265</v>
      </c>
    </row>
    <row r="224" spans="1:15" x14ac:dyDescent="0.3">
      <c r="A224" s="19" t="s">
        <v>1250</v>
      </c>
      <c r="B224" s="19" t="s">
        <v>16</v>
      </c>
      <c r="C224" s="25" t="s">
        <v>250</v>
      </c>
      <c r="D224" s="25" t="s">
        <v>39</v>
      </c>
      <c r="E224" s="25" t="s">
        <v>51</v>
      </c>
      <c r="F224" s="25" t="s">
        <v>46</v>
      </c>
      <c r="G224" s="25" t="s">
        <v>42</v>
      </c>
      <c r="H224" s="34">
        <v>45523</v>
      </c>
      <c r="I224" s="49">
        <v>35</v>
      </c>
      <c r="J224" s="49">
        <v>990</v>
      </c>
      <c r="K224" s="50">
        <v>7.0000000000000007E-2</v>
      </c>
      <c r="L224" s="43" t="s">
        <v>36</v>
      </c>
      <c r="M224" s="51">
        <v>34650</v>
      </c>
      <c r="N224" s="51">
        <v>32224.5</v>
      </c>
      <c r="O224" s="43" t="s">
        <v>265</v>
      </c>
    </row>
    <row r="225" spans="1:15" x14ac:dyDescent="0.3">
      <c r="A225" s="20" t="s">
        <v>1251</v>
      </c>
      <c r="B225" s="20" t="s">
        <v>61</v>
      </c>
      <c r="C225" s="26" t="s">
        <v>244</v>
      </c>
      <c r="D225" s="26" t="s">
        <v>26</v>
      </c>
      <c r="E225" s="26" t="s">
        <v>40</v>
      </c>
      <c r="F225" s="26" t="s">
        <v>52</v>
      </c>
      <c r="G225" s="26" t="s">
        <v>47</v>
      </c>
      <c r="H225" s="35">
        <v>45514</v>
      </c>
      <c r="I225" s="52">
        <v>85</v>
      </c>
      <c r="J225" s="52">
        <v>280</v>
      </c>
      <c r="K225" s="53">
        <v>0.13</v>
      </c>
      <c r="L225" s="44" t="s">
        <v>30</v>
      </c>
      <c r="M225" s="54">
        <v>23800</v>
      </c>
      <c r="N225" s="54">
        <v>20706</v>
      </c>
      <c r="O225" s="44" t="s">
        <v>265</v>
      </c>
    </row>
    <row r="226" spans="1:15" x14ac:dyDescent="0.3">
      <c r="A226" s="19" t="s">
        <v>1252</v>
      </c>
      <c r="B226" s="19" t="s">
        <v>44</v>
      </c>
      <c r="C226" s="25" t="s">
        <v>254</v>
      </c>
      <c r="D226" s="25" t="s">
        <v>39</v>
      </c>
      <c r="E226" s="25" t="s">
        <v>40</v>
      </c>
      <c r="F226" s="25" t="s">
        <v>34</v>
      </c>
      <c r="G226" s="25" t="s">
        <v>29</v>
      </c>
      <c r="H226" s="34">
        <v>45534</v>
      </c>
      <c r="I226" s="49">
        <v>174</v>
      </c>
      <c r="J226" s="49">
        <v>200</v>
      </c>
      <c r="K226" s="50">
        <v>0.08</v>
      </c>
      <c r="L226" s="43" t="s">
        <v>36</v>
      </c>
      <c r="M226" s="51">
        <v>34800</v>
      </c>
      <c r="N226" s="51">
        <v>32016</v>
      </c>
      <c r="O226" s="43" t="s">
        <v>265</v>
      </c>
    </row>
    <row r="227" spans="1:15" x14ac:dyDescent="0.3">
      <c r="A227" s="20" t="s">
        <v>1253</v>
      </c>
      <c r="B227" s="20" t="s">
        <v>32</v>
      </c>
      <c r="C227" s="26" t="s">
        <v>246</v>
      </c>
      <c r="D227" s="26" t="s">
        <v>26</v>
      </c>
      <c r="E227" s="26" t="s">
        <v>33</v>
      </c>
      <c r="F227" s="26" t="s">
        <v>52</v>
      </c>
      <c r="G227" s="26" t="s">
        <v>29</v>
      </c>
      <c r="H227" s="35">
        <v>45527</v>
      </c>
      <c r="I227" s="52">
        <v>86</v>
      </c>
      <c r="J227" s="52">
        <v>420</v>
      </c>
      <c r="K227" s="53">
        <v>0.03</v>
      </c>
      <c r="L227" s="44" t="s">
        <v>36</v>
      </c>
      <c r="M227" s="54">
        <v>36120</v>
      </c>
      <c r="N227" s="54">
        <v>35036.400000000001</v>
      </c>
      <c r="O227" s="44" t="s">
        <v>265</v>
      </c>
    </row>
    <row r="228" spans="1:15" x14ac:dyDescent="0.3">
      <c r="A228" s="19" t="s">
        <v>1254</v>
      </c>
      <c r="B228" s="19" t="s">
        <v>38</v>
      </c>
      <c r="C228" s="25" t="s">
        <v>247</v>
      </c>
      <c r="D228" s="25" t="s">
        <v>39</v>
      </c>
      <c r="E228" s="25" t="s">
        <v>27</v>
      </c>
      <c r="F228" s="25" t="s">
        <v>28</v>
      </c>
      <c r="G228" s="25" t="s">
        <v>53</v>
      </c>
      <c r="H228" s="34">
        <v>45528</v>
      </c>
      <c r="I228" s="49">
        <v>24</v>
      </c>
      <c r="J228" s="49">
        <v>1200</v>
      </c>
      <c r="K228" s="50">
        <v>0.12</v>
      </c>
      <c r="L228" s="43" t="s">
        <v>36</v>
      </c>
      <c r="M228" s="51">
        <v>28800</v>
      </c>
      <c r="N228" s="51">
        <v>25344</v>
      </c>
      <c r="O228" s="43" t="s">
        <v>265</v>
      </c>
    </row>
    <row r="229" spans="1:15" x14ac:dyDescent="0.3">
      <c r="A229" s="20" t="s">
        <v>1255</v>
      </c>
      <c r="B229" s="20" t="s">
        <v>61</v>
      </c>
      <c r="C229" s="26" t="s">
        <v>244</v>
      </c>
      <c r="D229" s="26" t="s">
        <v>26</v>
      </c>
      <c r="E229" s="26" t="s">
        <v>27</v>
      </c>
      <c r="F229" s="26" t="s">
        <v>34</v>
      </c>
      <c r="G229" s="26" t="s">
        <v>35</v>
      </c>
      <c r="H229" s="35">
        <v>45505</v>
      </c>
      <c r="I229" s="52">
        <v>164</v>
      </c>
      <c r="J229" s="52">
        <v>280</v>
      </c>
      <c r="K229" s="53">
        <v>7.0000000000000007E-2</v>
      </c>
      <c r="L229" s="44" t="s">
        <v>36</v>
      </c>
      <c r="M229" s="54">
        <v>45920</v>
      </c>
      <c r="N229" s="54">
        <v>42705.599999999999</v>
      </c>
      <c r="O229" s="44" t="s">
        <v>265</v>
      </c>
    </row>
    <row r="230" spans="1:15" x14ac:dyDescent="0.3">
      <c r="A230" s="19" t="s">
        <v>1256</v>
      </c>
      <c r="B230" s="19" t="s">
        <v>55</v>
      </c>
      <c r="C230" s="25" t="s">
        <v>249</v>
      </c>
      <c r="D230" s="25" t="s">
        <v>39</v>
      </c>
      <c r="E230" s="25" t="s">
        <v>40</v>
      </c>
      <c r="F230" s="25" t="s">
        <v>34</v>
      </c>
      <c r="G230" s="25" t="s">
        <v>42</v>
      </c>
      <c r="H230" s="34">
        <v>45510</v>
      </c>
      <c r="I230" s="49">
        <v>199</v>
      </c>
      <c r="J230" s="49">
        <v>650</v>
      </c>
      <c r="K230" s="50">
        <v>0</v>
      </c>
      <c r="L230" s="43" t="s">
        <v>30</v>
      </c>
      <c r="M230" s="51">
        <v>129350</v>
      </c>
      <c r="N230" s="51">
        <v>129350</v>
      </c>
      <c r="O230" s="43" t="s">
        <v>267</v>
      </c>
    </row>
    <row r="231" spans="1:15" x14ac:dyDescent="0.3">
      <c r="A231" s="20" t="s">
        <v>1257</v>
      </c>
      <c r="B231" s="20" t="s">
        <v>25</v>
      </c>
      <c r="C231" s="26" t="s">
        <v>257</v>
      </c>
      <c r="D231" s="26" t="s">
        <v>26</v>
      </c>
      <c r="E231" s="26" t="s">
        <v>45</v>
      </c>
      <c r="F231" s="26" t="s">
        <v>41</v>
      </c>
      <c r="G231" s="26" t="s">
        <v>29</v>
      </c>
      <c r="H231" s="35">
        <v>45505</v>
      </c>
      <c r="I231" s="52">
        <v>33</v>
      </c>
      <c r="J231" s="52">
        <v>350</v>
      </c>
      <c r="K231" s="53">
        <v>0</v>
      </c>
      <c r="L231" s="44" t="s">
        <v>30</v>
      </c>
      <c r="M231" s="54">
        <v>11550</v>
      </c>
      <c r="N231" s="54">
        <v>11550</v>
      </c>
      <c r="O231" s="44" t="s">
        <v>265</v>
      </c>
    </row>
    <row r="232" spans="1:15" x14ac:dyDescent="0.3">
      <c r="A232" s="19" t="s">
        <v>1258</v>
      </c>
      <c r="B232" s="19" t="s">
        <v>44</v>
      </c>
      <c r="C232" s="25" t="s">
        <v>254</v>
      </c>
      <c r="D232" s="25" t="s">
        <v>39</v>
      </c>
      <c r="E232" s="25" t="s">
        <v>27</v>
      </c>
      <c r="F232" s="25" t="s">
        <v>41</v>
      </c>
      <c r="G232" s="25" t="s">
        <v>47</v>
      </c>
      <c r="H232" s="34">
        <v>45515</v>
      </c>
      <c r="I232" s="49">
        <v>123</v>
      </c>
      <c r="J232" s="49">
        <v>200</v>
      </c>
      <c r="K232" s="50">
        <v>0.15</v>
      </c>
      <c r="L232" s="43" t="s">
        <v>36</v>
      </c>
      <c r="M232" s="51">
        <v>24600</v>
      </c>
      <c r="N232" s="51">
        <v>20910</v>
      </c>
      <c r="O232" s="43" t="s">
        <v>265</v>
      </c>
    </row>
    <row r="233" spans="1:15" x14ac:dyDescent="0.3">
      <c r="A233" s="20" t="s">
        <v>1259</v>
      </c>
      <c r="B233" s="20" t="s">
        <v>61</v>
      </c>
      <c r="C233" s="26" t="s">
        <v>244</v>
      </c>
      <c r="D233" s="26" t="s">
        <v>26</v>
      </c>
      <c r="E233" s="26" t="s">
        <v>40</v>
      </c>
      <c r="F233" s="26" t="s">
        <v>52</v>
      </c>
      <c r="G233" s="26" t="s">
        <v>42</v>
      </c>
      <c r="H233" s="35">
        <v>45508</v>
      </c>
      <c r="I233" s="52">
        <v>133</v>
      </c>
      <c r="J233" s="52">
        <v>280</v>
      </c>
      <c r="K233" s="53">
        <v>0.12</v>
      </c>
      <c r="L233" s="44" t="s">
        <v>30</v>
      </c>
      <c r="M233" s="54">
        <v>37240</v>
      </c>
      <c r="N233" s="54">
        <v>32771.199999999997</v>
      </c>
      <c r="O233" s="44" t="s">
        <v>265</v>
      </c>
    </row>
    <row r="234" spans="1:15" x14ac:dyDescent="0.3">
      <c r="A234" s="19" t="s">
        <v>1260</v>
      </c>
      <c r="B234" s="19" t="s">
        <v>25</v>
      </c>
      <c r="C234" s="25" t="s">
        <v>257</v>
      </c>
      <c r="D234" s="25" t="s">
        <v>26</v>
      </c>
      <c r="E234" s="25" t="s">
        <v>40</v>
      </c>
      <c r="F234" s="25" t="s">
        <v>46</v>
      </c>
      <c r="G234" s="25" t="s">
        <v>53</v>
      </c>
      <c r="H234" s="34">
        <v>45513</v>
      </c>
      <c r="I234" s="49">
        <v>95</v>
      </c>
      <c r="J234" s="49">
        <v>350</v>
      </c>
      <c r="K234" s="50">
        <v>0.1</v>
      </c>
      <c r="L234" s="43" t="s">
        <v>30</v>
      </c>
      <c r="M234" s="51">
        <v>33250</v>
      </c>
      <c r="N234" s="51">
        <v>29925</v>
      </c>
      <c r="O234" s="43" t="s">
        <v>265</v>
      </c>
    </row>
    <row r="235" spans="1:15" x14ac:dyDescent="0.3">
      <c r="A235" s="20" t="s">
        <v>1261</v>
      </c>
      <c r="B235" s="20" t="s">
        <v>25</v>
      </c>
      <c r="C235" s="26" t="s">
        <v>257</v>
      </c>
      <c r="D235" s="26" t="s">
        <v>26</v>
      </c>
      <c r="E235" s="26" t="s">
        <v>40</v>
      </c>
      <c r="F235" s="26" t="s">
        <v>28</v>
      </c>
      <c r="G235" s="26" t="s">
        <v>56</v>
      </c>
      <c r="H235" s="35">
        <v>45534</v>
      </c>
      <c r="I235" s="52">
        <v>100</v>
      </c>
      <c r="J235" s="52">
        <v>350</v>
      </c>
      <c r="K235" s="53">
        <v>0.12</v>
      </c>
      <c r="L235" s="44" t="s">
        <v>36</v>
      </c>
      <c r="M235" s="54">
        <v>35000</v>
      </c>
      <c r="N235" s="54">
        <v>30800</v>
      </c>
      <c r="O235" s="44" t="s">
        <v>265</v>
      </c>
    </row>
    <row r="236" spans="1:15" x14ac:dyDescent="0.3">
      <c r="A236" s="19" t="s">
        <v>1262</v>
      </c>
      <c r="B236" s="19" t="s">
        <v>58</v>
      </c>
      <c r="C236" s="25" t="s">
        <v>255</v>
      </c>
      <c r="D236" s="25" t="s">
        <v>59</v>
      </c>
      <c r="E236" s="25" t="s">
        <v>40</v>
      </c>
      <c r="F236" s="25" t="s">
        <v>41</v>
      </c>
      <c r="G236" s="25" t="s">
        <v>29</v>
      </c>
      <c r="H236" s="34">
        <v>45517</v>
      </c>
      <c r="I236" s="49">
        <v>22</v>
      </c>
      <c r="J236" s="49">
        <v>2800</v>
      </c>
      <c r="K236" s="50">
        <v>0.12</v>
      </c>
      <c r="L236" s="43" t="s">
        <v>36</v>
      </c>
      <c r="M236" s="51">
        <v>61600</v>
      </c>
      <c r="N236" s="51">
        <v>54208</v>
      </c>
      <c r="O236" s="43" t="s">
        <v>265</v>
      </c>
    </row>
    <row r="237" spans="1:15" x14ac:dyDescent="0.3">
      <c r="A237" s="20" t="s">
        <v>1263</v>
      </c>
      <c r="B237" s="20" t="s">
        <v>25</v>
      </c>
      <c r="C237" s="26" t="s">
        <v>257</v>
      </c>
      <c r="D237" s="26" t="s">
        <v>26</v>
      </c>
      <c r="E237" s="26" t="s">
        <v>27</v>
      </c>
      <c r="F237" s="26" t="s">
        <v>28</v>
      </c>
      <c r="G237" s="26" t="s">
        <v>29</v>
      </c>
      <c r="H237" s="35">
        <v>45523</v>
      </c>
      <c r="I237" s="52">
        <v>160</v>
      </c>
      <c r="J237" s="52">
        <v>350</v>
      </c>
      <c r="K237" s="53">
        <v>0.03</v>
      </c>
      <c r="L237" s="44" t="s">
        <v>30</v>
      </c>
      <c r="M237" s="54">
        <v>56000</v>
      </c>
      <c r="N237" s="54">
        <v>54320</v>
      </c>
      <c r="O237" s="44" t="s">
        <v>265</v>
      </c>
    </row>
    <row r="238" spans="1:15" x14ac:dyDescent="0.3">
      <c r="A238" s="19" t="s">
        <v>1264</v>
      </c>
      <c r="B238" s="19" t="s">
        <v>32</v>
      </c>
      <c r="C238" s="25" t="s">
        <v>246</v>
      </c>
      <c r="D238" s="25" t="s">
        <v>26</v>
      </c>
      <c r="E238" s="25" t="s">
        <v>40</v>
      </c>
      <c r="F238" s="25" t="s">
        <v>41</v>
      </c>
      <c r="G238" s="25" t="s">
        <v>53</v>
      </c>
      <c r="H238" s="34">
        <v>45507</v>
      </c>
      <c r="I238" s="49">
        <v>122</v>
      </c>
      <c r="J238" s="49">
        <v>420</v>
      </c>
      <c r="K238" s="50">
        <v>0.08</v>
      </c>
      <c r="L238" s="43" t="s">
        <v>36</v>
      </c>
      <c r="M238" s="51">
        <v>51240</v>
      </c>
      <c r="N238" s="51">
        <v>47140.800000000003</v>
      </c>
      <c r="O238" s="43" t="s">
        <v>265</v>
      </c>
    </row>
    <row r="239" spans="1:15" x14ac:dyDescent="0.3">
      <c r="A239" s="20" t="s">
        <v>1265</v>
      </c>
      <c r="B239" s="20" t="s">
        <v>32</v>
      </c>
      <c r="C239" s="26" t="s">
        <v>246</v>
      </c>
      <c r="D239" s="26" t="s">
        <v>26</v>
      </c>
      <c r="E239" s="26" t="s">
        <v>40</v>
      </c>
      <c r="F239" s="26" t="s">
        <v>28</v>
      </c>
      <c r="G239" s="26" t="s">
        <v>35</v>
      </c>
      <c r="H239" s="35">
        <v>45512</v>
      </c>
      <c r="I239" s="52">
        <v>147</v>
      </c>
      <c r="J239" s="52">
        <v>420</v>
      </c>
      <c r="K239" s="53">
        <v>0</v>
      </c>
      <c r="L239" s="44" t="s">
        <v>30</v>
      </c>
      <c r="M239" s="54">
        <v>61740</v>
      </c>
      <c r="N239" s="54">
        <v>61740</v>
      </c>
      <c r="O239" s="44" t="s">
        <v>265</v>
      </c>
    </row>
    <row r="240" spans="1:15" x14ac:dyDescent="0.3">
      <c r="A240" s="19" t="s">
        <v>1266</v>
      </c>
      <c r="B240" s="19" t="s">
        <v>55</v>
      </c>
      <c r="C240" s="25" t="s">
        <v>249</v>
      </c>
      <c r="D240" s="25" t="s">
        <v>39</v>
      </c>
      <c r="E240" s="25" t="s">
        <v>40</v>
      </c>
      <c r="F240" s="25" t="s">
        <v>41</v>
      </c>
      <c r="G240" s="25" t="s">
        <v>42</v>
      </c>
      <c r="H240" s="34">
        <v>45510</v>
      </c>
      <c r="I240" s="49">
        <v>183</v>
      </c>
      <c r="J240" s="49">
        <v>650</v>
      </c>
      <c r="K240" s="50">
        <v>0.03</v>
      </c>
      <c r="L240" s="43" t="s">
        <v>30</v>
      </c>
      <c r="M240" s="51">
        <v>118950</v>
      </c>
      <c r="N240" s="51">
        <v>115381.5</v>
      </c>
      <c r="O240" s="43" t="s">
        <v>267</v>
      </c>
    </row>
    <row r="241" spans="1:15" x14ac:dyDescent="0.3">
      <c r="A241" s="20" t="s">
        <v>1267</v>
      </c>
      <c r="B241" s="20" t="s">
        <v>55</v>
      </c>
      <c r="C241" s="26" t="s">
        <v>249</v>
      </c>
      <c r="D241" s="26" t="s">
        <v>39</v>
      </c>
      <c r="E241" s="26" t="s">
        <v>40</v>
      </c>
      <c r="F241" s="26" t="s">
        <v>52</v>
      </c>
      <c r="G241" s="26" t="s">
        <v>56</v>
      </c>
      <c r="H241" s="35">
        <v>45519</v>
      </c>
      <c r="I241" s="52">
        <v>175</v>
      </c>
      <c r="J241" s="52">
        <v>650</v>
      </c>
      <c r="K241" s="53">
        <v>0</v>
      </c>
      <c r="L241" s="44" t="s">
        <v>36</v>
      </c>
      <c r="M241" s="54">
        <v>113750</v>
      </c>
      <c r="N241" s="54">
        <v>113750</v>
      </c>
      <c r="O241" s="44" t="s">
        <v>267</v>
      </c>
    </row>
    <row r="242" spans="1:15" x14ac:dyDescent="0.3">
      <c r="A242" s="19" t="s">
        <v>1268</v>
      </c>
      <c r="B242" s="19" t="s">
        <v>63</v>
      </c>
      <c r="C242" s="25" t="s">
        <v>253</v>
      </c>
      <c r="D242" s="25" t="s">
        <v>50</v>
      </c>
      <c r="E242" s="25" t="s">
        <v>45</v>
      </c>
      <c r="F242" s="25" t="s">
        <v>46</v>
      </c>
      <c r="G242" s="25" t="s">
        <v>35</v>
      </c>
      <c r="H242" s="34">
        <v>45522</v>
      </c>
      <c r="I242" s="49">
        <v>104</v>
      </c>
      <c r="J242" s="49">
        <v>750</v>
      </c>
      <c r="K242" s="50">
        <v>0.03</v>
      </c>
      <c r="L242" s="43" t="s">
        <v>36</v>
      </c>
      <c r="M242" s="51">
        <v>78000</v>
      </c>
      <c r="N242" s="51">
        <v>75660</v>
      </c>
      <c r="O242" s="43" t="s">
        <v>265</v>
      </c>
    </row>
    <row r="243" spans="1:15" x14ac:dyDescent="0.3">
      <c r="A243" s="20" t="s">
        <v>1269</v>
      </c>
      <c r="B243" s="20" t="s">
        <v>61</v>
      </c>
      <c r="C243" s="26" t="s">
        <v>244</v>
      </c>
      <c r="D243" s="26" t="s">
        <v>26</v>
      </c>
      <c r="E243" s="26" t="s">
        <v>40</v>
      </c>
      <c r="F243" s="26" t="s">
        <v>34</v>
      </c>
      <c r="G243" s="26" t="s">
        <v>35</v>
      </c>
      <c r="H243" s="35">
        <v>45534</v>
      </c>
      <c r="I243" s="52">
        <v>137</v>
      </c>
      <c r="J243" s="52">
        <v>280</v>
      </c>
      <c r="K243" s="53">
        <v>0.14000000000000001</v>
      </c>
      <c r="L243" s="44" t="s">
        <v>30</v>
      </c>
      <c r="M243" s="54">
        <v>38360</v>
      </c>
      <c r="N243" s="54">
        <v>32989.599999999999</v>
      </c>
      <c r="O243" s="44" t="s">
        <v>265</v>
      </c>
    </row>
    <row r="244" spans="1:15" x14ac:dyDescent="0.3">
      <c r="A244" s="19" t="s">
        <v>1270</v>
      </c>
      <c r="B244" s="19" t="s">
        <v>25</v>
      </c>
      <c r="C244" s="25" t="s">
        <v>257</v>
      </c>
      <c r="D244" s="25" t="s">
        <v>26</v>
      </c>
      <c r="E244" s="25" t="s">
        <v>51</v>
      </c>
      <c r="F244" s="25" t="s">
        <v>28</v>
      </c>
      <c r="G244" s="25" t="s">
        <v>47</v>
      </c>
      <c r="H244" s="34">
        <v>45529</v>
      </c>
      <c r="I244" s="49">
        <v>196</v>
      </c>
      <c r="J244" s="49">
        <v>350</v>
      </c>
      <c r="K244" s="50">
        <v>0.14000000000000001</v>
      </c>
      <c r="L244" s="43" t="s">
        <v>36</v>
      </c>
      <c r="M244" s="51">
        <v>68600</v>
      </c>
      <c r="N244" s="51">
        <v>58996</v>
      </c>
      <c r="O244" s="43" t="s">
        <v>265</v>
      </c>
    </row>
    <row r="245" spans="1:15" x14ac:dyDescent="0.3">
      <c r="A245" s="20" t="s">
        <v>1271</v>
      </c>
      <c r="B245" s="20" t="s">
        <v>44</v>
      </c>
      <c r="C245" s="26" t="s">
        <v>254</v>
      </c>
      <c r="D245" s="26" t="s">
        <v>39</v>
      </c>
      <c r="E245" s="26" t="s">
        <v>40</v>
      </c>
      <c r="F245" s="26" t="s">
        <v>34</v>
      </c>
      <c r="G245" s="26" t="s">
        <v>42</v>
      </c>
      <c r="H245" s="35">
        <v>45521</v>
      </c>
      <c r="I245" s="52">
        <v>126</v>
      </c>
      <c r="J245" s="52">
        <v>200</v>
      </c>
      <c r="K245" s="53">
        <v>0.14000000000000001</v>
      </c>
      <c r="L245" s="44" t="s">
        <v>36</v>
      </c>
      <c r="M245" s="54">
        <v>25200</v>
      </c>
      <c r="N245" s="54">
        <v>21672</v>
      </c>
      <c r="O245" s="44" t="s">
        <v>265</v>
      </c>
    </row>
    <row r="246" spans="1:15" x14ac:dyDescent="0.3">
      <c r="A246" s="19" t="s">
        <v>1272</v>
      </c>
      <c r="B246" s="19" t="s">
        <v>25</v>
      </c>
      <c r="C246" s="25" t="s">
        <v>257</v>
      </c>
      <c r="D246" s="25" t="s">
        <v>26</v>
      </c>
      <c r="E246" s="25" t="s">
        <v>40</v>
      </c>
      <c r="F246" s="25" t="s">
        <v>46</v>
      </c>
      <c r="G246" s="25" t="s">
        <v>56</v>
      </c>
      <c r="H246" s="34">
        <v>45517</v>
      </c>
      <c r="I246" s="49">
        <v>160</v>
      </c>
      <c r="J246" s="49">
        <v>350</v>
      </c>
      <c r="K246" s="50">
        <v>7.0000000000000007E-2</v>
      </c>
      <c r="L246" s="43" t="s">
        <v>30</v>
      </c>
      <c r="M246" s="51">
        <v>56000</v>
      </c>
      <c r="N246" s="51">
        <v>52080</v>
      </c>
      <c r="O246" s="43" t="s">
        <v>265</v>
      </c>
    </row>
    <row r="247" spans="1:15" x14ac:dyDescent="0.3">
      <c r="A247" s="20" t="s">
        <v>1273</v>
      </c>
      <c r="B247" s="20" t="s">
        <v>49</v>
      </c>
      <c r="C247" s="26" t="s">
        <v>251</v>
      </c>
      <c r="D247" s="26" t="s">
        <v>50</v>
      </c>
      <c r="E247" s="26" t="s">
        <v>45</v>
      </c>
      <c r="F247" s="26" t="s">
        <v>34</v>
      </c>
      <c r="G247" s="26" t="s">
        <v>53</v>
      </c>
      <c r="H247" s="35">
        <v>45509</v>
      </c>
      <c r="I247" s="52">
        <v>67</v>
      </c>
      <c r="J247" s="52">
        <v>895</v>
      </c>
      <c r="K247" s="53">
        <v>0.12</v>
      </c>
      <c r="L247" s="44" t="s">
        <v>36</v>
      </c>
      <c r="M247" s="54">
        <v>59965</v>
      </c>
      <c r="N247" s="54">
        <v>52769.2</v>
      </c>
      <c r="O247" s="44" t="s">
        <v>265</v>
      </c>
    </row>
    <row r="248" spans="1:15" x14ac:dyDescent="0.3">
      <c r="A248" s="19" t="s">
        <v>1274</v>
      </c>
      <c r="B248" s="19" t="s">
        <v>61</v>
      </c>
      <c r="C248" s="25" t="s">
        <v>244</v>
      </c>
      <c r="D248" s="25" t="s">
        <v>26</v>
      </c>
      <c r="E248" s="25" t="s">
        <v>40</v>
      </c>
      <c r="F248" s="25" t="s">
        <v>28</v>
      </c>
      <c r="G248" s="25" t="s">
        <v>56</v>
      </c>
      <c r="H248" s="34">
        <v>45533</v>
      </c>
      <c r="I248" s="49">
        <v>49</v>
      </c>
      <c r="J248" s="49">
        <v>280</v>
      </c>
      <c r="K248" s="50">
        <v>0.08</v>
      </c>
      <c r="L248" s="43" t="s">
        <v>36</v>
      </c>
      <c r="M248" s="51">
        <v>13720</v>
      </c>
      <c r="N248" s="51">
        <v>12622.4</v>
      </c>
      <c r="O248" s="43" t="s">
        <v>265</v>
      </c>
    </row>
    <row r="249" spans="1:15" x14ac:dyDescent="0.3">
      <c r="A249" s="20" t="s">
        <v>1275</v>
      </c>
      <c r="B249" s="20" t="s">
        <v>58</v>
      </c>
      <c r="C249" s="26" t="s">
        <v>255</v>
      </c>
      <c r="D249" s="26" t="s">
        <v>59</v>
      </c>
      <c r="E249" s="26" t="s">
        <v>45</v>
      </c>
      <c r="F249" s="26" t="s">
        <v>34</v>
      </c>
      <c r="G249" s="26" t="s">
        <v>47</v>
      </c>
      <c r="H249" s="35">
        <v>45508</v>
      </c>
      <c r="I249" s="52">
        <v>96</v>
      </c>
      <c r="J249" s="52">
        <v>2800</v>
      </c>
      <c r="K249" s="53">
        <v>0.05</v>
      </c>
      <c r="L249" s="44" t="s">
        <v>36</v>
      </c>
      <c r="M249" s="54">
        <v>268800</v>
      </c>
      <c r="N249" s="54">
        <v>255360</v>
      </c>
      <c r="O249" s="44" t="s">
        <v>267</v>
      </c>
    </row>
    <row r="250" spans="1:15" x14ac:dyDescent="0.3">
      <c r="A250" s="19" t="s">
        <v>1276</v>
      </c>
      <c r="B250" s="19" t="s">
        <v>38</v>
      </c>
      <c r="C250" s="25" t="s">
        <v>247</v>
      </c>
      <c r="D250" s="25" t="s">
        <v>39</v>
      </c>
      <c r="E250" s="25" t="s">
        <v>33</v>
      </c>
      <c r="F250" s="25" t="s">
        <v>52</v>
      </c>
      <c r="G250" s="25" t="s">
        <v>29</v>
      </c>
      <c r="H250" s="34">
        <v>45551</v>
      </c>
      <c r="I250" s="49">
        <v>52</v>
      </c>
      <c r="J250" s="49">
        <v>1200</v>
      </c>
      <c r="K250" s="50">
        <v>0.03</v>
      </c>
      <c r="L250" s="43" t="s">
        <v>36</v>
      </c>
      <c r="M250" s="51">
        <v>62400</v>
      </c>
      <c r="N250" s="51">
        <v>60528</v>
      </c>
      <c r="O250" s="43" t="s">
        <v>265</v>
      </c>
    </row>
    <row r="251" spans="1:15" x14ac:dyDescent="0.3">
      <c r="A251" s="20" t="s">
        <v>1277</v>
      </c>
      <c r="B251" s="20" t="s">
        <v>55</v>
      </c>
      <c r="C251" s="26" t="s">
        <v>249</v>
      </c>
      <c r="D251" s="26" t="s">
        <v>39</v>
      </c>
      <c r="E251" s="26" t="s">
        <v>45</v>
      </c>
      <c r="F251" s="26" t="s">
        <v>28</v>
      </c>
      <c r="G251" s="26" t="s">
        <v>35</v>
      </c>
      <c r="H251" s="35">
        <v>45565</v>
      </c>
      <c r="I251" s="52">
        <v>51</v>
      </c>
      <c r="J251" s="52">
        <v>650</v>
      </c>
      <c r="K251" s="53">
        <v>0.12</v>
      </c>
      <c r="L251" s="44" t="s">
        <v>30</v>
      </c>
      <c r="M251" s="54">
        <v>33150</v>
      </c>
      <c r="N251" s="54">
        <v>29172</v>
      </c>
      <c r="O251" s="44" t="s">
        <v>265</v>
      </c>
    </row>
    <row r="252" spans="1:15" x14ac:dyDescent="0.3">
      <c r="A252" s="19" t="s">
        <v>1278</v>
      </c>
      <c r="B252" s="19" t="s">
        <v>61</v>
      </c>
      <c r="C252" s="25" t="s">
        <v>244</v>
      </c>
      <c r="D252" s="25" t="s">
        <v>26</v>
      </c>
      <c r="E252" s="25" t="s">
        <v>45</v>
      </c>
      <c r="F252" s="25" t="s">
        <v>46</v>
      </c>
      <c r="G252" s="25" t="s">
        <v>53</v>
      </c>
      <c r="H252" s="34">
        <v>45556</v>
      </c>
      <c r="I252" s="49">
        <v>58</v>
      </c>
      <c r="J252" s="49">
        <v>280</v>
      </c>
      <c r="K252" s="50">
        <v>0.08</v>
      </c>
      <c r="L252" s="43" t="s">
        <v>36</v>
      </c>
      <c r="M252" s="51">
        <v>16240</v>
      </c>
      <c r="N252" s="51">
        <v>14940.8</v>
      </c>
      <c r="O252" s="43" t="s">
        <v>265</v>
      </c>
    </row>
    <row r="253" spans="1:15" x14ac:dyDescent="0.3">
      <c r="A253" s="20" t="s">
        <v>1279</v>
      </c>
      <c r="B253" s="20" t="s">
        <v>58</v>
      </c>
      <c r="C253" s="26" t="s">
        <v>255</v>
      </c>
      <c r="D253" s="26" t="s">
        <v>59</v>
      </c>
      <c r="E253" s="26" t="s">
        <v>40</v>
      </c>
      <c r="F253" s="26" t="s">
        <v>52</v>
      </c>
      <c r="G253" s="26" t="s">
        <v>56</v>
      </c>
      <c r="H253" s="35">
        <v>45547</v>
      </c>
      <c r="I253" s="52">
        <v>91</v>
      </c>
      <c r="J253" s="52">
        <v>2800</v>
      </c>
      <c r="K253" s="53">
        <v>0.14000000000000001</v>
      </c>
      <c r="L253" s="44" t="s">
        <v>36</v>
      </c>
      <c r="M253" s="54">
        <v>254800</v>
      </c>
      <c r="N253" s="54">
        <v>219128</v>
      </c>
      <c r="O253" s="44" t="s">
        <v>267</v>
      </c>
    </row>
    <row r="254" spans="1:15" x14ac:dyDescent="0.3">
      <c r="A254" s="19" t="s">
        <v>1280</v>
      </c>
      <c r="B254" s="19" t="s">
        <v>49</v>
      </c>
      <c r="C254" s="25" t="s">
        <v>251</v>
      </c>
      <c r="D254" s="25" t="s">
        <v>50</v>
      </c>
      <c r="E254" s="25" t="s">
        <v>33</v>
      </c>
      <c r="F254" s="25" t="s">
        <v>28</v>
      </c>
      <c r="G254" s="25" t="s">
        <v>56</v>
      </c>
      <c r="H254" s="34">
        <v>45556</v>
      </c>
      <c r="I254" s="49">
        <v>145</v>
      </c>
      <c r="J254" s="49">
        <v>895</v>
      </c>
      <c r="K254" s="50">
        <v>0.13</v>
      </c>
      <c r="L254" s="43" t="s">
        <v>36</v>
      </c>
      <c r="M254" s="51">
        <v>129775</v>
      </c>
      <c r="N254" s="51">
        <v>112904.25</v>
      </c>
      <c r="O254" s="43" t="s">
        <v>267</v>
      </c>
    </row>
    <row r="255" spans="1:15" x14ac:dyDescent="0.3">
      <c r="A255" s="20" t="s">
        <v>1281</v>
      </c>
      <c r="B255" s="20" t="s">
        <v>25</v>
      </c>
      <c r="C255" s="26" t="s">
        <v>257</v>
      </c>
      <c r="D255" s="26" t="s">
        <v>26</v>
      </c>
      <c r="E255" s="26" t="s">
        <v>45</v>
      </c>
      <c r="F255" s="26" t="s">
        <v>46</v>
      </c>
      <c r="G255" s="26" t="s">
        <v>42</v>
      </c>
      <c r="H255" s="35">
        <v>45550</v>
      </c>
      <c r="I255" s="52">
        <v>38</v>
      </c>
      <c r="J255" s="52">
        <v>350</v>
      </c>
      <c r="K255" s="53">
        <v>0.05</v>
      </c>
      <c r="L255" s="44" t="s">
        <v>36</v>
      </c>
      <c r="M255" s="54">
        <v>13300</v>
      </c>
      <c r="N255" s="54">
        <v>12635</v>
      </c>
      <c r="O255" s="44" t="s">
        <v>265</v>
      </c>
    </row>
    <row r="256" spans="1:15" x14ac:dyDescent="0.3">
      <c r="A256" s="19" t="s">
        <v>1282</v>
      </c>
      <c r="B256" s="19" t="s">
        <v>55</v>
      </c>
      <c r="C256" s="25" t="s">
        <v>249</v>
      </c>
      <c r="D256" s="25" t="s">
        <v>39</v>
      </c>
      <c r="E256" s="25" t="s">
        <v>40</v>
      </c>
      <c r="F256" s="25" t="s">
        <v>28</v>
      </c>
      <c r="G256" s="25" t="s">
        <v>47</v>
      </c>
      <c r="H256" s="34">
        <v>45552</v>
      </c>
      <c r="I256" s="49">
        <v>187</v>
      </c>
      <c r="J256" s="49">
        <v>650</v>
      </c>
      <c r="K256" s="50">
        <v>0.03</v>
      </c>
      <c r="L256" s="43" t="s">
        <v>36</v>
      </c>
      <c r="M256" s="51">
        <v>121550</v>
      </c>
      <c r="N256" s="51">
        <v>117903.5</v>
      </c>
      <c r="O256" s="43" t="s">
        <v>267</v>
      </c>
    </row>
    <row r="257" spans="1:15" x14ac:dyDescent="0.3">
      <c r="A257" s="20" t="s">
        <v>1283</v>
      </c>
      <c r="B257" s="20" t="s">
        <v>38</v>
      </c>
      <c r="C257" s="26" t="s">
        <v>247</v>
      </c>
      <c r="D257" s="26" t="s">
        <v>39</v>
      </c>
      <c r="E257" s="26" t="s">
        <v>27</v>
      </c>
      <c r="F257" s="26" t="s">
        <v>28</v>
      </c>
      <c r="G257" s="26" t="s">
        <v>29</v>
      </c>
      <c r="H257" s="35">
        <v>45536</v>
      </c>
      <c r="I257" s="52">
        <v>22</v>
      </c>
      <c r="J257" s="52">
        <v>1200</v>
      </c>
      <c r="K257" s="53">
        <v>0.13</v>
      </c>
      <c r="L257" s="44" t="s">
        <v>36</v>
      </c>
      <c r="M257" s="54">
        <v>26400</v>
      </c>
      <c r="N257" s="54">
        <v>22968</v>
      </c>
      <c r="O257" s="44" t="s">
        <v>265</v>
      </c>
    </row>
    <row r="258" spans="1:15" x14ac:dyDescent="0.3">
      <c r="A258" s="19" t="s">
        <v>1284</v>
      </c>
      <c r="B258" s="19" t="s">
        <v>44</v>
      </c>
      <c r="C258" s="25" t="s">
        <v>254</v>
      </c>
      <c r="D258" s="25" t="s">
        <v>39</v>
      </c>
      <c r="E258" s="25" t="s">
        <v>27</v>
      </c>
      <c r="F258" s="25" t="s">
        <v>28</v>
      </c>
      <c r="G258" s="25" t="s">
        <v>42</v>
      </c>
      <c r="H258" s="34">
        <v>45553</v>
      </c>
      <c r="I258" s="49">
        <v>160</v>
      </c>
      <c r="J258" s="49">
        <v>200</v>
      </c>
      <c r="K258" s="50">
        <v>0.03</v>
      </c>
      <c r="L258" s="43" t="s">
        <v>36</v>
      </c>
      <c r="M258" s="51">
        <v>32000</v>
      </c>
      <c r="N258" s="51">
        <v>31040</v>
      </c>
      <c r="O258" s="43" t="s">
        <v>265</v>
      </c>
    </row>
    <row r="259" spans="1:15" x14ac:dyDescent="0.3">
      <c r="A259" s="20" t="s">
        <v>1285</v>
      </c>
      <c r="B259" s="20" t="s">
        <v>25</v>
      </c>
      <c r="C259" s="26" t="s">
        <v>257</v>
      </c>
      <c r="D259" s="26" t="s">
        <v>26</v>
      </c>
      <c r="E259" s="26" t="s">
        <v>27</v>
      </c>
      <c r="F259" s="26" t="s">
        <v>28</v>
      </c>
      <c r="G259" s="26" t="s">
        <v>47</v>
      </c>
      <c r="H259" s="35">
        <v>45565</v>
      </c>
      <c r="I259" s="52">
        <v>122</v>
      </c>
      <c r="J259" s="52">
        <v>350</v>
      </c>
      <c r="K259" s="53">
        <v>0.05</v>
      </c>
      <c r="L259" s="44" t="s">
        <v>30</v>
      </c>
      <c r="M259" s="54">
        <v>42700</v>
      </c>
      <c r="N259" s="54">
        <v>40565</v>
      </c>
      <c r="O259" s="44" t="s">
        <v>265</v>
      </c>
    </row>
    <row r="260" spans="1:15" x14ac:dyDescent="0.3">
      <c r="A260" s="19" t="s">
        <v>1286</v>
      </c>
      <c r="B260" s="19" t="s">
        <v>32</v>
      </c>
      <c r="C260" s="25" t="s">
        <v>246</v>
      </c>
      <c r="D260" s="25" t="s">
        <v>26</v>
      </c>
      <c r="E260" s="25" t="s">
        <v>33</v>
      </c>
      <c r="F260" s="25" t="s">
        <v>34</v>
      </c>
      <c r="G260" s="25" t="s">
        <v>56</v>
      </c>
      <c r="H260" s="34">
        <v>45547</v>
      </c>
      <c r="I260" s="49">
        <v>193</v>
      </c>
      <c r="J260" s="49">
        <v>420</v>
      </c>
      <c r="K260" s="50">
        <v>0.13</v>
      </c>
      <c r="L260" s="43" t="s">
        <v>36</v>
      </c>
      <c r="M260" s="51">
        <v>81060</v>
      </c>
      <c r="N260" s="51">
        <v>70522.2</v>
      </c>
      <c r="O260" s="43" t="s">
        <v>265</v>
      </c>
    </row>
    <row r="261" spans="1:15" x14ac:dyDescent="0.3">
      <c r="A261" s="20" t="s">
        <v>1287</v>
      </c>
      <c r="B261" s="20" t="s">
        <v>44</v>
      </c>
      <c r="C261" s="26" t="s">
        <v>254</v>
      </c>
      <c r="D261" s="26" t="s">
        <v>39</v>
      </c>
      <c r="E261" s="26" t="s">
        <v>33</v>
      </c>
      <c r="F261" s="26" t="s">
        <v>52</v>
      </c>
      <c r="G261" s="26" t="s">
        <v>56</v>
      </c>
      <c r="H261" s="35">
        <v>45552</v>
      </c>
      <c r="I261" s="52">
        <v>71</v>
      </c>
      <c r="J261" s="52">
        <v>200</v>
      </c>
      <c r="K261" s="53">
        <v>7.0000000000000007E-2</v>
      </c>
      <c r="L261" s="44" t="s">
        <v>30</v>
      </c>
      <c r="M261" s="54">
        <v>14200</v>
      </c>
      <c r="N261" s="54">
        <v>13206</v>
      </c>
      <c r="O261" s="44" t="s">
        <v>265</v>
      </c>
    </row>
    <row r="262" spans="1:15" x14ac:dyDescent="0.3">
      <c r="A262" s="19" t="s">
        <v>1288</v>
      </c>
      <c r="B262" s="19" t="s">
        <v>61</v>
      </c>
      <c r="C262" s="25" t="s">
        <v>244</v>
      </c>
      <c r="D262" s="25" t="s">
        <v>26</v>
      </c>
      <c r="E262" s="25" t="s">
        <v>33</v>
      </c>
      <c r="F262" s="25" t="s">
        <v>34</v>
      </c>
      <c r="G262" s="25" t="s">
        <v>35</v>
      </c>
      <c r="H262" s="34">
        <v>45537</v>
      </c>
      <c r="I262" s="49">
        <v>249</v>
      </c>
      <c r="J262" s="49">
        <v>280</v>
      </c>
      <c r="K262" s="50">
        <v>0.1</v>
      </c>
      <c r="L262" s="43" t="s">
        <v>36</v>
      </c>
      <c r="M262" s="51">
        <v>69720</v>
      </c>
      <c r="N262" s="51">
        <v>62748</v>
      </c>
      <c r="O262" s="43" t="s">
        <v>265</v>
      </c>
    </row>
    <row r="263" spans="1:15" x14ac:dyDescent="0.3">
      <c r="A263" s="20" t="s">
        <v>1289</v>
      </c>
      <c r="B263" s="20" t="s">
        <v>44</v>
      </c>
      <c r="C263" s="26" t="s">
        <v>254</v>
      </c>
      <c r="D263" s="26" t="s">
        <v>39</v>
      </c>
      <c r="E263" s="26" t="s">
        <v>40</v>
      </c>
      <c r="F263" s="26" t="s">
        <v>34</v>
      </c>
      <c r="G263" s="26" t="s">
        <v>42</v>
      </c>
      <c r="H263" s="35">
        <v>45544</v>
      </c>
      <c r="I263" s="52">
        <v>89</v>
      </c>
      <c r="J263" s="52">
        <v>200</v>
      </c>
      <c r="K263" s="53">
        <v>0</v>
      </c>
      <c r="L263" s="44" t="s">
        <v>30</v>
      </c>
      <c r="M263" s="54">
        <v>17800</v>
      </c>
      <c r="N263" s="54">
        <v>17800</v>
      </c>
      <c r="O263" s="44" t="s">
        <v>265</v>
      </c>
    </row>
    <row r="264" spans="1:15" x14ac:dyDescent="0.3">
      <c r="A264" s="19" t="s">
        <v>1290</v>
      </c>
      <c r="B264" s="19" t="s">
        <v>55</v>
      </c>
      <c r="C264" s="25" t="s">
        <v>249</v>
      </c>
      <c r="D264" s="25" t="s">
        <v>39</v>
      </c>
      <c r="E264" s="25" t="s">
        <v>51</v>
      </c>
      <c r="F264" s="25" t="s">
        <v>34</v>
      </c>
      <c r="G264" s="25" t="s">
        <v>56</v>
      </c>
      <c r="H264" s="34">
        <v>45552</v>
      </c>
      <c r="I264" s="49">
        <v>180</v>
      </c>
      <c r="J264" s="49">
        <v>650</v>
      </c>
      <c r="K264" s="50">
        <v>0.15</v>
      </c>
      <c r="L264" s="43" t="s">
        <v>30</v>
      </c>
      <c r="M264" s="51">
        <v>117000</v>
      </c>
      <c r="N264" s="51">
        <v>99450</v>
      </c>
      <c r="O264" s="43" t="s">
        <v>265</v>
      </c>
    </row>
    <row r="265" spans="1:15" x14ac:dyDescent="0.3">
      <c r="A265" s="20" t="s">
        <v>1291</v>
      </c>
      <c r="B265" s="20" t="s">
        <v>32</v>
      </c>
      <c r="C265" s="26" t="s">
        <v>246</v>
      </c>
      <c r="D265" s="26" t="s">
        <v>26</v>
      </c>
      <c r="E265" s="26" t="s">
        <v>33</v>
      </c>
      <c r="F265" s="26" t="s">
        <v>41</v>
      </c>
      <c r="G265" s="26" t="s">
        <v>29</v>
      </c>
      <c r="H265" s="35">
        <v>45540</v>
      </c>
      <c r="I265" s="52">
        <v>152</v>
      </c>
      <c r="J265" s="52">
        <v>420</v>
      </c>
      <c r="K265" s="53">
        <v>7.0000000000000007E-2</v>
      </c>
      <c r="L265" s="44" t="s">
        <v>36</v>
      </c>
      <c r="M265" s="54">
        <v>63840</v>
      </c>
      <c r="N265" s="54">
        <v>59371.199999999997</v>
      </c>
      <c r="O265" s="44" t="s">
        <v>265</v>
      </c>
    </row>
    <row r="266" spans="1:15" x14ac:dyDescent="0.3">
      <c r="A266" s="19" t="s">
        <v>1292</v>
      </c>
      <c r="B266" s="19" t="s">
        <v>61</v>
      </c>
      <c r="C266" s="25" t="s">
        <v>244</v>
      </c>
      <c r="D266" s="25" t="s">
        <v>26</v>
      </c>
      <c r="E266" s="25" t="s">
        <v>33</v>
      </c>
      <c r="F266" s="25" t="s">
        <v>34</v>
      </c>
      <c r="G266" s="25" t="s">
        <v>47</v>
      </c>
      <c r="H266" s="34">
        <v>45553</v>
      </c>
      <c r="I266" s="49">
        <v>236</v>
      </c>
      <c r="J266" s="49">
        <v>280</v>
      </c>
      <c r="K266" s="50">
        <v>0</v>
      </c>
      <c r="L266" s="43" t="s">
        <v>30</v>
      </c>
      <c r="M266" s="51">
        <v>66080</v>
      </c>
      <c r="N266" s="51">
        <v>66080</v>
      </c>
      <c r="O266" s="43" t="s">
        <v>265</v>
      </c>
    </row>
    <row r="267" spans="1:15" x14ac:dyDescent="0.3">
      <c r="A267" s="20" t="s">
        <v>1293</v>
      </c>
      <c r="B267" s="20" t="s">
        <v>25</v>
      </c>
      <c r="C267" s="26" t="s">
        <v>257</v>
      </c>
      <c r="D267" s="26" t="s">
        <v>26</v>
      </c>
      <c r="E267" s="26" t="s">
        <v>45</v>
      </c>
      <c r="F267" s="26" t="s">
        <v>28</v>
      </c>
      <c r="G267" s="26" t="s">
        <v>42</v>
      </c>
      <c r="H267" s="35">
        <v>45557</v>
      </c>
      <c r="I267" s="52">
        <v>176</v>
      </c>
      <c r="J267" s="52">
        <v>350</v>
      </c>
      <c r="K267" s="53">
        <v>0.03</v>
      </c>
      <c r="L267" s="44" t="s">
        <v>36</v>
      </c>
      <c r="M267" s="54">
        <v>61600</v>
      </c>
      <c r="N267" s="54">
        <v>59752</v>
      </c>
      <c r="O267" s="44" t="s">
        <v>265</v>
      </c>
    </row>
    <row r="268" spans="1:15" x14ac:dyDescent="0.3">
      <c r="A268" s="19" t="s">
        <v>1294</v>
      </c>
      <c r="B268" s="19" t="s">
        <v>61</v>
      </c>
      <c r="C268" s="25" t="s">
        <v>244</v>
      </c>
      <c r="D268" s="25" t="s">
        <v>26</v>
      </c>
      <c r="E268" s="25" t="s">
        <v>40</v>
      </c>
      <c r="F268" s="25" t="s">
        <v>28</v>
      </c>
      <c r="G268" s="25" t="s">
        <v>42</v>
      </c>
      <c r="H268" s="34">
        <v>45547</v>
      </c>
      <c r="I268" s="49">
        <v>60</v>
      </c>
      <c r="J268" s="49">
        <v>280</v>
      </c>
      <c r="K268" s="50">
        <v>0.1</v>
      </c>
      <c r="L268" s="43" t="s">
        <v>30</v>
      </c>
      <c r="M268" s="51">
        <v>16800</v>
      </c>
      <c r="N268" s="51">
        <v>15120</v>
      </c>
      <c r="O268" s="43" t="s">
        <v>265</v>
      </c>
    </row>
    <row r="269" spans="1:15" x14ac:dyDescent="0.3">
      <c r="A269" s="20" t="s">
        <v>1295</v>
      </c>
      <c r="B269" s="20" t="s">
        <v>32</v>
      </c>
      <c r="C269" s="26" t="s">
        <v>246</v>
      </c>
      <c r="D269" s="26" t="s">
        <v>26</v>
      </c>
      <c r="E269" s="26" t="s">
        <v>51</v>
      </c>
      <c r="F269" s="26" t="s">
        <v>46</v>
      </c>
      <c r="G269" s="26" t="s">
        <v>56</v>
      </c>
      <c r="H269" s="35">
        <v>45553</v>
      </c>
      <c r="I269" s="52">
        <v>67</v>
      </c>
      <c r="J269" s="52">
        <v>420</v>
      </c>
      <c r="K269" s="53">
        <v>0.03</v>
      </c>
      <c r="L269" s="44" t="s">
        <v>30</v>
      </c>
      <c r="M269" s="54">
        <v>28140</v>
      </c>
      <c r="N269" s="54">
        <v>27295.8</v>
      </c>
      <c r="O269" s="44" t="s">
        <v>265</v>
      </c>
    </row>
    <row r="270" spans="1:15" x14ac:dyDescent="0.3">
      <c r="A270" s="19" t="s">
        <v>1296</v>
      </c>
      <c r="B270" s="19" t="s">
        <v>63</v>
      </c>
      <c r="C270" s="25" t="s">
        <v>253</v>
      </c>
      <c r="D270" s="25" t="s">
        <v>50</v>
      </c>
      <c r="E270" s="25" t="s">
        <v>40</v>
      </c>
      <c r="F270" s="25" t="s">
        <v>46</v>
      </c>
      <c r="G270" s="25" t="s">
        <v>42</v>
      </c>
      <c r="H270" s="34">
        <v>45559</v>
      </c>
      <c r="I270" s="49">
        <v>120</v>
      </c>
      <c r="J270" s="49">
        <v>750</v>
      </c>
      <c r="K270" s="50">
        <v>0.1</v>
      </c>
      <c r="L270" s="43" t="s">
        <v>36</v>
      </c>
      <c r="M270" s="51">
        <v>90000</v>
      </c>
      <c r="N270" s="51">
        <v>81000</v>
      </c>
      <c r="O270" s="43" t="s">
        <v>265</v>
      </c>
    </row>
    <row r="271" spans="1:15" x14ac:dyDescent="0.3">
      <c r="A271" s="20" t="s">
        <v>1297</v>
      </c>
      <c r="B271" s="20" t="s">
        <v>25</v>
      </c>
      <c r="C271" s="26" t="s">
        <v>257</v>
      </c>
      <c r="D271" s="26" t="s">
        <v>26</v>
      </c>
      <c r="E271" s="26" t="s">
        <v>45</v>
      </c>
      <c r="F271" s="26" t="s">
        <v>28</v>
      </c>
      <c r="G271" s="26" t="s">
        <v>53</v>
      </c>
      <c r="H271" s="35">
        <v>45536</v>
      </c>
      <c r="I271" s="52">
        <v>150</v>
      </c>
      <c r="J271" s="52">
        <v>350</v>
      </c>
      <c r="K271" s="53">
        <v>0.15</v>
      </c>
      <c r="L271" s="44" t="s">
        <v>30</v>
      </c>
      <c r="M271" s="54">
        <v>52500</v>
      </c>
      <c r="N271" s="54">
        <v>44625</v>
      </c>
      <c r="O271" s="44" t="s">
        <v>265</v>
      </c>
    </row>
    <row r="272" spans="1:15" x14ac:dyDescent="0.3">
      <c r="A272" s="19" t="s">
        <v>1298</v>
      </c>
      <c r="B272" s="19" t="s">
        <v>61</v>
      </c>
      <c r="C272" s="25" t="s">
        <v>244</v>
      </c>
      <c r="D272" s="25" t="s">
        <v>26</v>
      </c>
      <c r="E272" s="25" t="s">
        <v>27</v>
      </c>
      <c r="F272" s="25" t="s">
        <v>46</v>
      </c>
      <c r="G272" s="25" t="s">
        <v>29</v>
      </c>
      <c r="H272" s="34">
        <v>45562</v>
      </c>
      <c r="I272" s="49">
        <v>145</v>
      </c>
      <c r="J272" s="49">
        <v>280</v>
      </c>
      <c r="K272" s="50">
        <v>0.14000000000000001</v>
      </c>
      <c r="L272" s="43" t="s">
        <v>36</v>
      </c>
      <c r="M272" s="51">
        <v>40600</v>
      </c>
      <c r="N272" s="51">
        <v>34916</v>
      </c>
      <c r="O272" s="43" t="s">
        <v>265</v>
      </c>
    </row>
    <row r="273" spans="1:15" x14ac:dyDescent="0.3">
      <c r="A273" s="20" t="s">
        <v>1299</v>
      </c>
      <c r="B273" s="20" t="s">
        <v>61</v>
      </c>
      <c r="C273" s="26" t="s">
        <v>244</v>
      </c>
      <c r="D273" s="26" t="s">
        <v>26</v>
      </c>
      <c r="E273" s="26" t="s">
        <v>51</v>
      </c>
      <c r="F273" s="26" t="s">
        <v>34</v>
      </c>
      <c r="G273" s="26" t="s">
        <v>29</v>
      </c>
      <c r="H273" s="35">
        <v>45556</v>
      </c>
      <c r="I273" s="52">
        <v>113</v>
      </c>
      <c r="J273" s="52">
        <v>280</v>
      </c>
      <c r="K273" s="53">
        <v>0.03</v>
      </c>
      <c r="L273" s="44" t="s">
        <v>36</v>
      </c>
      <c r="M273" s="54">
        <v>31640</v>
      </c>
      <c r="N273" s="54">
        <v>30690.799999999999</v>
      </c>
      <c r="O273" s="44" t="s">
        <v>265</v>
      </c>
    </row>
    <row r="274" spans="1:15" x14ac:dyDescent="0.3">
      <c r="A274" s="19" t="s">
        <v>1300</v>
      </c>
      <c r="B274" s="19" t="s">
        <v>63</v>
      </c>
      <c r="C274" s="25" t="s">
        <v>253</v>
      </c>
      <c r="D274" s="25" t="s">
        <v>50</v>
      </c>
      <c r="E274" s="25" t="s">
        <v>33</v>
      </c>
      <c r="F274" s="25" t="s">
        <v>41</v>
      </c>
      <c r="G274" s="25" t="s">
        <v>47</v>
      </c>
      <c r="H274" s="34">
        <v>45539</v>
      </c>
      <c r="I274" s="49">
        <v>106</v>
      </c>
      <c r="J274" s="49">
        <v>750</v>
      </c>
      <c r="K274" s="50">
        <v>0</v>
      </c>
      <c r="L274" s="43" t="s">
        <v>36</v>
      </c>
      <c r="M274" s="51">
        <v>79500</v>
      </c>
      <c r="N274" s="51">
        <v>79500</v>
      </c>
      <c r="O274" s="43" t="s">
        <v>265</v>
      </c>
    </row>
    <row r="275" spans="1:15" x14ac:dyDescent="0.3">
      <c r="A275" s="20" t="s">
        <v>1301</v>
      </c>
      <c r="B275" s="20" t="s">
        <v>61</v>
      </c>
      <c r="C275" s="26" t="s">
        <v>244</v>
      </c>
      <c r="D275" s="26" t="s">
        <v>26</v>
      </c>
      <c r="E275" s="26" t="s">
        <v>27</v>
      </c>
      <c r="F275" s="26" t="s">
        <v>46</v>
      </c>
      <c r="G275" s="26" t="s">
        <v>42</v>
      </c>
      <c r="H275" s="35">
        <v>45555</v>
      </c>
      <c r="I275" s="52">
        <v>92</v>
      </c>
      <c r="J275" s="52">
        <v>280</v>
      </c>
      <c r="K275" s="53">
        <v>0.15</v>
      </c>
      <c r="L275" s="44" t="s">
        <v>30</v>
      </c>
      <c r="M275" s="54">
        <v>25760</v>
      </c>
      <c r="N275" s="54">
        <v>21896</v>
      </c>
      <c r="O275" s="44" t="s">
        <v>265</v>
      </c>
    </row>
    <row r="276" spans="1:15" x14ac:dyDescent="0.3">
      <c r="A276" s="19" t="s">
        <v>1302</v>
      </c>
      <c r="B276" s="19" t="s">
        <v>63</v>
      </c>
      <c r="C276" s="25" t="s">
        <v>253</v>
      </c>
      <c r="D276" s="25" t="s">
        <v>50</v>
      </c>
      <c r="E276" s="25" t="s">
        <v>27</v>
      </c>
      <c r="F276" s="25" t="s">
        <v>28</v>
      </c>
      <c r="G276" s="25" t="s">
        <v>47</v>
      </c>
      <c r="H276" s="34">
        <v>45561</v>
      </c>
      <c r="I276" s="49">
        <v>40</v>
      </c>
      <c r="J276" s="49">
        <v>750</v>
      </c>
      <c r="K276" s="50">
        <v>0.1</v>
      </c>
      <c r="L276" s="43" t="s">
        <v>36</v>
      </c>
      <c r="M276" s="51">
        <v>30000</v>
      </c>
      <c r="N276" s="51">
        <v>27000</v>
      </c>
      <c r="O276" s="43" t="s">
        <v>265</v>
      </c>
    </row>
    <row r="277" spans="1:15" x14ac:dyDescent="0.3">
      <c r="A277" s="20" t="s">
        <v>1303</v>
      </c>
      <c r="B277" s="20" t="s">
        <v>38</v>
      </c>
      <c r="C277" s="26" t="s">
        <v>247</v>
      </c>
      <c r="D277" s="26" t="s">
        <v>39</v>
      </c>
      <c r="E277" s="26" t="s">
        <v>45</v>
      </c>
      <c r="F277" s="26" t="s">
        <v>34</v>
      </c>
      <c r="G277" s="26" t="s">
        <v>35</v>
      </c>
      <c r="H277" s="35">
        <v>45558</v>
      </c>
      <c r="I277" s="52">
        <v>115</v>
      </c>
      <c r="J277" s="52">
        <v>1200</v>
      </c>
      <c r="K277" s="53">
        <v>0.03</v>
      </c>
      <c r="L277" s="44" t="s">
        <v>36</v>
      </c>
      <c r="M277" s="54">
        <v>138000</v>
      </c>
      <c r="N277" s="54">
        <v>133860</v>
      </c>
      <c r="O277" s="44" t="s">
        <v>267</v>
      </c>
    </row>
    <row r="278" spans="1:15" x14ac:dyDescent="0.3">
      <c r="A278" s="19" t="s">
        <v>1304</v>
      </c>
      <c r="B278" s="19" t="s">
        <v>63</v>
      </c>
      <c r="C278" s="25" t="s">
        <v>253</v>
      </c>
      <c r="D278" s="25" t="s">
        <v>50</v>
      </c>
      <c r="E278" s="25" t="s">
        <v>40</v>
      </c>
      <c r="F278" s="25" t="s">
        <v>34</v>
      </c>
      <c r="G278" s="25" t="s">
        <v>42</v>
      </c>
      <c r="H278" s="34">
        <v>45546</v>
      </c>
      <c r="I278" s="49">
        <v>70</v>
      </c>
      <c r="J278" s="49">
        <v>750</v>
      </c>
      <c r="K278" s="50">
        <v>0.15</v>
      </c>
      <c r="L278" s="43" t="s">
        <v>36</v>
      </c>
      <c r="M278" s="51">
        <v>52500</v>
      </c>
      <c r="N278" s="51">
        <v>44625</v>
      </c>
      <c r="O278" s="43" t="s">
        <v>265</v>
      </c>
    </row>
    <row r="279" spans="1:15" x14ac:dyDescent="0.3">
      <c r="A279" s="20" t="s">
        <v>1305</v>
      </c>
      <c r="B279" s="20" t="s">
        <v>38</v>
      </c>
      <c r="C279" s="26" t="s">
        <v>247</v>
      </c>
      <c r="D279" s="26" t="s">
        <v>39</v>
      </c>
      <c r="E279" s="26" t="s">
        <v>51</v>
      </c>
      <c r="F279" s="26" t="s">
        <v>46</v>
      </c>
      <c r="G279" s="26" t="s">
        <v>53</v>
      </c>
      <c r="H279" s="35">
        <v>45544</v>
      </c>
      <c r="I279" s="52">
        <v>136</v>
      </c>
      <c r="J279" s="52">
        <v>1200</v>
      </c>
      <c r="K279" s="53">
        <v>0</v>
      </c>
      <c r="L279" s="44" t="s">
        <v>36</v>
      </c>
      <c r="M279" s="54">
        <v>163200</v>
      </c>
      <c r="N279" s="54">
        <v>163200</v>
      </c>
      <c r="O279" s="44" t="s">
        <v>267</v>
      </c>
    </row>
    <row r="280" spans="1:15" x14ac:dyDescent="0.3">
      <c r="A280" s="19" t="s">
        <v>1306</v>
      </c>
      <c r="B280" s="19" t="s">
        <v>16</v>
      </c>
      <c r="C280" s="25" t="s">
        <v>250</v>
      </c>
      <c r="D280" s="25" t="s">
        <v>39</v>
      </c>
      <c r="E280" s="25" t="s">
        <v>45</v>
      </c>
      <c r="F280" s="25" t="s">
        <v>28</v>
      </c>
      <c r="G280" s="25" t="s">
        <v>47</v>
      </c>
      <c r="H280" s="34">
        <v>45549</v>
      </c>
      <c r="I280" s="49">
        <v>42</v>
      </c>
      <c r="J280" s="49">
        <v>990</v>
      </c>
      <c r="K280" s="50">
        <v>0</v>
      </c>
      <c r="L280" s="43" t="s">
        <v>36</v>
      </c>
      <c r="M280" s="51">
        <v>41580</v>
      </c>
      <c r="N280" s="51">
        <v>41580</v>
      </c>
      <c r="O280" s="43" t="s">
        <v>265</v>
      </c>
    </row>
    <row r="281" spans="1:15" x14ac:dyDescent="0.3">
      <c r="A281" s="20" t="s">
        <v>1307</v>
      </c>
      <c r="B281" s="20" t="s">
        <v>38</v>
      </c>
      <c r="C281" s="26" t="s">
        <v>247</v>
      </c>
      <c r="D281" s="26" t="s">
        <v>39</v>
      </c>
      <c r="E281" s="26" t="s">
        <v>51</v>
      </c>
      <c r="F281" s="26" t="s">
        <v>34</v>
      </c>
      <c r="G281" s="26" t="s">
        <v>29</v>
      </c>
      <c r="H281" s="35">
        <v>45550</v>
      </c>
      <c r="I281" s="52">
        <v>62</v>
      </c>
      <c r="J281" s="52">
        <v>1200</v>
      </c>
      <c r="K281" s="53">
        <v>0.15</v>
      </c>
      <c r="L281" s="44" t="s">
        <v>36</v>
      </c>
      <c r="M281" s="54">
        <v>74400</v>
      </c>
      <c r="N281" s="54">
        <v>63240</v>
      </c>
      <c r="O281" s="44" t="s">
        <v>265</v>
      </c>
    </row>
    <row r="282" spans="1:15" x14ac:dyDescent="0.3">
      <c r="A282" s="19" t="s">
        <v>1308</v>
      </c>
      <c r="B282" s="19" t="s">
        <v>44</v>
      </c>
      <c r="C282" s="25" t="s">
        <v>254</v>
      </c>
      <c r="D282" s="25" t="s">
        <v>39</v>
      </c>
      <c r="E282" s="25" t="s">
        <v>40</v>
      </c>
      <c r="F282" s="25" t="s">
        <v>52</v>
      </c>
      <c r="G282" s="25" t="s">
        <v>35</v>
      </c>
      <c r="H282" s="34">
        <v>45536</v>
      </c>
      <c r="I282" s="49">
        <v>227</v>
      </c>
      <c r="J282" s="49">
        <v>200</v>
      </c>
      <c r="K282" s="50">
        <v>0</v>
      </c>
      <c r="L282" s="43" t="s">
        <v>36</v>
      </c>
      <c r="M282" s="51">
        <v>45400</v>
      </c>
      <c r="N282" s="51">
        <v>45400</v>
      </c>
      <c r="O282" s="43" t="s">
        <v>265</v>
      </c>
    </row>
    <row r="283" spans="1:15" x14ac:dyDescent="0.3">
      <c r="A283" s="20" t="s">
        <v>1309</v>
      </c>
      <c r="B283" s="20" t="s">
        <v>44</v>
      </c>
      <c r="C283" s="26" t="s">
        <v>254</v>
      </c>
      <c r="D283" s="26" t="s">
        <v>39</v>
      </c>
      <c r="E283" s="26" t="s">
        <v>51</v>
      </c>
      <c r="F283" s="26" t="s">
        <v>28</v>
      </c>
      <c r="G283" s="26" t="s">
        <v>35</v>
      </c>
      <c r="H283" s="35">
        <v>45538</v>
      </c>
      <c r="I283" s="52">
        <v>46</v>
      </c>
      <c r="J283" s="52">
        <v>200</v>
      </c>
      <c r="K283" s="53">
        <v>0.05</v>
      </c>
      <c r="L283" s="44" t="s">
        <v>36</v>
      </c>
      <c r="M283" s="54">
        <v>9200</v>
      </c>
      <c r="N283" s="54">
        <v>8740</v>
      </c>
      <c r="O283" s="44" t="s">
        <v>265</v>
      </c>
    </row>
    <row r="284" spans="1:15" x14ac:dyDescent="0.3">
      <c r="A284" s="19" t="s">
        <v>1310</v>
      </c>
      <c r="B284" s="19" t="s">
        <v>44</v>
      </c>
      <c r="C284" s="25" t="s">
        <v>254</v>
      </c>
      <c r="D284" s="25" t="s">
        <v>39</v>
      </c>
      <c r="E284" s="25" t="s">
        <v>33</v>
      </c>
      <c r="F284" s="25" t="s">
        <v>46</v>
      </c>
      <c r="G284" s="25" t="s">
        <v>53</v>
      </c>
      <c r="H284" s="34">
        <v>45548</v>
      </c>
      <c r="I284" s="49">
        <v>123</v>
      </c>
      <c r="J284" s="49">
        <v>200</v>
      </c>
      <c r="K284" s="50">
        <v>0.15</v>
      </c>
      <c r="L284" s="43" t="s">
        <v>30</v>
      </c>
      <c r="M284" s="51">
        <v>24600</v>
      </c>
      <c r="N284" s="51">
        <v>20910</v>
      </c>
      <c r="O284" s="43" t="s">
        <v>265</v>
      </c>
    </row>
    <row r="285" spans="1:15" x14ac:dyDescent="0.3">
      <c r="A285" s="20" t="s">
        <v>1311</v>
      </c>
      <c r="B285" s="20" t="s">
        <v>61</v>
      </c>
      <c r="C285" s="26" t="s">
        <v>244</v>
      </c>
      <c r="D285" s="26" t="s">
        <v>26</v>
      </c>
      <c r="E285" s="26" t="s">
        <v>51</v>
      </c>
      <c r="F285" s="26" t="s">
        <v>41</v>
      </c>
      <c r="G285" s="26" t="s">
        <v>53</v>
      </c>
      <c r="H285" s="35">
        <v>45556</v>
      </c>
      <c r="I285" s="52">
        <v>243</v>
      </c>
      <c r="J285" s="52">
        <v>280</v>
      </c>
      <c r="K285" s="53">
        <v>0.11</v>
      </c>
      <c r="L285" s="44" t="s">
        <v>36</v>
      </c>
      <c r="M285" s="54">
        <v>68040</v>
      </c>
      <c r="N285" s="54">
        <v>60555.6</v>
      </c>
      <c r="O285" s="44" t="s">
        <v>265</v>
      </c>
    </row>
    <row r="286" spans="1:15" x14ac:dyDescent="0.3">
      <c r="A286" s="19" t="s">
        <v>1312</v>
      </c>
      <c r="B286" s="19" t="s">
        <v>16</v>
      </c>
      <c r="C286" s="25" t="s">
        <v>250</v>
      </c>
      <c r="D286" s="25" t="s">
        <v>39</v>
      </c>
      <c r="E286" s="25" t="s">
        <v>27</v>
      </c>
      <c r="F286" s="25" t="s">
        <v>41</v>
      </c>
      <c r="G286" s="25" t="s">
        <v>35</v>
      </c>
      <c r="H286" s="34">
        <v>45554</v>
      </c>
      <c r="I286" s="49">
        <v>74</v>
      </c>
      <c r="J286" s="49">
        <v>990</v>
      </c>
      <c r="K286" s="50">
        <v>0</v>
      </c>
      <c r="L286" s="43" t="s">
        <v>36</v>
      </c>
      <c r="M286" s="51">
        <v>73260</v>
      </c>
      <c r="N286" s="51">
        <v>73260</v>
      </c>
      <c r="O286" s="43" t="s">
        <v>265</v>
      </c>
    </row>
    <row r="287" spans="1:15" x14ac:dyDescent="0.3">
      <c r="A287" s="20" t="s">
        <v>1313</v>
      </c>
      <c r="B287" s="20" t="s">
        <v>25</v>
      </c>
      <c r="C287" s="26" t="s">
        <v>257</v>
      </c>
      <c r="D287" s="26" t="s">
        <v>26</v>
      </c>
      <c r="E287" s="26" t="s">
        <v>51</v>
      </c>
      <c r="F287" s="26" t="s">
        <v>46</v>
      </c>
      <c r="G287" s="26" t="s">
        <v>42</v>
      </c>
      <c r="H287" s="35">
        <v>45555</v>
      </c>
      <c r="I287" s="52">
        <v>128</v>
      </c>
      <c r="J287" s="52">
        <v>350</v>
      </c>
      <c r="K287" s="53">
        <v>7.0000000000000007E-2</v>
      </c>
      <c r="L287" s="44" t="s">
        <v>36</v>
      </c>
      <c r="M287" s="54">
        <v>44800</v>
      </c>
      <c r="N287" s="54">
        <v>41664</v>
      </c>
      <c r="O287" s="44" t="s">
        <v>265</v>
      </c>
    </row>
    <row r="288" spans="1:15" x14ac:dyDescent="0.3">
      <c r="A288" s="19" t="s">
        <v>1314</v>
      </c>
      <c r="B288" s="19" t="s">
        <v>38</v>
      </c>
      <c r="C288" s="25" t="s">
        <v>247</v>
      </c>
      <c r="D288" s="25" t="s">
        <v>39</v>
      </c>
      <c r="E288" s="25" t="s">
        <v>45</v>
      </c>
      <c r="F288" s="25" t="s">
        <v>28</v>
      </c>
      <c r="G288" s="25" t="s">
        <v>35</v>
      </c>
      <c r="H288" s="34">
        <v>45545</v>
      </c>
      <c r="I288" s="49">
        <v>27</v>
      </c>
      <c r="J288" s="49">
        <v>1200</v>
      </c>
      <c r="K288" s="50">
        <v>0</v>
      </c>
      <c r="L288" s="43" t="s">
        <v>30</v>
      </c>
      <c r="M288" s="51">
        <v>32400</v>
      </c>
      <c r="N288" s="51">
        <v>32400</v>
      </c>
      <c r="O288" s="43" t="s">
        <v>265</v>
      </c>
    </row>
    <row r="289" spans="1:15" x14ac:dyDescent="0.3">
      <c r="A289" s="20" t="s">
        <v>1315</v>
      </c>
      <c r="B289" s="20" t="s">
        <v>16</v>
      </c>
      <c r="C289" s="26" t="s">
        <v>250</v>
      </c>
      <c r="D289" s="26" t="s">
        <v>39</v>
      </c>
      <c r="E289" s="26" t="s">
        <v>33</v>
      </c>
      <c r="F289" s="26" t="s">
        <v>46</v>
      </c>
      <c r="G289" s="26" t="s">
        <v>42</v>
      </c>
      <c r="H289" s="35">
        <v>45564</v>
      </c>
      <c r="I289" s="52">
        <v>82</v>
      </c>
      <c r="J289" s="52">
        <v>990</v>
      </c>
      <c r="K289" s="53">
        <v>0.14000000000000001</v>
      </c>
      <c r="L289" s="44" t="s">
        <v>36</v>
      </c>
      <c r="M289" s="54">
        <v>81180</v>
      </c>
      <c r="N289" s="54">
        <v>69814.8</v>
      </c>
      <c r="O289" s="44" t="s">
        <v>265</v>
      </c>
    </row>
    <row r="290" spans="1:15" x14ac:dyDescent="0.3">
      <c r="A290" s="19" t="s">
        <v>1316</v>
      </c>
      <c r="B290" s="19" t="s">
        <v>55</v>
      </c>
      <c r="C290" s="25" t="s">
        <v>249</v>
      </c>
      <c r="D290" s="25" t="s">
        <v>39</v>
      </c>
      <c r="E290" s="25" t="s">
        <v>40</v>
      </c>
      <c r="F290" s="25" t="s">
        <v>28</v>
      </c>
      <c r="G290" s="25" t="s">
        <v>47</v>
      </c>
      <c r="H290" s="34">
        <v>45538</v>
      </c>
      <c r="I290" s="49">
        <v>165</v>
      </c>
      <c r="J290" s="49">
        <v>650</v>
      </c>
      <c r="K290" s="50">
        <v>0.15</v>
      </c>
      <c r="L290" s="43" t="s">
        <v>36</v>
      </c>
      <c r="M290" s="51">
        <v>107250</v>
      </c>
      <c r="N290" s="51">
        <v>91162.5</v>
      </c>
      <c r="O290" s="43" t="s">
        <v>265</v>
      </c>
    </row>
    <row r="291" spans="1:15" x14ac:dyDescent="0.3">
      <c r="A291" s="20" t="s">
        <v>1317</v>
      </c>
      <c r="B291" s="20" t="s">
        <v>63</v>
      </c>
      <c r="C291" s="26" t="s">
        <v>253</v>
      </c>
      <c r="D291" s="26" t="s">
        <v>50</v>
      </c>
      <c r="E291" s="26" t="s">
        <v>33</v>
      </c>
      <c r="F291" s="26" t="s">
        <v>52</v>
      </c>
      <c r="G291" s="26" t="s">
        <v>29</v>
      </c>
      <c r="H291" s="35">
        <v>45536</v>
      </c>
      <c r="I291" s="52">
        <v>38</v>
      </c>
      <c r="J291" s="52">
        <v>750</v>
      </c>
      <c r="K291" s="53">
        <v>0.11</v>
      </c>
      <c r="L291" s="44" t="s">
        <v>36</v>
      </c>
      <c r="M291" s="54">
        <v>28500</v>
      </c>
      <c r="N291" s="54">
        <v>25365</v>
      </c>
      <c r="O291" s="44" t="s">
        <v>265</v>
      </c>
    </row>
    <row r="292" spans="1:15" x14ac:dyDescent="0.3">
      <c r="A292" s="19" t="s">
        <v>1318</v>
      </c>
      <c r="B292" s="19" t="s">
        <v>49</v>
      </c>
      <c r="C292" s="25" t="s">
        <v>251</v>
      </c>
      <c r="D292" s="25" t="s">
        <v>50</v>
      </c>
      <c r="E292" s="25" t="s">
        <v>51</v>
      </c>
      <c r="F292" s="25" t="s">
        <v>28</v>
      </c>
      <c r="G292" s="25" t="s">
        <v>29</v>
      </c>
      <c r="H292" s="34">
        <v>45553</v>
      </c>
      <c r="I292" s="49">
        <v>131</v>
      </c>
      <c r="J292" s="49">
        <v>895</v>
      </c>
      <c r="K292" s="50">
        <v>0.13</v>
      </c>
      <c r="L292" s="43" t="s">
        <v>36</v>
      </c>
      <c r="M292" s="51">
        <v>117245</v>
      </c>
      <c r="N292" s="51">
        <v>102003.15</v>
      </c>
      <c r="O292" s="43" t="s">
        <v>267</v>
      </c>
    </row>
    <row r="293" spans="1:15" x14ac:dyDescent="0.3">
      <c r="A293" s="20" t="s">
        <v>1319</v>
      </c>
      <c r="B293" s="20" t="s">
        <v>25</v>
      </c>
      <c r="C293" s="26" t="s">
        <v>257</v>
      </c>
      <c r="D293" s="26" t="s">
        <v>26</v>
      </c>
      <c r="E293" s="26" t="s">
        <v>27</v>
      </c>
      <c r="F293" s="26" t="s">
        <v>41</v>
      </c>
      <c r="G293" s="26" t="s">
        <v>35</v>
      </c>
      <c r="H293" s="35">
        <v>45549</v>
      </c>
      <c r="I293" s="52">
        <v>83</v>
      </c>
      <c r="J293" s="52">
        <v>350</v>
      </c>
      <c r="K293" s="53">
        <v>0.1</v>
      </c>
      <c r="L293" s="44" t="s">
        <v>36</v>
      </c>
      <c r="M293" s="54">
        <v>29050</v>
      </c>
      <c r="N293" s="54">
        <v>26145</v>
      </c>
      <c r="O293" s="44" t="s">
        <v>265</v>
      </c>
    </row>
    <row r="294" spans="1:15" x14ac:dyDescent="0.3">
      <c r="A294" s="19" t="s">
        <v>1320</v>
      </c>
      <c r="B294" s="19" t="s">
        <v>38</v>
      </c>
      <c r="C294" s="25" t="s">
        <v>247</v>
      </c>
      <c r="D294" s="25" t="s">
        <v>39</v>
      </c>
      <c r="E294" s="25" t="s">
        <v>27</v>
      </c>
      <c r="F294" s="25" t="s">
        <v>46</v>
      </c>
      <c r="G294" s="25" t="s">
        <v>29</v>
      </c>
      <c r="H294" s="34">
        <v>45559</v>
      </c>
      <c r="I294" s="49">
        <v>119</v>
      </c>
      <c r="J294" s="49">
        <v>1200</v>
      </c>
      <c r="K294" s="50">
        <v>0.15</v>
      </c>
      <c r="L294" s="43" t="s">
        <v>36</v>
      </c>
      <c r="M294" s="51">
        <v>142800</v>
      </c>
      <c r="N294" s="51">
        <v>121380</v>
      </c>
      <c r="O294" s="43" t="s">
        <v>267</v>
      </c>
    </row>
    <row r="295" spans="1:15" x14ac:dyDescent="0.3">
      <c r="A295" s="20" t="s">
        <v>1321</v>
      </c>
      <c r="B295" s="20" t="s">
        <v>61</v>
      </c>
      <c r="C295" s="26" t="s">
        <v>244</v>
      </c>
      <c r="D295" s="26" t="s">
        <v>26</v>
      </c>
      <c r="E295" s="26" t="s">
        <v>45</v>
      </c>
      <c r="F295" s="26" t="s">
        <v>52</v>
      </c>
      <c r="G295" s="26" t="s">
        <v>42</v>
      </c>
      <c r="H295" s="35">
        <v>45541</v>
      </c>
      <c r="I295" s="52">
        <v>119</v>
      </c>
      <c r="J295" s="52">
        <v>280</v>
      </c>
      <c r="K295" s="53">
        <v>0.14000000000000001</v>
      </c>
      <c r="L295" s="44" t="s">
        <v>36</v>
      </c>
      <c r="M295" s="54">
        <v>33320</v>
      </c>
      <c r="N295" s="54">
        <v>28655.200000000001</v>
      </c>
      <c r="O295" s="44" t="s">
        <v>265</v>
      </c>
    </row>
    <row r="296" spans="1:15" x14ac:dyDescent="0.3">
      <c r="A296" s="19" t="s">
        <v>1322</v>
      </c>
      <c r="B296" s="19" t="s">
        <v>25</v>
      </c>
      <c r="C296" s="25" t="s">
        <v>257</v>
      </c>
      <c r="D296" s="25" t="s">
        <v>26</v>
      </c>
      <c r="E296" s="25" t="s">
        <v>33</v>
      </c>
      <c r="F296" s="25" t="s">
        <v>52</v>
      </c>
      <c r="G296" s="25" t="s">
        <v>56</v>
      </c>
      <c r="H296" s="34">
        <v>45553</v>
      </c>
      <c r="I296" s="49">
        <v>39</v>
      </c>
      <c r="J296" s="49">
        <v>350</v>
      </c>
      <c r="K296" s="50">
        <v>0.15</v>
      </c>
      <c r="L296" s="43" t="s">
        <v>36</v>
      </c>
      <c r="M296" s="51">
        <v>13650</v>
      </c>
      <c r="N296" s="51">
        <v>11602.5</v>
      </c>
      <c r="O296" s="43" t="s">
        <v>265</v>
      </c>
    </row>
    <row r="297" spans="1:15" x14ac:dyDescent="0.3">
      <c r="A297" s="20" t="s">
        <v>1323</v>
      </c>
      <c r="B297" s="20" t="s">
        <v>61</v>
      </c>
      <c r="C297" s="26" t="s">
        <v>244</v>
      </c>
      <c r="D297" s="26" t="s">
        <v>26</v>
      </c>
      <c r="E297" s="26" t="s">
        <v>27</v>
      </c>
      <c r="F297" s="26" t="s">
        <v>46</v>
      </c>
      <c r="G297" s="26" t="s">
        <v>35</v>
      </c>
      <c r="H297" s="35">
        <v>45553</v>
      </c>
      <c r="I297" s="52">
        <v>87</v>
      </c>
      <c r="J297" s="52">
        <v>280</v>
      </c>
      <c r="K297" s="53">
        <v>0</v>
      </c>
      <c r="L297" s="44" t="s">
        <v>36</v>
      </c>
      <c r="M297" s="54">
        <v>24360</v>
      </c>
      <c r="N297" s="54">
        <v>24360</v>
      </c>
      <c r="O297" s="44" t="s">
        <v>265</v>
      </c>
    </row>
    <row r="298" spans="1:15" x14ac:dyDescent="0.3">
      <c r="A298" s="19" t="s">
        <v>1324</v>
      </c>
      <c r="B298" s="19" t="s">
        <v>32</v>
      </c>
      <c r="C298" s="25" t="s">
        <v>246</v>
      </c>
      <c r="D298" s="25" t="s">
        <v>26</v>
      </c>
      <c r="E298" s="25" t="s">
        <v>40</v>
      </c>
      <c r="F298" s="25" t="s">
        <v>34</v>
      </c>
      <c r="G298" s="25" t="s">
        <v>42</v>
      </c>
      <c r="H298" s="34">
        <v>45544</v>
      </c>
      <c r="I298" s="49">
        <v>131</v>
      </c>
      <c r="J298" s="49">
        <v>420</v>
      </c>
      <c r="K298" s="50">
        <v>0</v>
      </c>
      <c r="L298" s="43" t="s">
        <v>36</v>
      </c>
      <c r="M298" s="51">
        <v>55020</v>
      </c>
      <c r="N298" s="51">
        <v>55020</v>
      </c>
      <c r="O298" s="43" t="s">
        <v>265</v>
      </c>
    </row>
    <row r="299" spans="1:15" x14ac:dyDescent="0.3">
      <c r="A299" s="20" t="s">
        <v>1325</v>
      </c>
      <c r="B299" s="20" t="s">
        <v>55</v>
      </c>
      <c r="C299" s="26" t="s">
        <v>249</v>
      </c>
      <c r="D299" s="26" t="s">
        <v>39</v>
      </c>
      <c r="E299" s="26" t="s">
        <v>51</v>
      </c>
      <c r="F299" s="26" t="s">
        <v>34</v>
      </c>
      <c r="G299" s="26" t="s">
        <v>47</v>
      </c>
      <c r="H299" s="35">
        <v>45545</v>
      </c>
      <c r="I299" s="52">
        <v>71</v>
      </c>
      <c r="J299" s="52">
        <v>650</v>
      </c>
      <c r="K299" s="53">
        <v>0.11</v>
      </c>
      <c r="L299" s="44" t="s">
        <v>36</v>
      </c>
      <c r="M299" s="54">
        <v>46150</v>
      </c>
      <c r="N299" s="54">
        <v>41073.5</v>
      </c>
      <c r="O299" s="44" t="s">
        <v>265</v>
      </c>
    </row>
    <row r="300" spans="1:15" x14ac:dyDescent="0.3">
      <c r="A300" s="19" t="s">
        <v>1326</v>
      </c>
      <c r="B300" s="19" t="s">
        <v>49</v>
      </c>
      <c r="C300" s="25" t="s">
        <v>251</v>
      </c>
      <c r="D300" s="25" t="s">
        <v>50</v>
      </c>
      <c r="E300" s="25" t="s">
        <v>45</v>
      </c>
      <c r="F300" s="25" t="s">
        <v>41</v>
      </c>
      <c r="G300" s="25" t="s">
        <v>56</v>
      </c>
      <c r="H300" s="34">
        <v>45543</v>
      </c>
      <c r="I300" s="49">
        <v>29</v>
      </c>
      <c r="J300" s="49">
        <v>895</v>
      </c>
      <c r="K300" s="50">
        <v>0.1</v>
      </c>
      <c r="L300" s="43" t="s">
        <v>36</v>
      </c>
      <c r="M300" s="51">
        <v>25955</v>
      </c>
      <c r="N300" s="51">
        <v>23359.5</v>
      </c>
      <c r="O300" s="43" t="s">
        <v>265</v>
      </c>
    </row>
    <row r="301" spans="1:15" x14ac:dyDescent="0.3">
      <c r="A301" s="20" t="s">
        <v>1327</v>
      </c>
      <c r="B301" s="20" t="s">
        <v>32</v>
      </c>
      <c r="C301" s="26" t="s">
        <v>246</v>
      </c>
      <c r="D301" s="26" t="s">
        <v>26</v>
      </c>
      <c r="E301" s="26" t="s">
        <v>51</v>
      </c>
      <c r="F301" s="26" t="s">
        <v>52</v>
      </c>
      <c r="G301" s="26" t="s">
        <v>56</v>
      </c>
      <c r="H301" s="35">
        <v>45546</v>
      </c>
      <c r="I301" s="52">
        <v>70</v>
      </c>
      <c r="J301" s="52">
        <v>420</v>
      </c>
      <c r="K301" s="53">
        <v>0.03</v>
      </c>
      <c r="L301" s="44" t="s">
        <v>30</v>
      </c>
      <c r="M301" s="54">
        <v>29400</v>
      </c>
      <c r="N301" s="54">
        <v>28518</v>
      </c>
      <c r="O301" s="44" t="s">
        <v>265</v>
      </c>
    </row>
    <row r="302" spans="1:15" x14ac:dyDescent="0.3">
      <c r="A302" s="19" t="s">
        <v>1328</v>
      </c>
      <c r="B302" s="19" t="s">
        <v>16</v>
      </c>
      <c r="C302" s="25" t="s">
        <v>250</v>
      </c>
      <c r="D302" s="25" t="s">
        <v>39</v>
      </c>
      <c r="E302" s="25" t="s">
        <v>27</v>
      </c>
      <c r="F302" s="25" t="s">
        <v>34</v>
      </c>
      <c r="G302" s="25" t="s">
        <v>56</v>
      </c>
      <c r="H302" s="34">
        <v>45543</v>
      </c>
      <c r="I302" s="49">
        <v>112</v>
      </c>
      <c r="J302" s="49">
        <v>990</v>
      </c>
      <c r="K302" s="50">
        <v>0.15</v>
      </c>
      <c r="L302" s="43" t="s">
        <v>36</v>
      </c>
      <c r="M302" s="51">
        <v>110880</v>
      </c>
      <c r="N302" s="51">
        <v>94248</v>
      </c>
      <c r="O302" s="43" t="s">
        <v>265</v>
      </c>
    </row>
    <row r="303" spans="1:15" x14ac:dyDescent="0.3">
      <c r="A303" s="20" t="s">
        <v>1329</v>
      </c>
      <c r="B303" s="20" t="s">
        <v>16</v>
      </c>
      <c r="C303" s="26" t="s">
        <v>250</v>
      </c>
      <c r="D303" s="26" t="s">
        <v>39</v>
      </c>
      <c r="E303" s="26" t="s">
        <v>45</v>
      </c>
      <c r="F303" s="26" t="s">
        <v>52</v>
      </c>
      <c r="G303" s="26" t="s">
        <v>29</v>
      </c>
      <c r="H303" s="35">
        <v>45554</v>
      </c>
      <c r="I303" s="52">
        <v>86</v>
      </c>
      <c r="J303" s="52">
        <v>990</v>
      </c>
      <c r="K303" s="53">
        <v>0</v>
      </c>
      <c r="L303" s="44" t="s">
        <v>30</v>
      </c>
      <c r="M303" s="54">
        <v>85140</v>
      </c>
      <c r="N303" s="54">
        <v>85140</v>
      </c>
      <c r="O303" s="44" t="s">
        <v>265</v>
      </c>
    </row>
    <row r="304" spans="1:15" x14ac:dyDescent="0.3">
      <c r="A304" s="19" t="s">
        <v>1330</v>
      </c>
      <c r="B304" s="19" t="s">
        <v>44</v>
      </c>
      <c r="C304" s="25" t="s">
        <v>254</v>
      </c>
      <c r="D304" s="25" t="s">
        <v>39</v>
      </c>
      <c r="E304" s="25" t="s">
        <v>40</v>
      </c>
      <c r="F304" s="25" t="s">
        <v>34</v>
      </c>
      <c r="G304" s="25" t="s">
        <v>42</v>
      </c>
      <c r="H304" s="34">
        <v>45564</v>
      </c>
      <c r="I304" s="49">
        <v>40</v>
      </c>
      <c r="J304" s="49">
        <v>200</v>
      </c>
      <c r="K304" s="50">
        <v>0.13</v>
      </c>
      <c r="L304" s="43" t="s">
        <v>36</v>
      </c>
      <c r="M304" s="51">
        <v>8000</v>
      </c>
      <c r="N304" s="51">
        <v>6960</v>
      </c>
      <c r="O304" s="43" t="s">
        <v>265</v>
      </c>
    </row>
    <row r="305" spans="1:15" x14ac:dyDescent="0.3">
      <c r="A305" s="20" t="s">
        <v>1331</v>
      </c>
      <c r="B305" s="20" t="s">
        <v>61</v>
      </c>
      <c r="C305" s="26" t="s">
        <v>244</v>
      </c>
      <c r="D305" s="26" t="s">
        <v>26</v>
      </c>
      <c r="E305" s="26" t="s">
        <v>40</v>
      </c>
      <c r="F305" s="26" t="s">
        <v>41</v>
      </c>
      <c r="G305" s="26" t="s">
        <v>56</v>
      </c>
      <c r="H305" s="35">
        <v>45543</v>
      </c>
      <c r="I305" s="52">
        <v>179</v>
      </c>
      <c r="J305" s="52">
        <v>280</v>
      </c>
      <c r="K305" s="53">
        <v>0.13</v>
      </c>
      <c r="L305" s="44" t="s">
        <v>36</v>
      </c>
      <c r="M305" s="54">
        <v>50120</v>
      </c>
      <c r="N305" s="54">
        <v>43604.4</v>
      </c>
      <c r="O305" s="44" t="s">
        <v>265</v>
      </c>
    </row>
    <row r="306" spans="1:15" x14ac:dyDescent="0.3">
      <c r="A306" s="19" t="s">
        <v>1332</v>
      </c>
      <c r="B306" s="19" t="s">
        <v>61</v>
      </c>
      <c r="C306" s="25" t="s">
        <v>244</v>
      </c>
      <c r="D306" s="25" t="s">
        <v>26</v>
      </c>
      <c r="E306" s="25" t="s">
        <v>33</v>
      </c>
      <c r="F306" s="25" t="s">
        <v>46</v>
      </c>
      <c r="G306" s="25" t="s">
        <v>35</v>
      </c>
      <c r="H306" s="34">
        <v>45546</v>
      </c>
      <c r="I306" s="49">
        <v>160</v>
      </c>
      <c r="J306" s="49">
        <v>280</v>
      </c>
      <c r="K306" s="50">
        <v>0.1</v>
      </c>
      <c r="L306" s="43" t="s">
        <v>36</v>
      </c>
      <c r="M306" s="51">
        <v>44800</v>
      </c>
      <c r="N306" s="51">
        <v>40320</v>
      </c>
      <c r="O306" s="43" t="s">
        <v>265</v>
      </c>
    </row>
    <row r="307" spans="1:15" x14ac:dyDescent="0.3">
      <c r="A307" s="20" t="s">
        <v>1333</v>
      </c>
      <c r="B307" s="20" t="s">
        <v>49</v>
      </c>
      <c r="C307" s="26" t="s">
        <v>251</v>
      </c>
      <c r="D307" s="26" t="s">
        <v>50</v>
      </c>
      <c r="E307" s="26" t="s">
        <v>40</v>
      </c>
      <c r="F307" s="26" t="s">
        <v>46</v>
      </c>
      <c r="G307" s="26" t="s">
        <v>56</v>
      </c>
      <c r="H307" s="35">
        <v>45558</v>
      </c>
      <c r="I307" s="52">
        <v>24</v>
      </c>
      <c r="J307" s="52">
        <v>895</v>
      </c>
      <c r="K307" s="53">
        <v>0.03</v>
      </c>
      <c r="L307" s="44" t="s">
        <v>36</v>
      </c>
      <c r="M307" s="54">
        <v>21480</v>
      </c>
      <c r="N307" s="54">
        <v>20835.599999999999</v>
      </c>
      <c r="O307" s="44" t="s">
        <v>265</v>
      </c>
    </row>
    <row r="308" spans="1:15" x14ac:dyDescent="0.3">
      <c r="A308" s="19" t="s">
        <v>1334</v>
      </c>
      <c r="B308" s="19" t="s">
        <v>38</v>
      </c>
      <c r="C308" s="25" t="s">
        <v>247</v>
      </c>
      <c r="D308" s="25" t="s">
        <v>39</v>
      </c>
      <c r="E308" s="25" t="s">
        <v>45</v>
      </c>
      <c r="F308" s="25" t="s">
        <v>41</v>
      </c>
      <c r="G308" s="25" t="s">
        <v>56</v>
      </c>
      <c r="H308" s="34">
        <v>45545</v>
      </c>
      <c r="I308" s="49">
        <v>115</v>
      </c>
      <c r="J308" s="49">
        <v>1200</v>
      </c>
      <c r="K308" s="50">
        <v>0</v>
      </c>
      <c r="L308" s="43" t="s">
        <v>36</v>
      </c>
      <c r="M308" s="51">
        <v>138000</v>
      </c>
      <c r="N308" s="51">
        <v>138000</v>
      </c>
      <c r="O308" s="43" t="s">
        <v>267</v>
      </c>
    </row>
    <row r="309" spans="1:15" x14ac:dyDescent="0.3">
      <c r="A309" s="20" t="s">
        <v>1335</v>
      </c>
      <c r="B309" s="20" t="s">
        <v>61</v>
      </c>
      <c r="C309" s="26" t="s">
        <v>244</v>
      </c>
      <c r="D309" s="26" t="s">
        <v>26</v>
      </c>
      <c r="E309" s="26" t="s">
        <v>51</v>
      </c>
      <c r="F309" s="26" t="s">
        <v>34</v>
      </c>
      <c r="G309" s="26" t="s">
        <v>56</v>
      </c>
      <c r="H309" s="35">
        <v>45553</v>
      </c>
      <c r="I309" s="52">
        <v>68</v>
      </c>
      <c r="J309" s="52">
        <v>280</v>
      </c>
      <c r="K309" s="53">
        <v>0.15</v>
      </c>
      <c r="L309" s="44" t="s">
        <v>36</v>
      </c>
      <c r="M309" s="54">
        <v>19040</v>
      </c>
      <c r="N309" s="54">
        <v>16184</v>
      </c>
      <c r="O309" s="44" t="s">
        <v>265</v>
      </c>
    </row>
    <row r="310" spans="1:15" x14ac:dyDescent="0.3">
      <c r="A310" s="19" t="s">
        <v>1336</v>
      </c>
      <c r="B310" s="19" t="s">
        <v>58</v>
      </c>
      <c r="C310" s="25" t="s">
        <v>255</v>
      </c>
      <c r="D310" s="25" t="s">
        <v>59</v>
      </c>
      <c r="E310" s="25" t="s">
        <v>45</v>
      </c>
      <c r="F310" s="25" t="s">
        <v>34</v>
      </c>
      <c r="G310" s="25" t="s">
        <v>42</v>
      </c>
      <c r="H310" s="34">
        <v>45539</v>
      </c>
      <c r="I310" s="49">
        <v>78</v>
      </c>
      <c r="J310" s="49">
        <v>2800</v>
      </c>
      <c r="K310" s="50">
        <v>7.0000000000000007E-2</v>
      </c>
      <c r="L310" s="43" t="s">
        <v>30</v>
      </c>
      <c r="M310" s="51">
        <v>218400</v>
      </c>
      <c r="N310" s="51">
        <v>203112</v>
      </c>
      <c r="O310" s="43" t="s">
        <v>267</v>
      </c>
    </row>
    <row r="311" spans="1:15" x14ac:dyDescent="0.3">
      <c r="A311" s="20" t="s">
        <v>1337</v>
      </c>
      <c r="B311" s="20" t="s">
        <v>63</v>
      </c>
      <c r="C311" s="26" t="s">
        <v>253</v>
      </c>
      <c r="D311" s="26" t="s">
        <v>50</v>
      </c>
      <c r="E311" s="26" t="s">
        <v>45</v>
      </c>
      <c r="F311" s="26" t="s">
        <v>52</v>
      </c>
      <c r="G311" s="26" t="s">
        <v>56</v>
      </c>
      <c r="H311" s="35">
        <v>45550</v>
      </c>
      <c r="I311" s="52">
        <v>146</v>
      </c>
      <c r="J311" s="52">
        <v>750</v>
      </c>
      <c r="K311" s="53">
        <v>0.1</v>
      </c>
      <c r="L311" s="44" t="s">
        <v>30</v>
      </c>
      <c r="M311" s="54">
        <v>109500</v>
      </c>
      <c r="N311" s="54">
        <v>98550</v>
      </c>
      <c r="O311" s="44" t="s">
        <v>265</v>
      </c>
    </row>
    <row r="312" spans="1:15" x14ac:dyDescent="0.3">
      <c r="A312" s="19" t="s">
        <v>1338</v>
      </c>
      <c r="B312" s="19" t="s">
        <v>44</v>
      </c>
      <c r="C312" s="25" t="s">
        <v>254</v>
      </c>
      <c r="D312" s="25" t="s">
        <v>39</v>
      </c>
      <c r="E312" s="25" t="s">
        <v>40</v>
      </c>
      <c r="F312" s="25" t="s">
        <v>34</v>
      </c>
      <c r="G312" s="25" t="s">
        <v>29</v>
      </c>
      <c r="H312" s="34">
        <v>45555</v>
      </c>
      <c r="I312" s="49">
        <v>228</v>
      </c>
      <c r="J312" s="49">
        <v>200</v>
      </c>
      <c r="K312" s="50">
        <v>0.14000000000000001</v>
      </c>
      <c r="L312" s="43" t="s">
        <v>30</v>
      </c>
      <c r="M312" s="51">
        <v>45600</v>
      </c>
      <c r="N312" s="51">
        <v>39216</v>
      </c>
      <c r="O312" s="43" t="s">
        <v>265</v>
      </c>
    </row>
    <row r="313" spans="1:15" x14ac:dyDescent="0.3">
      <c r="A313" s="20" t="s">
        <v>1339</v>
      </c>
      <c r="B313" s="20" t="s">
        <v>55</v>
      </c>
      <c r="C313" s="26" t="s">
        <v>249</v>
      </c>
      <c r="D313" s="26" t="s">
        <v>39</v>
      </c>
      <c r="E313" s="26" t="s">
        <v>27</v>
      </c>
      <c r="F313" s="26" t="s">
        <v>46</v>
      </c>
      <c r="G313" s="26" t="s">
        <v>29</v>
      </c>
      <c r="H313" s="35">
        <v>45544</v>
      </c>
      <c r="I313" s="52">
        <v>97</v>
      </c>
      <c r="J313" s="52">
        <v>650</v>
      </c>
      <c r="K313" s="53">
        <v>0.08</v>
      </c>
      <c r="L313" s="44" t="s">
        <v>36</v>
      </c>
      <c r="M313" s="54">
        <v>63050</v>
      </c>
      <c r="N313" s="54">
        <v>58006</v>
      </c>
      <c r="O313" s="44" t="s">
        <v>265</v>
      </c>
    </row>
    <row r="314" spans="1:15" x14ac:dyDescent="0.3">
      <c r="A314" s="19" t="s">
        <v>1340</v>
      </c>
      <c r="B314" s="19" t="s">
        <v>25</v>
      </c>
      <c r="C314" s="25" t="s">
        <v>257</v>
      </c>
      <c r="D314" s="25" t="s">
        <v>26</v>
      </c>
      <c r="E314" s="25" t="s">
        <v>33</v>
      </c>
      <c r="F314" s="25" t="s">
        <v>52</v>
      </c>
      <c r="G314" s="25" t="s">
        <v>53</v>
      </c>
      <c r="H314" s="34">
        <v>45537</v>
      </c>
      <c r="I314" s="49">
        <v>194</v>
      </c>
      <c r="J314" s="49">
        <v>350</v>
      </c>
      <c r="K314" s="50">
        <v>0.11</v>
      </c>
      <c r="L314" s="43" t="s">
        <v>30</v>
      </c>
      <c r="M314" s="51">
        <v>67900</v>
      </c>
      <c r="N314" s="51">
        <v>60431</v>
      </c>
      <c r="O314" s="43" t="s">
        <v>265</v>
      </c>
    </row>
    <row r="315" spans="1:15" x14ac:dyDescent="0.3">
      <c r="A315" s="20" t="s">
        <v>1341</v>
      </c>
      <c r="B315" s="20" t="s">
        <v>16</v>
      </c>
      <c r="C315" s="26" t="s">
        <v>250</v>
      </c>
      <c r="D315" s="26" t="s">
        <v>39</v>
      </c>
      <c r="E315" s="26" t="s">
        <v>40</v>
      </c>
      <c r="F315" s="26" t="s">
        <v>52</v>
      </c>
      <c r="G315" s="26" t="s">
        <v>29</v>
      </c>
      <c r="H315" s="35">
        <v>45546</v>
      </c>
      <c r="I315" s="52">
        <v>106</v>
      </c>
      <c r="J315" s="52">
        <v>990</v>
      </c>
      <c r="K315" s="53">
        <v>0.13</v>
      </c>
      <c r="L315" s="44" t="s">
        <v>36</v>
      </c>
      <c r="M315" s="54">
        <v>104940</v>
      </c>
      <c r="N315" s="54">
        <v>91297.8</v>
      </c>
      <c r="O315" s="44" t="s">
        <v>265</v>
      </c>
    </row>
    <row r="316" spans="1:15" x14ac:dyDescent="0.3">
      <c r="A316" s="19" t="s">
        <v>1342</v>
      </c>
      <c r="B316" s="19" t="s">
        <v>38</v>
      </c>
      <c r="C316" s="25" t="s">
        <v>247</v>
      </c>
      <c r="D316" s="25" t="s">
        <v>39</v>
      </c>
      <c r="E316" s="25" t="s">
        <v>45</v>
      </c>
      <c r="F316" s="25" t="s">
        <v>28</v>
      </c>
      <c r="G316" s="25" t="s">
        <v>29</v>
      </c>
      <c r="H316" s="34">
        <v>45590</v>
      </c>
      <c r="I316" s="49">
        <v>49</v>
      </c>
      <c r="J316" s="49">
        <v>1200</v>
      </c>
      <c r="K316" s="50">
        <v>0.12</v>
      </c>
      <c r="L316" s="43" t="s">
        <v>36</v>
      </c>
      <c r="M316" s="51">
        <v>58800</v>
      </c>
      <c r="N316" s="51">
        <v>51744</v>
      </c>
      <c r="O316" s="43" t="s">
        <v>265</v>
      </c>
    </row>
    <row r="317" spans="1:15" x14ac:dyDescent="0.3">
      <c r="A317" s="20" t="s">
        <v>1343</v>
      </c>
      <c r="B317" s="20" t="s">
        <v>63</v>
      </c>
      <c r="C317" s="26" t="s">
        <v>253</v>
      </c>
      <c r="D317" s="26" t="s">
        <v>50</v>
      </c>
      <c r="E317" s="26" t="s">
        <v>40</v>
      </c>
      <c r="F317" s="26" t="s">
        <v>46</v>
      </c>
      <c r="G317" s="26" t="s">
        <v>29</v>
      </c>
      <c r="H317" s="35">
        <v>45577</v>
      </c>
      <c r="I317" s="52">
        <v>128</v>
      </c>
      <c r="J317" s="52">
        <v>750</v>
      </c>
      <c r="K317" s="53">
        <v>0.15</v>
      </c>
      <c r="L317" s="44" t="s">
        <v>36</v>
      </c>
      <c r="M317" s="54">
        <v>96000</v>
      </c>
      <c r="N317" s="54">
        <v>81600</v>
      </c>
      <c r="O317" s="44" t="s">
        <v>265</v>
      </c>
    </row>
    <row r="318" spans="1:15" x14ac:dyDescent="0.3">
      <c r="A318" s="19" t="s">
        <v>1344</v>
      </c>
      <c r="B318" s="19" t="s">
        <v>16</v>
      </c>
      <c r="C318" s="25" t="s">
        <v>250</v>
      </c>
      <c r="D318" s="25" t="s">
        <v>39</v>
      </c>
      <c r="E318" s="25" t="s">
        <v>33</v>
      </c>
      <c r="F318" s="25" t="s">
        <v>28</v>
      </c>
      <c r="G318" s="25" t="s">
        <v>53</v>
      </c>
      <c r="H318" s="34">
        <v>45590</v>
      </c>
      <c r="I318" s="49">
        <v>57</v>
      </c>
      <c r="J318" s="49">
        <v>990</v>
      </c>
      <c r="K318" s="50">
        <v>0.08</v>
      </c>
      <c r="L318" s="43" t="s">
        <v>36</v>
      </c>
      <c r="M318" s="51">
        <v>56430</v>
      </c>
      <c r="N318" s="51">
        <v>51915.6</v>
      </c>
      <c r="O318" s="43" t="s">
        <v>265</v>
      </c>
    </row>
    <row r="319" spans="1:15" x14ac:dyDescent="0.3">
      <c r="A319" s="20" t="s">
        <v>1345</v>
      </c>
      <c r="B319" s="20" t="s">
        <v>32</v>
      </c>
      <c r="C319" s="26" t="s">
        <v>246</v>
      </c>
      <c r="D319" s="26" t="s">
        <v>26</v>
      </c>
      <c r="E319" s="26" t="s">
        <v>40</v>
      </c>
      <c r="F319" s="26" t="s">
        <v>46</v>
      </c>
      <c r="G319" s="26" t="s">
        <v>47</v>
      </c>
      <c r="H319" s="35">
        <v>45596</v>
      </c>
      <c r="I319" s="52">
        <v>121</v>
      </c>
      <c r="J319" s="52">
        <v>420</v>
      </c>
      <c r="K319" s="53">
        <v>0.11</v>
      </c>
      <c r="L319" s="44" t="s">
        <v>36</v>
      </c>
      <c r="M319" s="54">
        <v>50820</v>
      </c>
      <c r="N319" s="54">
        <v>45229.8</v>
      </c>
      <c r="O319" s="44" t="s">
        <v>265</v>
      </c>
    </row>
    <row r="320" spans="1:15" x14ac:dyDescent="0.3">
      <c r="A320" s="19" t="s">
        <v>1346</v>
      </c>
      <c r="B320" s="19" t="s">
        <v>61</v>
      </c>
      <c r="C320" s="25" t="s">
        <v>244</v>
      </c>
      <c r="D320" s="25" t="s">
        <v>26</v>
      </c>
      <c r="E320" s="25" t="s">
        <v>45</v>
      </c>
      <c r="F320" s="25" t="s">
        <v>46</v>
      </c>
      <c r="G320" s="25" t="s">
        <v>53</v>
      </c>
      <c r="H320" s="34">
        <v>45573</v>
      </c>
      <c r="I320" s="49">
        <v>89</v>
      </c>
      <c r="J320" s="49">
        <v>280</v>
      </c>
      <c r="K320" s="50">
        <v>0.05</v>
      </c>
      <c r="L320" s="43" t="s">
        <v>36</v>
      </c>
      <c r="M320" s="51">
        <v>24920</v>
      </c>
      <c r="N320" s="51">
        <v>23674</v>
      </c>
      <c r="O320" s="43" t="s">
        <v>265</v>
      </c>
    </row>
    <row r="321" spans="1:15" x14ac:dyDescent="0.3">
      <c r="A321" s="20" t="s">
        <v>1347</v>
      </c>
      <c r="B321" s="20" t="s">
        <v>55</v>
      </c>
      <c r="C321" s="26" t="s">
        <v>249</v>
      </c>
      <c r="D321" s="26" t="s">
        <v>39</v>
      </c>
      <c r="E321" s="26" t="s">
        <v>40</v>
      </c>
      <c r="F321" s="26" t="s">
        <v>52</v>
      </c>
      <c r="G321" s="26" t="s">
        <v>29</v>
      </c>
      <c r="H321" s="35">
        <v>45567</v>
      </c>
      <c r="I321" s="52">
        <v>54</v>
      </c>
      <c r="J321" s="52">
        <v>650</v>
      </c>
      <c r="K321" s="53">
        <v>0.1</v>
      </c>
      <c r="L321" s="44" t="s">
        <v>36</v>
      </c>
      <c r="M321" s="54">
        <v>35100</v>
      </c>
      <c r="N321" s="54">
        <v>31590</v>
      </c>
      <c r="O321" s="44" t="s">
        <v>265</v>
      </c>
    </row>
    <row r="322" spans="1:15" x14ac:dyDescent="0.3">
      <c r="A322" s="19" t="s">
        <v>1348</v>
      </c>
      <c r="B322" s="19" t="s">
        <v>38</v>
      </c>
      <c r="C322" s="25" t="s">
        <v>247</v>
      </c>
      <c r="D322" s="25" t="s">
        <v>39</v>
      </c>
      <c r="E322" s="25" t="s">
        <v>27</v>
      </c>
      <c r="F322" s="25" t="s">
        <v>52</v>
      </c>
      <c r="G322" s="25" t="s">
        <v>29</v>
      </c>
      <c r="H322" s="34">
        <v>45595</v>
      </c>
      <c r="I322" s="49">
        <v>39</v>
      </c>
      <c r="J322" s="49">
        <v>1200</v>
      </c>
      <c r="K322" s="50">
        <v>0</v>
      </c>
      <c r="L322" s="43" t="s">
        <v>36</v>
      </c>
      <c r="M322" s="51">
        <v>46800</v>
      </c>
      <c r="N322" s="51">
        <v>46800</v>
      </c>
      <c r="O322" s="43" t="s">
        <v>265</v>
      </c>
    </row>
    <row r="323" spans="1:15" x14ac:dyDescent="0.3">
      <c r="A323" s="20" t="s">
        <v>1349</v>
      </c>
      <c r="B323" s="20" t="s">
        <v>61</v>
      </c>
      <c r="C323" s="26" t="s">
        <v>244</v>
      </c>
      <c r="D323" s="26" t="s">
        <v>26</v>
      </c>
      <c r="E323" s="26" t="s">
        <v>45</v>
      </c>
      <c r="F323" s="26" t="s">
        <v>28</v>
      </c>
      <c r="G323" s="26" t="s">
        <v>29</v>
      </c>
      <c r="H323" s="35">
        <v>45581</v>
      </c>
      <c r="I323" s="52">
        <v>54</v>
      </c>
      <c r="J323" s="52">
        <v>280</v>
      </c>
      <c r="K323" s="53">
        <v>0.08</v>
      </c>
      <c r="L323" s="44" t="s">
        <v>30</v>
      </c>
      <c r="M323" s="54">
        <v>15120</v>
      </c>
      <c r="N323" s="54">
        <v>13910.4</v>
      </c>
      <c r="O323" s="44" t="s">
        <v>265</v>
      </c>
    </row>
    <row r="324" spans="1:15" x14ac:dyDescent="0.3">
      <c r="A324" s="19" t="s">
        <v>1350</v>
      </c>
      <c r="B324" s="19" t="s">
        <v>61</v>
      </c>
      <c r="C324" s="25" t="s">
        <v>244</v>
      </c>
      <c r="D324" s="25" t="s">
        <v>26</v>
      </c>
      <c r="E324" s="25" t="s">
        <v>33</v>
      </c>
      <c r="F324" s="25" t="s">
        <v>34</v>
      </c>
      <c r="G324" s="25" t="s">
        <v>29</v>
      </c>
      <c r="H324" s="34">
        <v>45594</v>
      </c>
      <c r="I324" s="49">
        <v>215</v>
      </c>
      <c r="J324" s="49">
        <v>280</v>
      </c>
      <c r="K324" s="50">
        <v>0.03</v>
      </c>
      <c r="L324" s="43" t="s">
        <v>36</v>
      </c>
      <c r="M324" s="51">
        <v>60200</v>
      </c>
      <c r="N324" s="51">
        <v>58394</v>
      </c>
      <c r="O324" s="43" t="s">
        <v>265</v>
      </c>
    </row>
    <row r="325" spans="1:15" x14ac:dyDescent="0.3">
      <c r="A325" s="20" t="s">
        <v>1351</v>
      </c>
      <c r="B325" s="20" t="s">
        <v>25</v>
      </c>
      <c r="C325" s="26" t="s">
        <v>257</v>
      </c>
      <c r="D325" s="26" t="s">
        <v>26</v>
      </c>
      <c r="E325" s="26" t="s">
        <v>27</v>
      </c>
      <c r="F325" s="26" t="s">
        <v>28</v>
      </c>
      <c r="G325" s="26" t="s">
        <v>47</v>
      </c>
      <c r="H325" s="35">
        <v>45595</v>
      </c>
      <c r="I325" s="52">
        <v>179</v>
      </c>
      <c r="J325" s="52">
        <v>350</v>
      </c>
      <c r="K325" s="53">
        <v>0.14000000000000001</v>
      </c>
      <c r="L325" s="44" t="s">
        <v>36</v>
      </c>
      <c r="M325" s="54">
        <v>62650</v>
      </c>
      <c r="N325" s="54">
        <v>53879</v>
      </c>
      <c r="O325" s="44" t="s">
        <v>265</v>
      </c>
    </row>
    <row r="326" spans="1:15" x14ac:dyDescent="0.3">
      <c r="A326" s="19" t="s">
        <v>1352</v>
      </c>
      <c r="B326" s="19" t="s">
        <v>55</v>
      </c>
      <c r="C326" s="25" t="s">
        <v>249</v>
      </c>
      <c r="D326" s="25" t="s">
        <v>39</v>
      </c>
      <c r="E326" s="25" t="s">
        <v>33</v>
      </c>
      <c r="F326" s="25" t="s">
        <v>34</v>
      </c>
      <c r="G326" s="25" t="s">
        <v>42</v>
      </c>
      <c r="H326" s="34">
        <v>45591</v>
      </c>
      <c r="I326" s="49">
        <v>178</v>
      </c>
      <c r="J326" s="49">
        <v>650</v>
      </c>
      <c r="K326" s="50">
        <v>7.0000000000000007E-2</v>
      </c>
      <c r="L326" s="43" t="s">
        <v>30</v>
      </c>
      <c r="M326" s="51">
        <v>115700</v>
      </c>
      <c r="N326" s="51">
        <v>107601</v>
      </c>
      <c r="O326" s="43" t="s">
        <v>267</v>
      </c>
    </row>
    <row r="327" spans="1:15" x14ac:dyDescent="0.3">
      <c r="A327" s="20" t="s">
        <v>1353</v>
      </c>
      <c r="B327" s="20" t="s">
        <v>44</v>
      </c>
      <c r="C327" s="26" t="s">
        <v>254</v>
      </c>
      <c r="D327" s="26" t="s">
        <v>39</v>
      </c>
      <c r="E327" s="26" t="s">
        <v>51</v>
      </c>
      <c r="F327" s="26" t="s">
        <v>34</v>
      </c>
      <c r="G327" s="26" t="s">
        <v>42</v>
      </c>
      <c r="H327" s="35">
        <v>45568</v>
      </c>
      <c r="I327" s="52">
        <v>122</v>
      </c>
      <c r="J327" s="52">
        <v>200</v>
      </c>
      <c r="K327" s="53">
        <v>0.1</v>
      </c>
      <c r="L327" s="44" t="s">
        <v>36</v>
      </c>
      <c r="M327" s="54">
        <v>24400</v>
      </c>
      <c r="N327" s="54">
        <v>21960</v>
      </c>
      <c r="O327" s="44" t="s">
        <v>265</v>
      </c>
    </row>
    <row r="328" spans="1:15" x14ac:dyDescent="0.3">
      <c r="A328" s="19" t="s">
        <v>1354</v>
      </c>
      <c r="B328" s="19" t="s">
        <v>61</v>
      </c>
      <c r="C328" s="25" t="s">
        <v>244</v>
      </c>
      <c r="D328" s="25" t="s">
        <v>26</v>
      </c>
      <c r="E328" s="25" t="s">
        <v>33</v>
      </c>
      <c r="F328" s="25" t="s">
        <v>34</v>
      </c>
      <c r="G328" s="25" t="s">
        <v>42</v>
      </c>
      <c r="H328" s="34">
        <v>45583</v>
      </c>
      <c r="I328" s="49">
        <v>102</v>
      </c>
      <c r="J328" s="49">
        <v>280</v>
      </c>
      <c r="K328" s="50">
        <v>7.0000000000000007E-2</v>
      </c>
      <c r="L328" s="43" t="s">
        <v>30</v>
      </c>
      <c r="M328" s="51">
        <v>28560</v>
      </c>
      <c r="N328" s="51">
        <v>26560.799999999999</v>
      </c>
      <c r="O328" s="43" t="s">
        <v>265</v>
      </c>
    </row>
    <row r="329" spans="1:15" x14ac:dyDescent="0.3">
      <c r="A329" s="20" t="s">
        <v>1355</v>
      </c>
      <c r="B329" s="20" t="s">
        <v>55</v>
      </c>
      <c r="C329" s="26" t="s">
        <v>249</v>
      </c>
      <c r="D329" s="26" t="s">
        <v>39</v>
      </c>
      <c r="E329" s="26" t="s">
        <v>45</v>
      </c>
      <c r="F329" s="26" t="s">
        <v>46</v>
      </c>
      <c r="G329" s="26" t="s">
        <v>29</v>
      </c>
      <c r="H329" s="35">
        <v>45588</v>
      </c>
      <c r="I329" s="52">
        <v>92</v>
      </c>
      <c r="J329" s="52">
        <v>650</v>
      </c>
      <c r="K329" s="53">
        <v>0.03</v>
      </c>
      <c r="L329" s="44" t="s">
        <v>36</v>
      </c>
      <c r="M329" s="54">
        <v>59800</v>
      </c>
      <c r="N329" s="54">
        <v>58006</v>
      </c>
      <c r="O329" s="44" t="s">
        <v>265</v>
      </c>
    </row>
    <row r="330" spans="1:15" x14ac:dyDescent="0.3">
      <c r="A330" s="19" t="s">
        <v>1356</v>
      </c>
      <c r="B330" s="19" t="s">
        <v>44</v>
      </c>
      <c r="C330" s="25" t="s">
        <v>254</v>
      </c>
      <c r="D330" s="25" t="s">
        <v>39</v>
      </c>
      <c r="E330" s="25" t="s">
        <v>27</v>
      </c>
      <c r="F330" s="25" t="s">
        <v>52</v>
      </c>
      <c r="G330" s="25" t="s">
        <v>53</v>
      </c>
      <c r="H330" s="34">
        <v>45595</v>
      </c>
      <c r="I330" s="49">
        <v>92</v>
      </c>
      <c r="J330" s="49">
        <v>200</v>
      </c>
      <c r="K330" s="50">
        <v>0.14000000000000001</v>
      </c>
      <c r="L330" s="43" t="s">
        <v>36</v>
      </c>
      <c r="M330" s="51">
        <v>18400</v>
      </c>
      <c r="N330" s="51">
        <v>15824</v>
      </c>
      <c r="O330" s="43" t="s">
        <v>265</v>
      </c>
    </row>
    <row r="331" spans="1:15" x14ac:dyDescent="0.3">
      <c r="A331" s="20" t="s">
        <v>1357</v>
      </c>
      <c r="B331" s="20" t="s">
        <v>38</v>
      </c>
      <c r="C331" s="26" t="s">
        <v>247</v>
      </c>
      <c r="D331" s="26" t="s">
        <v>39</v>
      </c>
      <c r="E331" s="26" t="s">
        <v>51</v>
      </c>
      <c r="F331" s="26" t="s">
        <v>46</v>
      </c>
      <c r="G331" s="26" t="s">
        <v>47</v>
      </c>
      <c r="H331" s="35">
        <v>45585</v>
      </c>
      <c r="I331" s="52">
        <v>90</v>
      </c>
      <c r="J331" s="52">
        <v>1200</v>
      </c>
      <c r="K331" s="53">
        <v>0.08</v>
      </c>
      <c r="L331" s="44" t="s">
        <v>30</v>
      </c>
      <c r="M331" s="54">
        <v>108000</v>
      </c>
      <c r="N331" s="54">
        <v>99360</v>
      </c>
      <c r="O331" s="44" t="s">
        <v>265</v>
      </c>
    </row>
    <row r="332" spans="1:15" x14ac:dyDescent="0.3">
      <c r="A332" s="19" t="s">
        <v>1358</v>
      </c>
      <c r="B332" s="19" t="s">
        <v>38</v>
      </c>
      <c r="C332" s="25" t="s">
        <v>247</v>
      </c>
      <c r="D332" s="25" t="s">
        <v>39</v>
      </c>
      <c r="E332" s="25" t="s">
        <v>40</v>
      </c>
      <c r="F332" s="25" t="s">
        <v>34</v>
      </c>
      <c r="G332" s="25" t="s">
        <v>53</v>
      </c>
      <c r="H332" s="34">
        <v>45592</v>
      </c>
      <c r="I332" s="49">
        <v>83</v>
      </c>
      <c r="J332" s="49">
        <v>1200</v>
      </c>
      <c r="K332" s="50">
        <v>0.03</v>
      </c>
      <c r="L332" s="43" t="s">
        <v>30</v>
      </c>
      <c r="M332" s="51">
        <v>99600</v>
      </c>
      <c r="N332" s="51">
        <v>96612</v>
      </c>
      <c r="O332" s="43" t="s">
        <v>265</v>
      </c>
    </row>
    <row r="333" spans="1:15" x14ac:dyDescent="0.3">
      <c r="A333" s="20" t="s">
        <v>1359</v>
      </c>
      <c r="B333" s="20" t="s">
        <v>55</v>
      </c>
      <c r="C333" s="26" t="s">
        <v>249</v>
      </c>
      <c r="D333" s="26" t="s">
        <v>39</v>
      </c>
      <c r="E333" s="26" t="s">
        <v>40</v>
      </c>
      <c r="F333" s="26" t="s">
        <v>46</v>
      </c>
      <c r="G333" s="26" t="s">
        <v>35</v>
      </c>
      <c r="H333" s="35">
        <v>45578</v>
      </c>
      <c r="I333" s="52">
        <v>102</v>
      </c>
      <c r="J333" s="52">
        <v>650</v>
      </c>
      <c r="K333" s="53">
        <v>7.0000000000000007E-2</v>
      </c>
      <c r="L333" s="44" t="s">
        <v>36</v>
      </c>
      <c r="M333" s="54">
        <v>66300</v>
      </c>
      <c r="N333" s="54">
        <v>61659</v>
      </c>
      <c r="O333" s="44" t="s">
        <v>265</v>
      </c>
    </row>
    <row r="334" spans="1:15" x14ac:dyDescent="0.3">
      <c r="A334" s="19" t="s">
        <v>1360</v>
      </c>
      <c r="B334" s="19" t="s">
        <v>61</v>
      </c>
      <c r="C334" s="25" t="s">
        <v>244</v>
      </c>
      <c r="D334" s="25" t="s">
        <v>26</v>
      </c>
      <c r="E334" s="25" t="s">
        <v>45</v>
      </c>
      <c r="F334" s="25" t="s">
        <v>41</v>
      </c>
      <c r="G334" s="25" t="s">
        <v>42</v>
      </c>
      <c r="H334" s="34">
        <v>45592</v>
      </c>
      <c r="I334" s="49">
        <v>72</v>
      </c>
      <c r="J334" s="49">
        <v>280</v>
      </c>
      <c r="K334" s="50">
        <v>0</v>
      </c>
      <c r="L334" s="43" t="s">
        <v>36</v>
      </c>
      <c r="M334" s="51">
        <v>20160</v>
      </c>
      <c r="N334" s="51">
        <v>20160</v>
      </c>
      <c r="O334" s="43" t="s">
        <v>265</v>
      </c>
    </row>
    <row r="335" spans="1:15" x14ac:dyDescent="0.3">
      <c r="A335" s="20" t="s">
        <v>1361</v>
      </c>
      <c r="B335" s="20" t="s">
        <v>38</v>
      </c>
      <c r="C335" s="26" t="s">
        <v>247</v>
      </c>
      <c r="D335" s="26" t="s">
        <v>39</v>
      </c>
      <c r="E335" s="26" t="s">
        <v>27</v>
      </c>
      <c r="F335" s="26" t="s">
        <v>34</v>
      </c>
      <c r="G335" s="26" t="s">
        <v>42</v>
      </c>
      <c r="H335" s="35">
        <v>45570</v>
      </c>
      <c r="I335" s="52">
        <v>109</v>
      </c>
      <c r="J335" s="52">
        <v>1200</v>
      </c>
      <c r="K335" s="53">
        <v>0</v>
      </c>
      <c r="L335" s="44" t="s">
        <v>30</v>
      </c>
      <c r="M335" s="54">
        <v>130800</v>
      </c>
      <c r="N335" s="54">
        <v>130800</v>
      </c>
      <c r="O335" s="44" t="s">
        <v>267</v>
      </c>
    </row>
    <row r="336" spans="1:15" x14ac:dyDescent="0.3">
      <c r="A336" s="19" t="s">
        <v>1362</v>
      </c>
      <c r="B336" s="19" t="s">
        <v>55</v>
      </c>
      <c r="C336" s="25" t="s">
        <v>249</v>
      </c>
      <c r="D336" s="25" t="s">
        <v>39</v>
      </c>
      <c r="E336" s="25" t="s">
        <v>51</v>
      </c>
      <c r="F336" s="25" t="s">
        <v>34</v>
      </c>
      <c r="G336" s="25" t="s">
        <v>42</v>
      </c>
      <c r="H336" s="34">
        <v>45584</v>
      </c>
      <c r="I336" s="49">
        <v>187</v>
      </c>
      <c r="J336" s="49">
        <v>650</v>
      </c>
      <c r="K336" s="50">
        <v>0.08</v>
      </c>
      <c r="L336" s="43" t="s">
        <v>36</v>
      </c>
      <c r="M336" s="51">
        <v>121550</v>
      </c>
      <c r="N336" s="51">
        <v>111826</v>
      </c>
      <c r="O336" s="43" t="s">
        <v>267</v>
      </c>
    </row>
    <row r="337" spans="1:15" x14ac:dyDescent="0.3">
      <c r="A337" s="20" t="s">
        <v>1363</v>
      </c>
      <c r="B337" s="20" t="s">
        <v>38</v>
      </c>
      <c r="C337" s="26" t="s">
        <v>247</v>
      </c>
      <c r="D337" s="26" t="s">
        <v>39</v>
      </c>
      <c r="E337" s="26" t="s">
        <v>45</v>
      </c>
      <c r="F337" s="26" t="s">
        <v>52</v>
      </c>
      <c r="G337" s="26" t="s">
        <v>42</v>
      </c>
      <c r="H337" s="35">
        <v>45585</v>
      </c>
      <c r="I337" s="52">
        <v>75</v>
      </c>
      <c r="J337" s="52">
        <v>1200</v>
      </c>
      <c r="K337" s="53">
        <v>0</v>
      </c>
      <c r="L337" s="44" t="s">
        <v>36</v>
      </c>
      <c r="M337" s="54">
        <v>90000</v>
      </c>
      <c r="N337" s="54">
        <v>90000</v>
      </c>
      <c r="O337" s="44" t="s">
        <v>265</v>
      </c>
    </row>
    <row r="338" spans="1:15" x14ac:dyDescent="0.3">
      <c r="A338" s="19" t="s">
        <v>1364</v>
      </c>
      <c r="B338" s="19" t="s">
        <v>32</v>
      </c>
      <c r="C338" s="25" t="s">
        <v>246</v>
      </c>
      <c r="D338" s="25" t="s">
        <v>26</v>
      </c>
      <c r="E338" s="25" t="s">
        <v>27</v>
      </c>
      <c r="F338" s="25" t="s">
        <v>41</v>
      </c>
      <c r="G338" s="25" t="s">
        <v>29</v>
      </c>
      <c r="H338" s="34">
        <v>45590</v>
      </c>
      <c r="I338" s="49">
        <v>53</v>
      </c>
      <c r="J338" s="49">
        <v>420</v>
      </c>
      <c r="K338" s="50">
        <v>0.1</v>
      </c>
      <c r="L338" s="43" t="s">
        <v>36</v>
      </c>
      <c r="M338" s="51">
        <v>22260</v>
      </c>
      <c r="N338" s="51">
        <v>20034</v>
      </c>
      <c r="O338" s="43" t="s">
        <v>265</v>
      </c>
    </row>
    <row r="339" spans="1:15" x14ac:dyDescent="0.3">
      <c r="A339" s="20" t="s">
        <v>1365</v>
      </c>
      <c r="B339" s="20" t="s">
        <v>44</v>
      </c>
      <c r="C339" s="26" t="s">
        <v>254</v>
      </c>
      <c r="D339" s="26" t="s">
        <v>39</v>
      </c>
      <c r="E339" s="26" t="s">
        <v>51</v>
      </c>
      <c r="F339" s="26" t="s">
        <v>52</v>
      </c>
      <c r="G339" s="26" t="s">
        <v>47</v>
      </c>
      <c r="H339" s="35">
        <v>45584</v>
      </c>
      <c r="I339" s="52">
        <v>170</v>
      </c>
      <c r="J339" s="52">
        <v>200</v>
      </c>
      <c r="K339" s="53">
        <v>0</v>
      </c>
      <c r="L339" s="44" t="s">
        <v>30</v>
      </c>
      <c r="M339" s="54">
        <v>34000</v>
      </c>
      <c r="N339" s="54">
        <v>34000</v>
      </c>
      <c r="O339" s="44" t="s">
        <v>265</v>
      </c>
    </row>
    <row r="340" spans="1:15" x14ac:dyDescent="0.3">
      <c r="A340" s="19" t="s">
        <v>1366</v>
      </c>
      <c r="B340" s="19" t="s">
        <v>32</v>
      </c>
      <c r="C340" s="25" t="s">
        <v>246</v>
      </c>
      <c r="D340" s="25" t="s">
        <v>26</v>
      </c>
      <c r="E340" s="25" t="s">
        <v>45</v>
      </c>
      <c r="F340" s="25" t="s">
        <v>46</v>
      </c>
      <c r="G340" s="25" t="s">
        <v>47</v>
      </c>
      <c r="H340" s="34">
        <v>45589</v>
      </c>
      <c r="I340" s="49">
        <v>153</v>
      </c>
      <c r="J340" s="49">
        <v>420</v>
      </c>
      <c r="K340" s="50">
        <v>0.05</v>
      </c>
      <c r="L340" s="43" t="s">
        <v>36</v>
      </c>
      <c r="M340" s="51">
        <v>64260</v>
      </c>
      <c r="N340" s="51">
        <v>61047</v>
      </c>
      <c r="O340" s="43" t="s">
        <v>265</v>
      </c>
    </row>
    <row r="341" spans="1:15" x14ac:dyDescent="0.3">
      <c r="A341" s="20" t="s">
        <v>1367</v>
      </c>
      <c r="B341" s="20" t="s">
        <v>32</v>
      </c>
      <c r="C341" s="26" t="s">
        <v>246</v>
      </c>
      <c r="D341" s="26" t="s">
        <v>26</v>
      </c>
      <c r="E341" s="26" t="s">
        <v>40</v>
      </c>
      <c r="F341" s="26" t="s">
        <v>46</v>
      </c>
      <c r="G341" s="26" t="s">
        <v>53</v>
      </c>
      <c r="H341" s="35">
        <v>45591</v>
      </c>
      <c r="I341" s="52">
        <v>158</v>
      </c>
      <c r="J341" s="52">
        <v>420</v>
      </c>
      <c r="K341" s="53">
        <v>0.12</v>
      </c>
      <c r="L341" s="44" t="s">
        <v>36</v>
      </c>
      <c r="M341" s="54">
        <v>66360</v>
      </c>
      <c r="N341" s="54">
        <v>58396.800000000003</v>
      </c>
      <c r="O341" s="44" t="s">
        <v>265</v>
      </c>
    </row>
    <row r="342" spans="1:15" x14ac:dyDescent="0.3">
      <c r="A342" s="19" t="s">
        <v>1368</v>
      </c>
      <c r="B342" s="19" t="s">
        <v>49</v>
      </c>
      <c r="C342" s="25" t="s">
        <v>251</v>
      </c>
      <c r="D342" s="25" t="s">
        <v>50</v>
      </c>
      <c r="E342" s="25" t="s">
        <v>45</v>
      </c>
      <c r="F342" s="25" t="s">
        <v>52</v>
      </c>
      <c r="G342" s="25" t="s">
        <v>56</v>
      </c>
      <c r="H342" s="34">
        <v>45574</v>
      </c>
      <c r="I342" s="49">
        <v>37</v>
      </c>
      <c r="J342" s="49">
        <v>895</v>
      </c>
      <c r="K342" s="50">
        <v>0.13</v>
      </c>
      <c r="L342" s="43" t="s">
        <v>36</v>
      </c>
      <c r="M342" s="51">
        <v>33115</v>
      </c>
      <c r="N342" s="51">
        <v>28810.05</v>
      </c>
      <c r="O342" s="43" t="s">
        <v>265</v>
      </c>
    </row>
    <row r="343" spans="1:15" x14ac:dyDescent="0.3">
      <c r="A343" s="20" t="s">
        <v>1369</v>
      </c>
      <c r="B343" s="20" t="s">
        <v>38</v>
      </c>
      <c r="C343" s="26" t="s">
        <v>247</v>
      </c>
      <c r="D343" s="26" t="s">
        <v>39</v>
      </c>
      <c r="E343" s="26" t="s">
        <v>45</v>
      </c>
      <c r="F343" s="26" t="s">
        <v>46</v>
      </c>
      <c r="G343" s="26" t="s">
        <v>29</v>
      </c>
      <c r="H343" s="35">
        <v>45572</v>
      </c>
      <c r="I343" s="52">
        <v>136</v>
      </c>
      <c r="J343" s="52">
        <v>1200</v>
      </c>
      <c r="K343" s="53">
        <v>0</v>
      </c>
      <c r="L343" s="44" t="s">
        <v>36</v>
      </c>
      <c r="M343" s="54">
        <v>163200</v>
      </c>
      <c r="N343" s="54">
        <v>163200</v>
      </c>
      <c r="O343" s="44" t="s">
        <v>267</v>
      </c>
    </row>
    <row r="344" spans="1:15" x14ac:dyDescent="0.3">
      <c r="A344" s="19" t="s">
        <v>1370</v>
      </c>
      <c r="B344" s="19" t="s">
        <v>58</v>
      </c>
      <c r="C344" s="25" t="s">
        <v>255</v>
      </c>
      <c r="D344" s="25" t="s">
        <v>59</v>
      </c>
      <c r="E344" s="25" t="s">
        <v>33</v>
      </c>
      <c r="F344" s="25" t="s">
        <v>28</v>
      </c>
      <c r="G344" s="25" t="s">
        <v>53</v>
      </c>
      <c r="H344" s="34">
        <v>45594</v>
      </c>
      <c r="I344" s="49">
        <v>55</v>
      </c>
      <c r="J344" s="49">
        <v>2800</v>
      </c>
      <c r="K344" s="50">
        <v>0.1</v>
      </c>
      <c r="L344" s="43" t="s">
        <v>30</v>
      </c>
      <c r="M344" s="51">
        <v>154000</v>
      </c>
      <c r="N344" s="51">
        <v>138600</v>
      </c>
      <c r="O344" s="43" t="s">
        <v>267</v>
      </c>
    </row>
    <row r="345" spans="1:15" x14ac:dyDescent="0.3">
      <c r="A345" s="20" t="s">
        <v>1371</v>
      </c>
      <c r="B345" s="20" t="s">
        <v>32</v>
      </c>
      <c r="C345" s="26" t="s">
        <v>246</v>
      </c>
      <c r="D345" s="26" t="s">
        <v>26</v>
      </c>
      <c r="E345" s="26" t="s">
        <v>27</v>
      </c>
      <c r="F345" s="26" t="s">
        <v>28</v>
      </c>
      <c r="G345" s="26" t="s">
        <v>56</v>
      </c>
      <c r="H345" s="35">
        <v>45591</v>
      </c>
      <c r="I345" s="52">
        <v>43</v>
      </c>
      <c r="J345" s="52">
        <v>420</v>
      </c>
      <c r="K345" s="53">
        <v>0.1</v>
      </c>
      <c r="L345" s="44" t="s">
        <v>36</v>
      </c>
      <c r="M345" s="54">
        <v>18060</v>
      </c>
      <c r="N345" s="54">
        <v>16254</v>
      </c>
      <c r="O345" s="44" t="s">
        <v>265</v>
      </c>
    </row>
    <row r="346" spans="1:15" x14ac:dyDescent="0.3">
      <c r="A346" s="19" t="s">
        <v>1372</v>
      </c>
      <c r="B346" s="19" t="s">
        <v>32</v>
      </c>
      <c r="C346" s="25" t="s">
        <v>246</v>
      </c>
      <c r="D346" s="25" t="s">
        <v>26</v>
      </c>
      <c r="E346" s="25" t="s">
        <v>27</v>
      </c>
      <c r="F346" s="25" t="s">
        <v>46</v>
      </c>
      <c r="G346" s="25" t="s">
        <v>56</v>
      </c>
      <c r="H346" s="34">
        <v>45596</v>
      </c>
      <c r="I346" s="49">
        <v>178</v>
      </c>
      <c r="J346" s="49">
        <v>420</v>
      </c>
      <c r="K346" s="50">
        <v>0</v>
      </c>
      <c r="L346" s="43" t="s">
        <v>36</v>
      </c>
      <c r="M346" s="51">
        <v>74760</v>
      </c>
      <c r="N346" s="51">
        <v>74760</v>
      </c>
      <c r="O346" s="43" t="s">
        <v>265</v>
      </c>
    </row>
    <row r="347" spans="1:15" x14ac:dyDescent="0.3">
      <c r="A347" s="20" t="s">
        <v>1373</v>
      </c>
      <c r="B347" s="20" t="s">
        <v>49</v>
      </c>
      <c r="C347" s="26" t="s">
        <v>251</v>
      </c>
      <c r="D347" s="26" t="s">
        <v>50</v>
      </c>
      <c r="E347" s="26" t="s">
        <v>40</v>
      </c>
      <c r="F347" s="26" t="s">
        <v>34</v>
      </c>
      <c r="G347" s="26" t="s">
        <v>56</v>
      </c>
      <c r="H347" s="35">
        <v>45592</v>
      </c>
      <c r="I347" s="52">
        <v>143</v>
      </c>
      <c r="J347" s="52">
        <v>895</v>
      </c>
      <c r="K347" s="53">
        <v>0.13</v>
      </c>
      <c r="L347" s="44" t="s">
        <v>36</v>
      </c>
      <c r="M347" s="54">
        <v>127985</v>
      </c>
      <c r="N347" s="54">
        <v>111346.95</v>
      </c>
      <c r="O347" s="44" t="s">
        <v>267</v>
      </c>
    </row>
    <row r="348" spans="1:15" x14ac:dyDescent="0.3">
      <c r="A348" s="19" t="s">
        <v>1374</v>
      </c>
      <c r="B348" s="19" t="s">
        <v>49</v>
      </c>
      <c r="C348" s="25" t="s">
        <v>251</v>
      </c>
      <c r="D348" s="25" t="s">
        <v>50</v>
      </c>
      <c r="E348" s="25" t="s">
        <v>51</v>
      </c>
      <c r="F348" s="25" t="s">
        <v>52</v>
      </c>
      <c r="G348" s="25" t="s">
        <v>35</v>
      </c>
      <c r="H348" s="34">
        <v>45594</v>
      </c>
      <c r="I348" s="49">
        <v>150</v>
      </c>
      <c r="J348" s="49">
        <v>895</v>
      </c>
      <c r="K348" s="50">
        <v>0.15</v>
      </c>
      <c r="L348" s="43" t="s">
        <v>36</v>
      </c>
      <c r="M348" s="51">
        <v>134250</v>
      </c>
      <c r="N348" s="51">
        <v>114112.5</v>
      </c>
      <c r="O348" s="43" t="s">
        <v>267</v>
      </c>
    </row>
    <row r="349" spans="1:15" x14ac:dyDescent="0.3">
      <c r="A349" s="20" t="s">
        <v>1375</v>
      </c>
      <c r="B349" s="20" t="s">
        <v>61</v>
      </c>
      <c r="C349" s="26" t="s">
        <v>244</v>
      </c>
      <c r="D349" s="26" t="s">
        <v>26</v>
      </c>
      <c r="E349" s="26" t="s">
        <v>27</v>
      </c>
      <c r="F349" s="26" t="s">
        <v>28</v>
      </c>
      <c r="G349" s="26" t="s">
        <v>42</v>
      </c>
      <c r="H349" s="35">
        <v>45572</v>
      </c>
      <c r="I349" s="52">
        <v>96</v>
      </c>
      <c r="J349" s="52">
        <v>280</v>
      </c>
      <c r="K349" s="53">
        <v>0.14000000000000001</v>
      </c>
      <c r="L349" s="44" t="s">
        <v>30</v>
      </c>
      <c r="M349" s="54">
        <v>26880</v>
      </c>
      <c r="N349" s="54">
        <v>23116.799999999999</v>
      </c>
      <c r="O349" s="44" t="s">
        <v>265</v>
      </c>
    </row>
    <row r="350" spans="1:15" x14ac:dyDescent="0.3">
      <c r="A350" s="19" t="s">
        <v>1376</v>
      </c>
      <c r="B350" s="19" t="s">
        <v>25</v>
      </c>
      <c r="C350" s="25" t="s">
        <v>257</v>
      </c>
      <c r="D350" s="25" t="s">
        <v>26</v>
      </c>
      <c r="E350" s="25" t="s">
        <v>27</v>
      </c>
      <c r="F350" s="25" t="s">
        <v>46</v>
      </c>
      <c r="G350" s="25" t="s">
        <v>29</v>
      </c>
      <c r="H350" s="34">
        <v>45579</v>
      </c>
      <c r="I350" s="49">
        <v>103</v>
      </c>
      <c r="J350" s="49">
        <v>350</v>
      </c>
      <c r="K350" s="50">
        <v>0.14000000000000001</v>
      </c>
      <c r="L350" s="43" t="s">
        <v>36</v>
      </c>
      <c r="M350" s="51">
        <v>36050</v>
      </c>
      <c r="N350" s="51">
        <v>31003</v>
      </c>
      <c r="O350" s="43" t="s">
        <v>265</v>
      </c>
    </row>
    <row r="351" spans="1:15" x14ac:dyDescent="0.3">
      <c r="A351" s="20" t="s">
        <v>1377</v>
      </c>
      <c r="B351" s="20" t="s">
        <v>63</v>
      </c>
      <c r="C351" s="26" t="s">
        <v>253</v>
      </c>
      <c r="D351" s="26" t="s">
        <v>50</v>
      </c>
      <c r="E351" s="26" t="s">
        <v>51</v>
      </c>
      <c r="F351" s="26" t="s">
        <v>28</v>
      </c>
      <c r="G351" s="26" t="s">
        <v>35</v>
      </c>
      <c r="H351" s="35">
        <v>45579</v>
      </c>
      <c r="I351" s="52">
        <v>73</v>
      </c>
      <c r="J351" s="52">
        <v>750</v>
      </c>
      <c r="K351" s="53">
        <v>0.1</v>
      </c>
      <c r="L351" s="44" t="s">
        <v>30</v>
      </c>
      <c r="M351" s="54">
        <v>54750</v>
      </c>
      <c r="N351" s="54">
        <v>49275</v>
      </c>
      <c r="O351" s="44" t="s">
        <v>265</v>
      </c>
    </row>
    <row r="352" spans="1:15" x14ac:dyDescent="0.3">
      <c r="A352" s="19" t="s">
        <v>1378</v>
      </c>
      <c r="B352" s="19" t="s">
        <v>58</v>
      </c>
      <c r="C352" s="25" t="s">
        <v>255</v>
      </c>
      <c r="D352" s="25" t="s">
        <v>59</v>
      </c>
      <c r="E352" s="25" t="s">
        <v>45</v>
      </c>
      <c r="F352" s="25" t="s">
        <v>41</v>
      </c>
      <c r="G352" s="25" t="s">
        <v>56</v>
      </c>
      <c r="H352" s="34">
        <v>45581</v>
      </c>
      <c r="I352" s="49">
        <v>41</v>
      </c>
      <c r="J352" s="49">
        <v>2800</v>
      </c>
      <c r="K352" s="50">
        <v>0</v>
      </c>
      <c r="L352" s="43" t="s">
        <v>36</v>
      </c>
      <c r="M352" s="51">
        <v>114800</v>
      </c>
      <c r="N352" s="51">
        <v>114800</v>
      </c>
      <c r="O352" s="43" t="s">
        <v>267</v>
      </c>
    </row>
    <row r="353" spans="1:15" x14ac:dyDescent="0.3">
      <c r="A353" s="20" t="s">
        <v>1379</v>
      </c>
      <c r="B353" s="20" t="s">
        <v>32</v>
      </c>
      <c r="C353" s="26" t="s">
        <v>246</v>
      </c>
      <c r="D353" s="26" t="s">
        <v>26</v>
      </c>
      <c r="E353" s="26" t="s">
        <v>51</v>
      </c>
      <c r="F353" s="26" t="s">
        <v>34</v>
      </c>
      <c r="G353" s="26" t="s">
        <v>35</v>
      </c>
      <c r="H353" s="35">
        <v>45572</v>
      </c>
      <c r="I353" s="52">
        <v>159</v>
      </c>
      <c r="J353" s="52">
        <v>420</v>
      </c>
      <c r="K353" s="53">
        <v>0.12</v>
      </c>
      <c r="L353" s="44" t="s">
        <v>36</v>
      </c>
      <c r="M353" s="54">
        <v>66780</v>
      </c>
      <c r="N353" s="54">
        <v>58766.400000000001</v>
      </c>
      <c r="O353" s="44" t="s">
        <v>265</v>
      </c>
    </row>
    <row r="354" spans="1:15" x14ac:dyDescent="0.3">
      <c r="A354" s="19" t="s">
        <v>1380</v>
      </c>
      <c r="B354" s="19" t="s">
        <v>44</v>
      </c>
      <c r="C354" s="25" t="s">
        <v>254</v>
      </c>
      <c r="D354" s="25" t="s">
        <v>39</v>
      </c>
      <c r="E354" s="25" t="s">
        <v>40</v>
      </c>
      <c r="F354" s="25" t="s">
        <v>34</v>
      </c>
      <c r="G354" s="25" t="s">
        <v>42</v>
      </c>
      <c r="H354" s="34">
        <v>45571</v>
      </c>
      <c r="I354" s="49">
        <v>172</v>
      </c>
      <c r="J354" s="49">
        <v>200</v>
      </c>
      <c r="K354" s="50">
        <v>0.15</v>
      </c>
      <c r="L354" s="43" t="s">
        <v>36</v>
      </c>
      <c r="M354" s="51">
        <v>34400</v>
      </c>
      <c r="N354" s="51">
        <v>29240</v>
      </c>
      <c r="O354" s="43" t="s">
        <v>265</v>
      </c>
    </row>
    <row r="355" spans="1:15" x14ac:dyDescent="0.3">
      <c r="A355" s="20" t="s">
        <v>1381</v>
      </c>
      <c r="B355" s="20" t="s">
        <v>16</v>
      </c>
      <c r="C355" s="26" t="s">
        <v>250</v>
      </c>
      <c r="D355" s="26" t="s">
        <v>39</v>
      </c>
      <c r="E355" s="26" t="s">
        <v>27</v>
      </c>
      <c r="F355" s="26" t="s">
        <v>46</v>
      </c>
      <c r="G355" s="26" t="s">
        <v>35</v>
      </c>
      <c r="H355" s="35">
        <v>45566</v>
      </c>
      <c r="I355" s="52">
        <v>82</v>
      </c>
      <c r="J355" s="52">
        <v>990</v>
      </c>
      <c r="K355" s="53">
        <v>0.14000000000000001</v>
      </c>
      <c r="L355" s="44" t="s">
        <v>36</v>
      </c>
      <c r="M355" s="54">
        <v>81180</v>
      </c>
      <c r="N355" s="54">
        <v>69814.8</v>
      </c>
      <c r="O355" s="44" t="s">
        <v>265</v>
      </c>
    </row>
    <row r="356" spans="1:15" x14ac:dyDescent="0.3">
      <c r="A356" s="19" t="s">
        <v>1382</v>
      </c>
      <c r="B356" s="19" t="s">
        <v>63</v>
      </c>
      <c r="C356" s="25" t="s">
        <v>253</v>
      </c>
      <c r="D356" s="25" t="s">
        <v>50</v>
      </c>
      <c r="E356" s="25" t="s">
        <v>40</v>
      </c>
      <c r="F356" s="25" t="s">
        <v>28</v>
      </c>
      <c r="G356" s="25" t="s">
        <v>53</v>
      </c>
      <c r="H356" s="34">
        <v>45566</v>
      </c>
      <c r="I356" s="49">
        <v>135</v>
      </c>
      <c r="J356" s="49">
        <v>750</v>
      </c>
      <c r="K356" s="50">
        <v>0.1</v>
      </c>
      <c r="L356" s="43" t="s">
        <v>36</v>
      </c>
      <c r="M356" s="51">
        <v>101250</v>
      </c>
      <c r="N356" s="51">
        <v>91125</v>
      </c>
      <c r="O356" s="43" t="s">
        <v>265</v>
      </c>
    </row>
    <row r="357" spans="1:15" x14ac:dyDescent="0.3">
      <c r="A357" s="20" t="s">
        <v>1383</v>
      </c>
      <c r="B357" s="20" t="s">
        <v>49</v>
      </c>
      <c r="C357" s="26" t="s">
        <v>251</v>
      </c>
      <c r="D357" s="26" t="s">
        <v>50</v>
      </c>
      <c r="E357" s="26" t="s">
        <v>40</v>
      </c>
      <c r="F357" s="26" t="s">
        <v>28</v>
      </c>
      <c r="G357" s="26" t="s">
        <v>35</v>
      </c>
      <c r="H357" s="35">
        <v>45580</v>
      </c>
      <c r="I357" s="52">
        <v>21</v>
      </c>
      <c r="J357" s="52">
        <v>895</v>
      </c>
      <c r="K357" s="53">
        <v>0.03</v>
      </c>
      <c r="L357" s="44" t="s">
        <v>30</v>
      </c>
      <c r="M357" s="54">
        <v>18795</v>
      </c>
      <c r="N357" s="54">
        <v>18231.150000000001</v>
      </c>
      <c r="O357" s="44" t="s">
        <v>265</v>
      </c>
    </row>
    <row r="358" spans="1:15" x14ac:dyDescent="0.3">
      <c r="A358" s="19" t="s">
        <v>1384</v>
      </c>
      <c r="B358" s="19" t="s">
        <v>44</v>
      </c>
      <c r="C358" s="25" t="s">
        <v>254</v>
      </c>
      <c r="D358" s="25" t="s">
        <v>39</v>
      </c>
      <c r="E358" s="25" t="s">
        <v>33</v>
      </c>
      <c r="F358" s="25" t="s">
        <v>41</v>
      </c>
      <c r="G358" s="25" t="s">
        <v>42</v>
      </c>
      <c r="H358" s="34">
        <v>45571</v>
      </c>
      <c r="I358" s="49">
        <v>227</v>
      </c>
      <c r="J358" s="49">
        <v>200</v>
      </c>
      <c r="K358" s="50">
        <v>0.1</v>
      </c>
      <c r="L358" s="43" t="s">
        <v>30</v>
      </c>
      <c r="M358" s="51">
        <v>45400</v>
      </c>
      <c r="N358" s="51">
        <v>40860</v>
      </c>
      <c r="O358" s="43" t="s">
        <v>265</v>
      </c>
    </row>
    <row r="359" spans="1:15" x14ac:dyDescent="0.3">
      <c r="A359" s="20" t="s">
        <v>1385</v>
      </c>
      <c r="B359" s="20" t="s">
        <v>63</v>
      </c>
      <c r="C359" s="26" t="s">
        <v>253</v>
      </c>
      <c r="D359" s="26" t="s">
        <v>50</v>
      </c>
      <c r="E359" s="26" t="s">
        <v>27</v>
      </c>
      <c r="F359" s="26" t="s">
        <v>52</v>
      </c>
      <c r="G359" s="26" t="s">
        <v>47</v>
      </c>
      <c r="H359" s="35">
        <v>45591</v>
      </c>
      <c r="I359" s="52">
        <v>119</v>
      </c>
      <c r="J359" s="52">
        <v>750</v>
      </c>
      <c r="K359" s="53">
        <v>0.15</v>
      </c>
      <c r="L359" s="44" t="s">
        <v>36</v>
      </c>
      <c r="M359" s="54">
        <v>89250</v>
      </c>
      <c r="N359" s="54">
        <v>75862.5</v>
      </c>
      <c r="O359" s="44" t="s">
        <v>265</v>
      </c>
    </row>
    <row r="360" spans="1:15" x14ac:dyDescent="0.3">
      <c r="A360" s="19" t="s">
        <v>1386</v>
      </c>
      <c r="B360" s="19" t="s">
        <v>16</v>
      </c>
      <c r="C360" s="25" t="s">
        <v>250</v>
      </c>
      <c r="D360" s="25" t="s">
        <v>39</v>
      </c>
      <c r="E360" s="25" t="s">
        <v>33</v>
      </c>
      <c r="F360" s="25" t="s">
        <v>41</v>
      </c>
      <c r="G360" s="25" t="s">
        <v>53</v>
      </c>
      <c r="H360" s="34">
        <v>45590</v>
      </c>
      <c r="I360" s="49">
        <v>27</v>
      </c>
      <c r="J360" s="49">
        <v>990</v>
      </c>
      <c r="K360" s="50">
        <v>0.05</v>
      </c>
      <c r="L360" s="43" t="s">
        <v>30</v>
      </c>
      <c r="M360" s="51">
        <v>26730</v>
      </c>
      <c r="N360" s="51">
        <v>25393.5</v>
      </c>
      <c r="O360" s="43" t="s">
        <v>265</v>
      </c>
    </row>
    <row r="361" spans="1:15" x14ac:dyDescent="0.3">
      <c r="A361" s="20" t="s">
        <v>1387</v>
      </c>
      <c r="B361" s="20" t="s">
        <v>16</v>
      </c>
      <c r="C361" s="26" t="s">
        <v>250</v>
      </c>
      <c r="D361" s="26" t="s">
        <v>39</v>
      </c>
      <c r="E361" s="26" t="s">
        <v>40</v>
      </c>
      <c r="F361" s="26" t="s">
        <v>34</v>
      </c>
      <c r="G361" s="26" t="s">
        <v>47</v>
      </c>
      <c r="H361" s="35">
        <v>45578</v>
      </c>
      <c r="I361" s="52">
        <v>100</v>
      </c>
      <c r="J361" s="52">
        <v>990</v>
      </c>
      <c r="K361" s="53">
        <v>0.03</v>
      </c>
      <c r="L361" s="44" t="s">
        <v>36</v>
      </c>
      <c r="M361" s="54">
        <v>99000</v>
      </c>
      <c r="N361" s="54">
        <v>96030</v>
      </c>
      <c r="O361" s="44" t="s">
        <v>265</v>
      </c>
    </row>
    <row r="362" spans="1:15" x14ac:dyDescent="0.3">
      <c r="A362" s="19" t="s">
        <v>1388</v>
      </c>
      <c r="B362" s="19" t="s">
        <v>61</v>
      </c>
      <c r="C362" s="25" t="s">
        <v>244</v>
      </c>
      <c r="D362" s="25" t="s">
        <v>26</v>
      </c>
      <c r="E362" s="25" t="s">
        <v>51</v>
      </c>
      <c r="F362" s="25" t="s">
        <v>34</v>
      </c>
      <c r="G362" s="25" t="s">
        <v>35</v>
      </c>
      <c r="H362" s="34">
        <v>45593</v>
      </c>
      <c r="I362" s="49">
        <v>170</v>
      </c>
      <c r="J362" s="49">
        <v>280</v>
      </c>
      <c r="K362" s="50">
        <v>0.15</v>
      </c>
      <c r="L362" s="43" t="s">
        <v>30</v>
      </c>
      <c r="M362" s="51">
        <v>47600</v>
      </c>
      <c r="N362" s="51">
        <v>40460</v>
      </c>
      <c r="O362" s="43" t="s">
        <v>265</v>
      </c>
    </row>
    <row r="363" spans="1:15" x14ac:dyDescent="0.3">
      <c r="A363" s="20" t="s">
        <v>1389</v>
      </c>
      <c r="B363" s="20" t="s">
        <v>44</v>
      </c>
      <c r="C363" s="26" t="s">
        <v>254</v>
      </c>
      <c r="D363" s="26" t="s">
        <v>39</v>
      </c>
      <c r="E363" s="26" t="s">
        <v>27</v>
      </c>
      <c r="F363" s="26" t="s">
        <v>34</v>
      </c>
      <c r="G363" s="26" t="s">
        <v>35</v>
      </c>
      <c r="H363" s="35">
        <v>45567</v>
      </c>
      <c r="I363" s="52">
        <v>232</v>
      </c>
      <c r="J363" s="52">
        <v>200</v>
      </c>
      <c r="K363" s="53">
        <v>0.05</v>
      </c>
      <c r="L363" s="44" t="s">
        <v>36</v>
      </c>
      <c r="M363" s="54">
        <v>46400</v>
      </c>
      <c r="N363" s="54">
        <v>44080</v>
      </c>
      <c r="O363" s="44" t="s">
        <v>265</v>
      </c>
    </row>
    <row r="364" spans="1:15" x14ac:dyDescent="0.3">
      <c r="A364" s="19" t="s">
        <v>1390</v>
      </c>
      <c r="B364" s="19" t="s">
        <v>25</v>
      </c>
      <c r="C364" s="25" t="s">
        <v>257</v>
      </c>
      <c r="D364" s="25" t="s">
        <v>26</v>
      </c>
      <c r="E364" s="25" t="s">
        <v>40</v>
      </c>
      <c r="F364" s="25" t="s">
        <v>46</v>
      </c>
      <c r="G364" s="25" t="s">
        <v>35</v>
      </c>
      <c r="H364" s="34">
        <v>45575</v>
      </c>
      <c r="I364" s="49">
        <v>86</v>
      </c>
      <c r="J364" s="49">
        <v>350</v>
      </c>
      <c r="K364" s="50">
        <v>0.03</v>
      </c>
      <c r="L364" s="43" t="s">
        <v>30</v>
      </c>
      <c r="M364" s="51">
        <v>30100</v>
      </c>
      <c r="N364" s="51">
        <v>29197</v>
      </c>
      <c r="O364" s="43" t="s">
        <v>265</v>
      </c>
    </row>
    <row r="365" spans="1:15" x14ac:dyDescent="0.3">
      <c r="A365" s="20" t="s">
        <v>1391</v>
      </c>
      <c r="B365" s="20" t="s">
        <v>55</v>
      </c>
      <c r="C365" s="26" t="s">
        <v>249</v>
      </c>
      <c r="D365" s="26" t="s">
        <v>39</v>
      </c>
      <c r="E365" s="26" t="s">
        <v>27</v>
      </c>
      <c r="F365" s="26" t="s">
        <v>46</v>
      </c>
      <c r="G365" s="26" t="s">
        <v>53</v>
      </c>
      <c r="H365" s="35">
        <v>45586</v>
      </c>
      <c r="I365" s="52">
        <v>168</v>
      </c>
      <c r="J365" s="52">
        <v>650</v>
      </c>
      <c r="K365" s="53">
        <v>0</v>
      </c>
      <c r="L365" s="44" t="s">
        <v>36</v>
      </c>
      <c r="M365" s="54">
        <v>109200</v>
      </c>
      <c r="N365" s="54">
        <v>109200</v>
      </c>
      <c r="O365" s="44" t="s">
        <v>267</v>
      </c>
    </row>
    <row r="366" spans="1:15" x14ac:dyDescent="0.3">
      <c r="A366" s="19" t="s">
        <v>1392</v>
      </c>
      <c r="B366" s="19" t="s">
        <v>16</v>
      </c>
      <c r="C366" s="25" t="s">
        <v>250</v>
      </c>
      <c r="D366" s="25" t="s">
        <v>39</v>
      </c>
      <c r="E366" s="25" t="s">
        <v>40</v>
      </c>
      <c r="F366" s="25" t="s">
        <v>46</v>
      </c>
      <c r="G366" s="25" t="s">
        <v>53</v>
      </c>
      <c r="H366" s="34">
        <v>45590</v>
      </c>
      <c r="I366" s="49">
        <v>117</v>
      </c>
      <c r="J366" s="49">
        <v>990</v>
      </c>
      <c r="K366" s="50">
        <v>0</v>
      </c>
      <c r="L366" s="43" t="s">
        <v>30</v>
      </c>
      <c r="M366" s="51">
        <v>115830</v>
      </c>
      <c r="N366" s="51">
        <v>115830</v>
      </c>
      <c r="O366" s="43" t="s">
        <v>267</v>
      </c>
    </row>
    <row r="367" spans="1:15" x14ac:dyDescent="0.3">
      <c r="A367" s="20" t="s">
        <v>1393</v>
      </c>
      <c r="B367" s="20" t="s">
        <v>49</v>
      </c>
      <c r="C367" s="26" t="s">
        <v>251</v>
      </c>
      <c r="D367" s="26" t="s">
        <v>50</v>
      </c>
      <c r="E367" s="26" t="s">
        <v>40</v>
      </c>
      <c r="F367" s="26" t="s">
        <v>46</v>
      </c>
      <c r="G367" s="26" t="s">
        <v>42</v>
      </c>
      <c r="H367" s="35">
        <v>45596</v>
      </c>
      <c r="I367" s="52">
        <v>116</v>
      </c>
      <c r="J367" s="52">
        <v>895</v>
      </c>
      <c r="K367" s="53">
        <v>0.13</v>
      </c>
      <c r="L367" s="44" t="s">
        <v>36</v>
      </c>
      <c r="M367" s="54">
        <v>103820</v>
      </c>
      <c r="N367" s="54">
        <v>90323.4</v>
      </c>
      <c r="O367" s="44" t="s">
        <v>265</v>
      </c>
    </row>
    <row r="368" spans="1:15" x14ac:dyDescent="0.3">
      <c r="A368" s="19" t="s">
        <v>1394</v>
      </c>
      <c r="B368" s="19" t="s">
        <v>32</v>
      </c>
      <c r="C368" s="25" t="s">
        <v>246</v>
      </c>
      <c r="D368" s="25" t="s">
        <v>26</v>
      </c>
      <c r="E368" s="25" t="s">
        <v>27</v>
      </c>
      <c r="F368" s="25" t="s">
        <v>34</v>
      </c>
      <c r="G368" s="25" t="s">
        <v>35</v>
      </c>
      <c r="H368" s="34">
        <v>45571</v>
      </c>
      <c r="I368" s="49">
        <v>72</v>
      </c>
      <c r="J368" s="49">
        <v>420</v>
      </c>
      <c r="K368" s="50">
        <v>0</v>
      </c>
      <c r="L368" s="43" t="s">
        <v>36</v>
      </c>
      <c r="M368" s="51">
        <v>30240</v>
      </c>
      <c r="N368" s="51">
        <v>30240</v>
      </c>
      <c r="O368" s="43" t="s">
        <v>265</v>
      </c>
    </row>
    <row r="369" spans="1:15" x14ac:dyDescent="0.3">
      <c r="A369" s="20" t="s">
        <v>1395</v>
      </c>
      <c r="B369" s="20" t="s">
        <v>58</v>
      </c>
      <c r="C369" s="26" t="s">
        <v>255</v>
      </c>
      <c r="D369" s="26" t="s">
        <v>59</v>
      </c>
      <c r="E369" s="26" t="s">
        <v>33</v>
      </c>
      <c r="F369" s="26" t="s">
        <v>46</v>
      </c>
      <c r="G369" s="26" t="s">
        <v>56</v>
      </c>
      <c r="H369" s="35">
        <v>45584</v>
      </c>
      <c r="I369" s="52">
        <v>61</v>
      </c>
      <c r="J369" s="52">
        <v>2800</v>
      </c>
      <c r="K369" s="53">
        <v>0.05</v>
      </c>
      <c r="L369" s="44" t="s">
        <v>36</v>
      </c>
      <c r="M369" s="54">
        <v>170800</v>
      </c>
      <c r="N369" s="54">
        <v>162260</v>
      </c>
      <c r="O369" s="44" t="s">
        <v>267</v>
      </c>
    </row>
    <row r="370" spans="1:15" x14ac:dyDescent="0.3">
      <c r="A370" s="19" t="s">
        <v>1396</v>
      </c>
      <c r="B370" s="19" t="s">
        <v>61</v>
      </c>
      <c r="C370" s="25" t="s">
        <v>244</v>
      </c>
      <c r="D370" s="25" t="s">
        <v>26</v>
      </c>
      <c r="E370" s="25" t="s">
        <v>27</v>
      </c>
      <c r="F370" s="25" t="s">
        <v>52</v>
      </c>
      <c r="G370" s="25" t="s">
        <v>47</v>
      </c>
      <c r="H370" s="34">
        <v>45588</v>
      </c>
      <c r="I370" s="49">
        <v>56</v>
      </c>
      <c r="J370" s="49">
        <v>280</v>
      </c>
      <c r="K370" s="50">
        <v>0.1</v>
      </c>
      <c r="L370" s="43" t="s">
        <v>30</v>
      </c>
      <c r="M370" s="51">
        <v>15680</v>
      </c>
      <c r="N370" s="51">
        <v>14112</v>
      </c>
      <c r="O370" s="43" t="s">
        <v>265</v>
      </c>
    </row>
    <row r="371" spans="1:15" x14ac:dyDescent="0.3">
      <c r="A371" s="20" t="s">
        <v>1397</v>
      </c>
      <c r="B371" s="20" t="s">
        <v>58</v>
      </c>
      <c r="C371" s="26" t="s">
        <v>255</v>
      </c>
      <c r="D371" s="26" t="s">
        <v>59</v>
      </c>
      <c r="E371" s="26" t="s">
        <v>45</v>
      </c>
      <c r="F371" s="26" t="s">
        <v>41</v>
      </c>
      <c r="G371" s="26" t="s">
        <v>42</v>
      </c>
      <c r="H371" s="35">
        <v>45583</v>
      </c>
      <c r="I371" s="52">
        <v>21</v>
      </c>
      <c r="J371" s="52">
        <v>2800</v>
      </c>
      <c r="K371" s="53">
        <v>0.12</v>
      </c>
      <c r="L371" s="44" t="s">
        <v>36</v>
      </c>
      <c r="M371" s="54">
        <v>58800</v>
      </c>
      <c r="N371" s="54">
        <v>51744</v>
      </c>
      <c r="O371" s="44" t="s">
        <v>265</v>
      </c>
    </row>
    <row r="372" spans="1:15" x14ac:dyDescent="0.3">
      <c r="A372" s="19" t="s">
        <v>1398</v>
      </c>
      <c r="B372" s="19" t="s">
        <v>16</v>
      </c>
      <c r="C372" s="25" t="s">
        <v>250</v>
      </c>
      <c r="D372" s="25" t="s">
        <v>39</v>
      </c>
      <c r="E372" s="25" t="s">
        <v>40</v>
      </c>
      <c r="F372" s="25" t="s">
        <v>41</v>
      </c>
      <c r="G372" s="25" t="s">
        <v>47</v>
      </c>
      <c r="H372" s="34">
        <v>45575</v>
      </c>
      <c r="I372" s="49">
        <v>81</v>
      </c>
      <c r="J372" s="49">
        <v>990</v>
      </c>
      <c r="K372" s="50">
        <v>0.12</v>
      </c>
      <c r="L372" s="43" t="s">
        <v>36</v>
      </c>
      <c r="M372" s="51">
        <v>80190</v>
      </c>
      <c r="N372" s="51">
        <v>70567.199999999997</v>
      </c>
      <c r="O372" s="43" t="s">
        <v>265</v>
      </c>
    </row>
    <row r="373" spans="1:15" x14ac:dyDescent="0.3">
      <c r="A373" s="20" t="s">
        <v>1399</v>
      </c>
      <c r="B373" s="20" t="s">
        <v>44</v>
      </c>
      <c r="C373" s="26" t="s">
        <v>254</v>
      </c>
      <c r="D373" s="26" t="s">
        <v>39</v>
      </c>
      <c r="E373" s="26" t="s">
        <v>40</v>
      </c>
      <c r="F373" s="26" t="s">
        <v>28</v>
      </c>
      <c r="G373" s="26" t="s">
        <v>47</v>
      </c>
      <c r="H373" s="35">
        <v>45581</v>
      </c>
      <c r="I373" s="52">
        <v>49</v>
      </c>
      <c r="J373" s="52">
        <v>200</v>
      </c>
      <c r="K373" s="53">
        <v>0.05</v>
      </c>
      <c r="L373" s="44" t="s">
        <v>36</v>
      </c>
      <c r="M373" s="54">
        <v>9800</v>
      </c>
      <c r="N373" s="54">
        <v>9310</v>
      </c>
      <c r="O373" s="44" t="s">
        <v>265</v>
      </c>
    </row>
    <row r="374" spans="1:15" x14ac:dyDescent="0.3">
      <c r="A374" s="19" t="s">
        <v>1400</v>
      </c>
      <c r="B374" s="19" t="s">
        <v>16</v>
      </c>
      <c r="C374" s="25" t="s">
        <v>250</v>
      </c>
      <c r="D374" s="25" t="s">
        <v>39</v>
      </c>
      <c r="E374" s="25" t="s">
        <v>27</v>
      </c>
      <c r="F374" s="25" t="s">
        <v>46</v>
      </c>
      <c r="G374" s="25" t="s">
        <v>56</v>
      </c>
      <c r="H374" s="34">
        <v>45566</v>
      </c>
      <c r="I374" s="49">
        <v>122</v>
      </c>
      <c r="J374" s="49">
        <v>990</v>
      </c>
      <c r="K374" s="50">
        <v>0.05</v>
      </c>
      <c r="L374" s="43" t="s">
        <v>36</v>
      </c>
      <c r="M374" s="51">
        <v>120780</v>
      </c>
      <c r="N374" s="51">
        <v>114741</v>
      </c>
      <c r="O374" s="43" t="s">
        <v>267</v>
      </c>
    </row>
    <row r="375" spans="1:15" x14ac:dyDescent="0.3">
      <c r="A375" s="20" t="s">
        <v>1401</v>
      </c>
      <c r="B375" s="20" t="s">
        <v>55</v>
      </c>
      <c r="C375" s="26" t="s">
        <v>249</v>
      </c>
      <c r="D375" s="26" t="s">
        <v>39</v>
      </c>
      <c r="E375" s="26" t="s">
        <v>40</v>
      </c>
      <c r="F375" s="26" t="s">
        <v>28</v>
      </c>
      <c r="G375" s="26" t="s">
        <v>42</v>
      </c>
      <c r="H375" s="35">
        <v>45584</v>
      </c>
      <c r="I375" s="52">
        <v>173</v>
      </c>
      <c r="J375" s="52">
        <v>650</v>
      </c>
      <c r="K375" s="53">
        <v>0.14000000000000001</v>
      </c>
      <c r="L375" s="44" t="s">
        <v>30</v>
      </c>
      <c r="M375" s="54">
        <v>112450</v>
      </c>
      <c r="N375" s="54">
        <v>96707</v>
      </c>
      <c r="O375" s="44" t="s">
        <v>265</v>
      </c>
    </row>
    <row r="376" spans="1:15" x14ac:dyDescent="0.3">
      <c r="A376" s="19" t="s">
        <v>1402</v>
      </c>
      <c r="B376" s="19" t="s">
        <v>32</v>
      </c>
      <c r="C376" s="25" t="s">
        <v>246</v>
      </c>
      <c r="D376" s="25" t="s">
        <v>26</v>
      </c>
      <c r="E376" s="25" t="s">
        <v>33</v>
      </c>
      <c r="F376" s="25" t="s">
        <v>46</v>
      </c>
      <c r="G376" s="25" t="s">
        <v>35</v>
      </c>
      <c r="H376" s="34">
        <v>45568</v>
      </c>
      <c r="I376" s="49">
        <v>168</v>
      </c>
      <c r="J376" s="49">
        <v>420</v>
      </c>
      <c r="K376" s="50">
        <v>0.05</v>
      </c>
      <c r="L376" s="43" t="s">
        <v>36</v>
      </c>
      <c r="M376" s="51">
        <v>70560</v>
      </c>
      <c r="N376" s="51">
        <v>67032</v>
      </c>
      <c r="O376" s="43" t="s">
        <v>265</v>
      </c>
    </row>
    <row r="377" spans="1:15" x14ac:dyDescent="0.3">
      <c r="A377" s="20" t="s">
        <v>1403</v>
      </c>
      <c r="B377" s="20" t="s">
        <v>55</v>
      </c>
      <c r="C377" s="26" t="s">
        <v>249</v>
      </c>
      <c r="D377" s="26" t="s">
        <v>39</v>
      </c>
      <c r="E377" s="26" t="s">
        <v>51</v>
      </c>
      <c r="F377" s="26" t="s">
        <v>46</v>
      </c>
      <c r="G377" s="26" t="s">
        <v>47</v>
      </c>
      <c r="H377" s="35">
        <v>45585</v>
      </c>
      <c r="I377" s="52">
        <v>194</v>
      </c>
      <c r="J377" s="52">
        <v>650</v>
      </c>
      <c r="K377" s="53">
        <v>0.11</v>
      </c>
      <c r="L377" s="44" t="s">
        <v>30</v>
      </c>
      <c r="M377" s="54">
        <v>126100</v>
      </c>
      <c r="N377" s="54">
        <v>112229</v>
      </c>
      <c r="O377" s="44" t="s">
        <v>267</v>
      </c>
    </row>
    <row r="378" spans="1:15" x14ac:dyDescent="0.3">
      <c r="A378" s="19" t="s">
        <v>1404</v>
      </c>
      <c r="B378" s="19" t="s">
        <v>55</v>
      </c>
      <c r="C378" s="25" t="s">
        <v>249</v>
      </c>
      <c r="D378" s="25" t="s">
        <v>39</v>
      </c>
      <c r="E378" s="25" t="s">
        <v>45</v>
      </c>
      <c r="F378" s="25" t="s">
        <v>34</v>
      </c>
      <c r="G378" s="25" t="s">
        <v>42</v>
      </c>
      <c r="H378" s="34">
        <v>45577</v>
      </c>
      <c r="I378" s="49">
        <v>96</v>
      </c>
      <c r="J378" s="49">
        <v>650</v>
      </c>
      <c r="K378" s="50">
        <v>7.0000000000000007E-2</v>
      </c>
      <c r="L378" s="43" t="s">
        <v>30</v>
      </c>
      <c r="M378" s="51">
        <v>62400</v>
      </c>
      <c r="N378" s="51">
        <v>58032</v>
      </c>
      <c r="O378" s="43" t="s">
        <v>265</v>
      </c>
    </row>
    <row r="379" spans="1:15" x14ac:dyDescent="0.3">
      <c r="A379" s="20" t="s">
        <v>1405</v>
      </c>
      <c r="B379" s="20" t="s">
        <v>49</v>
      </c>
      <c r="C379" s="26" t="s">
        <v>251</v>
      </c>
      <c r="D379" s="26" t="s">
        <v>50</v>
      </c>
      <c r="E379" s="26" t="s">
        <v>33</v>
      </c>
      <c r="F379" s="26" t="s">
        <v>46</v>
      </c>
      <c r="G379" s="26" t="s">
        <v>47</v>
      </c>
      <c r="H379" s="35">
        <v>45578</v>
      </c>
      <c r="I379" s="52">
        <v>140</v>
      </c>
      <c r="J379" s="52">
        <v>895</v>
      </c>
      <c r="K379" s="53">
        <v>0.05</v>
      </c>
      <c r="L379" s="44" t="s">
        <v>30</v>
      </c>
      <c r="M379" s="54">
        <v>125300</v>
      </c>
      <c r="N379" s="54">
        <v>119035</v>
      </c>
      <c r="O379" s="44" t="s">
        <v>267</v>
      </c>
    </row>
    <row r="380" spans="1:15" x14ac:dyDescent="0.3">
      <c r="A380" s="19" t="s">
        <v>1406</v>
      </c>
      <c r="B380" s="19" t="s">
        <v>61</v>
      </c>
      <c r="C380" s="25" t="s">
        <v>244</v>
      </c>
      <c r="D380" s="25" t="s">
        <v>26</v>
      </c>
      <c r="E380" s="25" t="s">
        <v>33</v>
      </c>
      <c r="F380" s="25" t="s">
        <v>46</v>
      </c>
      <c r="G380" s="25" t="s">
        <v>47</v>
      </c>
      <c r="H380" s="34">
        <v>45573</v>
      </c>
      <c r="I380" s="49">
        <v>204</v>
      </c>
      <c r="J380" s="49">
        <v>280</v>
      </c>
      <c r="K380" s="50">
        <v>0.12</v>
      </c>
      <c r="L380" s="43" t="s">
        <v>36</v>
      </c>
      <c r="M380" s="51">
        <v>57120</v>
      </c>
      <c r="N380" s="51">
        <v>50265.599999999999</v>
      </c>
      <c r="O380" s="43" t="s">
        <v>265</v>
      </c>
    </row>
    <row r="381" spans="1:15" x14ac:dyDescent="0.3">
      <c r="A381" s="20" t="s">
        <v>1407</v>
      </c>
      <c r="B381" s="20" t="s">
        <v>63</v>
      </c>
      <c r="C381" s="26" t="s">
        <v>253</v>
      </c>
      <c r="D381" s="26" t="s">
        <v>50</v>
      </c>
      <c r="E381" s="26" t="s">
        <v>27</v>
      </c>
      <c r="F381" s="26" t="s">
        <v>34</v>
      </c>
      <c r="G381" s="26" t="s">
        <v>29</v>
      </c>
      <c r="H381" s="35">
        <v>45578</v>
      </c>
      <c r="I381" s="52">
        <v>93</v>
      </c>
      <c r="J381" s="52">
        <v>750</v>
      </c>
      <c r="K381" s="53">
        <v>0.15</v>
      </c>
      <c r="L381" s="44" t="s">
        <v>30</v>
      </c>
      <c r="M381" s="54">
        <v>69750</v>
      </c>
      <c r="N381" s="54">
        <v>59287.5</v>
      </c>
      <c r="O381" s="44" t="s">
        <v>265</v>
      </c>
    </row>
    <row r="382" spans="1:15" x14ac:dyDescent="0.3">
      <c r="A382" s="19" t="s">
        <v>1408</v>
      </c>
      <c r="B382" s="19" t="s">
        <v>49</v>
      </c>
      <c r="C382" s="25" t="s">
        <v>251</v>
      </c>
      <c r="D382" s="25" t="s">
        <v>50</v>
      </c>
      <c r="E382" s="25" t="s">
        <v>40</v>
      </c>
      <c r="F382" s="25" t="s">
        <v>28</v>
      </c>
      <c r="G382" s="25" t="s">
        <v>42</v>
      </c>
      <c r="H382" s="34">
        <v>45590</v>
      </c>
      <c r="I382" s="49">
        <v>54</v>
      </c>
      <c r="J382" s="49">
        <v>895</v>
      </c>
      <c r="K382" s="50">
        <v>0.08</v>
      </c>
      <c r="L382" s="43" t="s">
        <v>30</v>
      </c>
      <c r="M382" s="51">
        <v>48330</v>
      </c>
      <c r="N382" s="51">
        <v>44463.6</v>
      </c>
      <c r="O382" s="43" t="s">
        <v>265</v>
      </c>
    </row>
    <row r="383" spans="1:15" x14ac:dyDescent="0.3">
      <c r="A383" s="20" t="s">
        <v>1409</v>
      </c>
      <c r="B383" s="20" t="s">
        <v>55</v>
      </c>
      <c r="C383" s="26" t="s">
        <v>249</v>
      </c>
      <c r="D383" s="26" t="s">
        <v>39</v>
      </c>
      <c r="E383" s="26" t="s">
        <v>33</v>
      </c>
      <c r="F383" s="26" t="s">
        <v>52</v>
      </c>
      <c r="G383" s="26" t="s">
        <v>35</v>
      </c>
      <c r="H383" s="35">
        <v>45566</v>
      </c>
      <c r="I383" s="52">
        <v>92</v>
      </c>
      <c r="J383" s="52">
        <v>650</v>
      </c>
      <c r="K383" s="53">
        <v>0.12</v>
      </c>
      <c r="L383" s="44" t="s">
        <v>30</v>
      </c>
      <c r="M383" s="54">
        <v>59800</v>
      </c>
      <c r="N383" s="54">
        <v>52624</v>
      </c>
      <c r="O383" s="44" t="s">
        <v>265</v>
      </c>
    </row>
    <row r="384" spans="1:15" x14ac:dyDescent="0.3">
      <c r="A384" s="19" t="s">
        <v>1410</v>
      </c>
      <c r="B384" s="19" t="s">
        <v>58</v>
      </c>
      <c r="C384" s="25" t="s">
        <v>255</v>
      </c>
      <c r="D384" s="25" t="s">
        <v>59</v>
      </c>
      <c r="E384" s="25" t="s">
        <v>33</v>
      </c>
      <c r="F384" s="25" t="s">
        <v>46</v>
      </c>
      <c r="G384" s="25" t="s">
        <v>56</v>
      </c>
      <c r="H384" s="34">
        <v>45573</v>
      </c>
      <c r="I384" s="49">
        <v>46</v>
      </c>
      <c r="J384" s="49">
        <v>2800</v>
      </c>
      <c r="K384" s="50">
        <v>0.15</v>
      </c>
      <c r="L384" s="43" t="s">
        <v>30</v>
      </c>
      <c r="M384" s="51">
        <v>128800</v>
      </c>
      <c r="N384" s="51">
        <v>109480</v>
      </c>
      <c r="O384" s="43" t="s">
        <v>267</v>
      </c>
    </row>
    <row r="385" spans="1:15" x14ac:dyDescent="0.3">
      <c r="A385" s="20" t="s">
        <v>1411</v>
      </c>
      <c r="B385" s="20" t="s">
        <v>38</v>
      </c>
      <c r="C385" s="26" t="s">
        <v>247</v>
      </c>
      <c r="D385" s="26" t="s">
        <v>39</v>
      </c>
      <c r="E385" s="26" t="s">
        <v>45</v>
      </c>
      <c r="F385" s="26" t="s">
        <v>46</v>
      </c>
      <c r="G385" s="26" t="s">
        <v>42</v>
      </c>
      <c r="H385" s="35">
        <v>45582</v>
      </c>
      <c r="I385" s="52">
        <v>76</v>
      </c>
      <c r="J385" s="52">
        <v>1200</v>
      </c>
      <c r="K385" s="53">
        <v>0.03</v>
      </c>
      <c r="L385" s="44" t="s">
        <v>36</v>
      </c>
      <c r="M385" s="54">
        <v>91200</v>
      </c>
      <c r="N385" s="54">
        <v>88464</v>
      </c>
      <c r="O385" s="44" t="s">
        <v>265</v>
      </c>
    </row>
    <row r="386" spans="1:15" x14ac:dyDescent="0.3">
      <c r="A386" s="19" t="s">
        <v>1412</v>
      </c>
      <c r="B386" s="19" t="s">
        <v>55</v>
      </c>
      <c r="C386" s="25" t="s">
        <v>249</v>
      </c>
      <c r="D386" s="25" t="s">
        <v>39</v>
      </c>
      <c r="E386" s="25" t="s">
        <v>40</v>
      </c>
      <c r="F386" s="25" t="s">
        <v>34</v>
      </c>
      <c r="G386" s="25" t="s">
        <v>29</v>
      </c>
      <c r="H386" s="34">
        <v>45594</v>
      </c>
      <c r="I386" s="49">
        <v>37</v>
      </c>
      <c r="J386" s="49">
        <v>650</v>
      </c>
      <c r="K386" s="50">
        <v>0.13</v>
      </c>
      <c r="L386" s="43" t="s">
        <v>36</v>
      </c>
      <c r="M386" s="51">
        <v>24050</v>
      </c>
      <c r="N386" s="51">
        <v>20923.5</v>
      </c>
      <c r="O386" s="43" t="s">
        <v>265</v>
      </c>
    </row>
    <row r="387" spans="1:15" x14ac:dyDescent="0.3">
      <c r="A387" s="20" t="s">
        <v>1413</v>
      </c>
      <c r="B387" s="20" t="s">
        <v>61</v>
      </c>
      <c r="C387" s="26" t="s">
        <v>244</v>
      </c>
      <c r="D387" s="26" t="s">
        <v>26</v>
      </c>
      <c r="E387" s="26" t="s">
        <v>51</v>
      </c>
      <c r="F387" s="26" t="s">
        <v>41</v>
      </c>
      <c r="G387" s="26" t="s">
        <v>35</v>
      </c>
      <c r="H387" s="35">
        <v>45596</v>
      </c>
      <c r="I387" s="52">
        <v>46</v>
      </c>
      <c r="J387" s="52">
        <v>280</v>
      </c>
      <c r="K387" s="53">
        <v>0.13</v>
      </c>
      <c r="L387" s="44" t="s">
        <v>36</v>
      </c>
      <c r="M387" s="54">
        <v>12880</v>
      </c>
      <c r="N387" s="54">
        <v>11205.6</v>
      </c>
      <c r="O387" s="44" t="s">
        <v>265</v>
      </c>
    </row>
    <row r="388" spans="1:15" x14ac:dyDescent="0.3">
      <c r="A388" s="19" t="s">
        <v>1414</v>
      </c>
      <c r="B388" s="19" t="s">
        <v>58</v>
      </c>
      <c r="C388" s="25" t="s">
        <v>255</v>
      </c>
      <c r="D388" s="25" t="s">
        <v>59</v>
      </c>
      <c r="E388" s="25" t="s">
        <v>33</v>
      </c>
      <c r="F388" s="25" t="s">
        <v>28</v>
      </c>
      <c r="G388" s="25" t="s">
        <v>35</v>
      </c>
      <c r="H388" s="34">
        <v>45596</v>
      </c>
      <c r="I388" s="49">
        <v>12</v>
      </c>
      <c r="J388" s="49">
        <v>2800</v>
      </c>
      <c r="K388" s="50">
        <v>7.0000000000000007E-2</v>
      </c>
      <c r="L388" s="43" t="s">
        <v>30</v>
      </c>
      <c r="M388" s="51">
        <v>33600</v>
      </c>
      <c r="N388" s="51">
        <v>31248</v>
      </c>
      <c r="O388" s="43" t="s">
        <v>265</v>
      </c>
    </row>
    <row r="389" spans="1:15" x14ac:dyDescent="0.3">
      <c r="A389" s="20" t="s">
        <v>1415</v>
      </c>
      <c r="B389" s="20" t="s">
        <v>25</v>
      </c>
      <c r="C389" s="26" t="s">
        <v>257</v>
      </c>
      <c r="D389" s="26" t="s">
        <v>26</v>
      </c>
      <c r="E389" s="26" t="s">
        <v>33</v>
      </c>
      <c r="F389" s="26" t="s">
        <v>52</v>
      </c>
      <c r="G389" s="26" t="s">
        <v>56</v>
      </c>
      <c r="H389" s="35">
        <v>45571</v>
      </c>
      <c r="I389" s="52">
        <v>183</v>
      </c>
      <c r="J389" s="52">
        <v>350</v>
      </c>
      <c r="K389" s="53">
        <v>0.03</v>
      </c>
      <c r="L389" s="44" t="s">
        <v>36</v>
      </c>
      <c r="M389" s="54">
        <v>64050</v>
      </c>
      <c r="N389" s="54">
        <v>62128.5</v>
      </c>
      <c r="O389" s="44" t="s">
        <v>265</v>
      </c>
    </row>
    <row r="390" spans="1:15" x14ac:dyDescent="0.3">
      <c r="A390" s="19" t="s">
        <v>1416</v>
      </c>
      <c r="B390" s="19" t="s">
        <v>63</v>
      </c>
      <c r="C390" s="25" t="s">
        <v>253</v>
      </c>
      <c r="D390" s="25" t="s">
        <v>50</v>
      </c>
      <c r="E390" s="25" t="s">
        <v>27</v>
      </c>
      <c r="F390" s="25" t="s">
        <v>34</v>
      </c>
      <c r="G390" s="25" t="s">
        <v>56</v>
      </c>
      <c r="H390" s="34">
        <v>45568</v>
      </c>
      <c r="I390" s="49">
        <v>126</v>
      </c>
      <c r="J390" s="49">
        <v>750</v>
      </c>
      <c r="K390" s="50">
        <v>0</v>
      </c>
      <c r="L390" s="43" t="s">
        <v>36</v>
      </c>
      <c r="M390" s="51">
        <v>94500</v>
      </c>
      <c r="N390" s="51">
        <v>94500</v>
      </c>
      <c r="O390" s="43" t="s">
        <v>265</v>
      </c>
    </row>
    <row r="391" spans="1:15" x14ac:dyDescent="0.3">
      <c r="A391" s="20" t="s">
        <v>1417</v>
      </c>
      <c r="B391" s="20" t="s">
        <v>61</v>
      </c>
      <c r="C391" s="26" t="s">
        <v>244</v>
      </c>
      <c r="D391" s="26" t="s">
        <v>26</v>
      </c>
      <c r="E391" s="26" t="s">
        <v>33</v>
      </c>
      <c r="F391" s="26" t="s">
        <v>52</v>
      </c>
      <c r="G391" s="26" t="s">
        <v>35</v>
      </c>
      <c r="H391" s="35">
        <v>45575</v>
      </c>
      <c r="I391" s="52">
        <v>226</v>
      </c>
      <c r="J391" s="52">
        <v>280</v>
      </c>
      <c r="K391" s="53">
        <v>0.12</v>
      </c>
      <c r="L391" s="44" t="s">
        <v>36</v>
      </c>
      <c r="M391" s="54">
        <v>63280</v>
      </c>
      <c r="N391" s="54">
        <v>55686.400000000001</v>
      </c>
      <c r="O391" s="44" t="s">
        <v>265</v>
      </c>
    </row>
    <row r="392" spans="1:15" x14ac:dyDescent="0.3">
      <c r="A392" s="19" t="s">
        <v>1418</v>
      </c>
      <c r="B392" s="19" t="s">
        <v>49</v>
      </c>
      <c r="C392" s="25" t="s">
        <v>251</v>
      </c>
      <c r="D392" s="25" t="s">
        <v>50</v>
      </c>
      <c r="E392" s="25" t="s">
        <v>51</v>
      </c>
      <c r="F392" s="25" t="s">
        <v>34</v>
      </c>
      <c r="G392" s="25" t="s">
        <v>42</v>
      </c>
      <c r="H392" s="34">
        <v>45568</v>
      </c>
      <c r="I392" s="49">
        <v>105</v>
      </c>
      <c r="J392" s="49">
        <v>895</v>
      </c>
      <c r="K392" s="50">
        <v>0.03</v>
      </c>
      <c r="L392" s="43" t="s">
        <v>30</v>
      </c>
      <c r="M392" s="51">
        <v>93975</v>
      </c>
      <c r="N392" s="51">
        <v>91155.75</v>
      </c>
      <c r="O392" s="43" t="s">
        <v>265</v>
      </c>
    </row>
    <row r="393" spans="1:15" x14ac:dyDescent="0.3">
      <c r="A393" s="20" t="s">
        <v>1419</v>
      </c>
      <c r="B393" s="20" t="s">
        <v>58</v>
      </c>
      <c r="C393" s="26" t="s">
        <v>255</v>
      </c>
      <c r="D393" s="26" t="s">
        <v>59</v>
      </c>
      <c r="E393" s="26" t="s">
        <v>27</v>
      </c>
      <c r="F393" s="26" t="s">
        <v>41</v>
      </c>
      <c r="G393" s="26" t="s">
        <v>53</v>
      </c>
      <c r="H393" s="35">
        <v>45576</v>
      </c>
      <c r="I393" s="52">
        <v>82</v>
      </c>
      <c r="J393" s="52">
        <v>2800</v>
      </c>
      <c r="K393" s="53">
        <v>0</v>
      </c>
      <c r="L393" s="44" t="s">
        <v>30</v>
      </c>
      <c r="M393" s="54">
        <v>229600</v>
      </c>
      <c r="N393" s="54">
        <v>229600</v>
      </c>
      <c r="O393" s="44" t="s">
        <v>267</v>
      </c>
    </row>
    <row r="394" spans="1:15" x14ac:dyDescent="0.3">
      <c r="A394" s="19" t="s">
        <v>1420</v>
      </c>
      <c r="B394" s="19" t="s">
        <v>44</v>
      </c>
      <c r="C394" s="25" t="s">
        <v>254</v>
      </c>
      <c r="D394" s="25" t="s">
        <v>39</v>
      </c>
      <c r="E394" s="25" t="s">
        <v>33</v>
      </c>
      <c r="F394" s="25" t="s">
        <v>34</v>
      </c>
      <c r="G394" s="25" t="s">
        <v>35</v>
      </c>
      <c r="H394" s="34">
        <v>45568</v>
      </c>
      <c r="I394" s="49">
        <v>156</v>
      </c>
      <c r="J394" s="49">
        <v>200</v>
      </c>
      <c r="K394" s="50">
        <v>7.0000000000000007E-2</v>
      </c>
      <c r="L394" s="43" t="s">
        <v>36</v>
      </c>
      <c r="M394" s="51">
        <v>31200</v>
      </c>
      <c r="N394" s="51">
        <v>29016</v>
      </c>
      <c r="O394" s="43" t="s">
        <v>265</v>
      </c>
    </row>
    <row r="395" spans="1:15" x14ac:dyDescent="0.3">
      <c r="A395" s="20" t="s">
        <v>1421</v>
      </c>
      <c r="B395" s="20" t="s">
        <v>55</v>
      </c>
      <c r="C395" s="26" t="s">
        <v>249</v>
      </c>
      <c r="D395" s="26" t="s">
        <v>39</v>
      </c>
      <c r="E395" s="26" t="s">
        <v>33</v>
      </c>
      <c r="F395" s="26" t="s">
        <v>28</v>
      </c>
      <c r="G395" s="26" t="s">
        <v>35</v>
      </c>
      <c r="H395" s="35">
        <v>45574</v>
      </c>
      <c r="I395" s="52">
        <v>148</v>
      </c>
      <c r="J395" s="52">
        <v>650</v>
      </c>
      <c r="K395" s="53">
        <v>0</v>
      </c>
      <c r="L395" s="44" t="s">
        <v>36</v>
      </c>
      <c r="M395" s="54">
        <v>96200</v>
      </c>
      <c r="N395" s="54">
        <v>96200</v>
      </c>
      <c r="O395" s="44" t="s">
        <v>265</v>
      </c>
    </row>
    <row r="396" spans="1:15" x14ac:dyDescent="0.3">
      <c r="A396" s="19" t="s">
        <v>1422</v>
      </c>
      <c r="B396" s="19" t="s">
        <v>32</v>
      </c>
      <c r="C396" s="25" t="s">
        <v>246</v>
      </c>
      <c r="D396" s="25" t="s">
        <v>26</v>
      </c>
      <c r="E396" s="25" t="s">
        <v>33</v>
      </c>
      <c r="F396" s="25" t="s">
        <v>52</v>
      </c>
      <c r="G396" s="25" t="s">
        <v>47</v>
      </c>
      <c r="H396" s="34">
        <v>45573</v>
      </c>
      <c r="I396" s="49">
        <v>154</v>
      </c>
      <c r="J396" s="49">
        <v>420</v>
      </c>
      <c r="K396" s="50">
        <v>0.13</v>
      </c>
      <c r="L396" s="43" t="s">
        <v>36</v>
      </c>
      <c r="M396" s="51">
        <v>64680</v>
      </c>
      <c r="N396" s="51">
        <v>56271.6</v>
      </c>
      <c r="O396" s="43" t="s">
        <v>265</v>
      </c>
    </row>
    <row r="397" spans="1:15" x14ac:dyDescent="0.3">
      <c r="A397" s="20" t="s">
        <v>1423</v>
      </c>
      <c r="B397" s="20" t="s">
        <v>16</v>
      </c>
      <c r="C397" s="26" t="s">
        <v>250</v>
      </c>
      <c r="D397" s="26" t="s">
        <v>39</v>
      </c>
      <c r="E397" s="26" t="s">
        <v>27</v>
      </c>
      <c r="F397" s="26" t="s">
        <v>46</v>
      </c>
      <c r="G397" s="26" t="s">
        <v>29</v>
      </c>
      <c r="H397" s="35">
        <v>45609</v>
      </c>
      <c r="I397" s="52">
        <v>103</v>
      </c>
      <c r="J397" s="52">
        <v>990</v>
      </c>
      <c r="K397" s="53">
        <v>0.12</v>
      </c>
      <c r="L397" s="44" t="s">
        <v>36</v>
      </c>
      <c r="M397" s="54">
        <v>101970</v>
      </c>
      <c r="N397" s="54">
        <v>89733.6</v>
      </c>
      <c r="O397" s="44" t="s">
        <v>265</v>
      </c>
    </row>
    <row r="398" spans="1:15" x14ac:dyDescent="0.3">
      <c r="A398" s="19" t="s">
        <v>1424</v>
      </c>
      <c r="B398" s="19" t="s">
        <v>58</v>
      </c>
      <c r="C398" s="25" t="s">
        <v>255</v>
      </c>
      <c r="D398" s="25" t="s">
        <v>59</v>
      </c>
      <c r="E398" s="25" t="s">
        <v>40</v>
      </c>
      <c r="F398" s="25" t="s">
        <v>28</v>
      </c>
      <c r="G398" s="25" t="s">
        <v>47</v>
      </c>
      <c r="H398" s="34">
        <v>45623</v>
      </c>
      <c r="I398" s="49">
        <v>45</v>
      </c>
      <c r="J398" s="49">
        <v>2800</v>
      </c>
      <c r="K398" s="50">
        <v>0.11</v>
      </c>
      <c r="L398" s="43" t="s">
        <v>30</v>
      </c>
      <c r="M398" s="51">
        <v>126000</v>
      </c>
      <c r="N398" s="51">
        <v>112140</v>
      </c>
      <c r="O398" s="43" t="s">
        <v>267</v>
      </c>
    </row>
    <row r="399" spans="1:15" x14ac:dyDescent="0.3">
      <c r="A399" s="20" t="s">
        <v>1425</v>
      </c>
      <c r="B399" s="20" t="s">
        <v>55</v>
      </c>
      <c r="C399" s="26" t="s">
        <v>249</v>
      </c>
      <c r="D399" s="26" t="s">
        <v>39</v>
      </c>
      <c r="E399" s="26" t="s">
        <v>51</v>
      </c>
      <c r="F399" s="26" t="s">
        <v>34</v>
      </c>
      <c r="G399" s="26" t="s">
        <v>29</v>
      </c>
      <c r="H399" s="35">
        <v>45602</v>
      </c>
      <c r="I399" s="52">
        <v>94</v>
      </c>
      <c r="J399" s="52">
        <v>650</v>
      </c>
      <c r="K399" s="53">
        <v>0</v>
      </c>
      <c r="L399" s="44" t="s">
        <v>30</v>
      </c>
      <c r="M399" s="54">
        <v>61100</v>
      </c>
      <c r="N399" s="54">
        <v>61100</v>
      </c>
      <c r="O399" s="44" t="s">
        <v>265</v>
      </c>
    </row>
    <row r="400" spans="1:15" x14ac:dyDescent="0.3">
      <c r="A400" s="19" t="s">
        <v>1426</v>
      </c>
      <c r="B400" s="19" t="s">
        <v>58</v>
      </c>
      <c r="C400" s="25" t="s">
        <v>255</v>
      </c>
      <c r="D400" s="25" t="s">
        <v>59</v>
      </c>
      <c r="E400" s="25" t="s">
        <v>51</v>
      </c>
      <c r="F400" s="25" t="s">
        <v>28</v>
      </c>
      <c r="G400" s="25" t="s">
        <v>53</v>
      </c>
      <c r="H400" s="34">
        <v>45605</v>
      </c>
      <c r="I400" s="49">
        <v>66</v>
      </c>
      <c r="J400" s="49">
        <v>2800</v>
      </c>
      <c r="K400" s="50">
        <v>0.11</v>
      </c>
      <c r="L400" s="43" t="s">
        <v>36</v>
      </c>
      <c r="M400" s="51">
        <v>184800</v>
      </c>
      <c r="N400" s="51">
        <v>164472</v>
      </c>
      <c r="O400" s="43" t="s">
        <v>267</v>
      </c>
    </row>
    <row r="401" spans="1:15" x14ac:dyDescent="0.3">
      <c r="A401" s="20" t="s">
        <v>1427</v>
      </c>
      <c r="B401" s="20" t="s">
        <v>25</v>
      </c>
      <c r="C401" s="26" t="s">
        <v>257</v>
      </c>
      <c r="D401" s="26" t="s">
        <v>26</v>
      </c>
      <c r="E401" s="26" t="s">
        <v>27</v>
      </c>
      <c r="F401" s="26" t="s">
        <v>34</v>
      </c>
      <c r="G401" s="26" t="s">
        <v>53</v>
      </c>
      <c r="H401" s="35">
        <v>45597</v>
      </c>
      <c r="I401" s="52">
        <v>138</v>
      </c>
      <c r="J401" s="52">
        <v>350</v>
      </c>
      <c r="K401" s="53">
        <v>0.11</v>
      </c>
      <c r="L401" s="44" t="s">
        <v>36</v>
      </c>
      <c r="M401" s="54">
        <v>48300</v>
      </c>
      <c r="N401" s="54">
        <v>42987</v>
      </c>
      <c r="O401" s="44" t="s">
        <v>265</v>
      </c>
    </row>
    <row r="402" spans="1:15" x14ac:dyDescent="0.3">
      <c r="A402" s="19" t="s">
        <v>1428</v>
      </c>
      <c r="B402" s="19" t="s">
        <v>44</v>
      </c>
      <c r="C402" s="25" t="s">
        <v>254</v>
      </c>
      <c r="D402" s="25" t="s">
        <v>39</v>
      </c>
      <c r="E402" s="25" t="s">
        <v>51</v>
      </c>
      <c r="F402" s="25" t="s">
        <v>41</v>
      </c>
      <c r="G402" s="25" t="s">
        <v>47</v>
      </c>
      <c r="H402" s="34">
        <v>45599</v>
      </c>
      <c r="I402" s="49">
        <v>129</v>
      </c>
      <c r="J402" s="49">
        <v>200</v>
      </c>
      <c r="K402" s="50">
        <v>0</v>
      </c>
      <c r="L402" s="43" t="s">
        <v>30</v>
      </c>
      <c r="M402" s="51">
        <v>25800</v>
      </c>
      <c r="N402" s="51">
        <v>25800</v>
      </c>
      <c r="O402" s="43" t="s">
        <v>265</v>
      </c>
    </row>
    <row r="403" spans="1:15" x14ac:dyDescent="0.3">
      <c r="A403" s="20" t="s">
        <v>1429</v>
      </c>
      <c r="B403" s="20" t="s">
        <v>38</v>
      </c>
      <c r="C403" s="26" t="s">
        <v>247</v>
      </c>
      <c r="D403" s="26" t="s">
        <v>39</v>
      </c>
      <c r="E403" s="26" t="s">
        <v>51</v>
      </c>
      <c r="F403" s="26" t="s">
        <v>52</v>
      </c>
      <c r="G403" s="26" t="s">
        <v>35</v>
      </c>
      <c r="H403" s="35">
        <v>45600</v>
      </c>
      <c r="I403" s="52">
        <v>59</v>
      </c>
      <c r="J403" s="52">
        <v>1200</v>
      </c>
      <c r="K403" s="53">
        <v>0.13</v>
      </c>
      <c r="L403" s="44" t="s">
        <v>36</v>
      </c>
      <c r="M403" s="54">
        <v>70800</v>
      </c>
      <c r="N403" s="54">
        <v>61596</v>
      </c>
      <c r="O403" s="44" t="s">
        <v>265</v>
      </c>
    </row>
    <row r="404" spans="1:15" x14ac:dyDescent="0.3">
      <c r="A404" s="19" t="s">
        <v>1430</v>
      </c>
      <c r="B404" s="19" t="s">
        <v>55</v>
      </c>
      <c r="C404" s="25" t="s">
        <v>249</v>
      </c>
      <c r="D404" s="25" t="s">
        <v>39</v>
      </c>
      <c r="E404" s="25" t="s">
        <v>27</v>
      </c>
      <c r="F404" s="25" t="s">
        <v>46</v>
      </c>
      <c r="G404" s="25" t="s">
        <v>29</v>
      </c>
      <c r="H404" s="34">
        <v>45601</v>
      </c>
      <c r="I404" s="49">
        <v>172</v>
      </c>
      <c r="J404" s="49">
        <v>650</v>
      </c>
      <c r="K404" s="50">
        <v>0</v>
      </c>
      <c r="L404" s="43" t="s">
        <v>36</v>
      </c>
      <c r="M404" s="51">
        <v>111800</v>
      </c>
      <c r="N404" s="51">
        <v>111800</v>
      </c>
      <c r="O404" s="43" t="s">
        <v>267</v>
      </c>
    </row>
    <row r="405" spans="1:15" x14ac:dyDescent="0.3">
      <c r="A405" s="20" t="s">
        <v>1431</v>
      </c>
      <c r="B405" s="20" t="s">
        <v>32</v>
      </c>
      <c r="C405" s="26" t="s">
        <v>246</v>
      </c>
      <c r="D405" s="26" t="s">
        <v>26</v>
      </c>
      <c r="E405" s="26" t="s">
        <v>45</v>
      </c>
      <c r="F405" s="26" t="s">
        <v>52</v>
      </c>
      <c r="G405" s="26" t="s">
        <v>53</v>
      </c>
      <c r="H405" s="35">
        <v>45598</v>
      </c>
      <c r="I405" s="52">
        <v>57</v>
      </c>
      <c r="J405" s="52">
        <v>420</v>
      </c>
      <c r="K405" s="53">
        <v>0.12</v>
      </c>
      <c r="L405" s="44" t="s">
        <v>30</v>
      </c>
      <c r="M405" s="54">
        <v>23940</v>
      </c>
      <c r="N405" s="54">
        <v>21067.200000000001</v>
      </c>
      <c r="O405" s="44" t="s">
        <v>265</v>
      </c>
    </row>
    <row r="406" spans="1:15" x14ac:dyDescent="0.3">
      <c r="A406" s="19" t="s">
        <v>1432</v>
      </c>
      <c r="B406" s="19" t="s">
        <v>63</v>
      </c>
      <c r="C406" s="25" t="s">
        <v>253</v>
      </c>
      <c r="D406" s="25" t="s">
        <v>50</v>
      </c>
      <c r="E406" s="25" t="s">
        <v>51</v>
      </c>
      <c r="F406" s="25" t="s">
        <v>52</v>
      </c>
      <c r="G406" s="25" t="s">
        <v>53</v>
      </c>
      <c r="H406" s="34">
        <v>45599</v>
      </c>
      <c r="I406" s="49">
        <v>38</v>
      </c>
      <c r="J406" s="49">
        <v>750</v>
      </c>
      <c r="K406" s="50">
        <v>0.13</v>
      </c>
      <c r="L406" s="43" t="s">
        <v>36</v>
      </c>
      <c r="M406" s="51">
        <v>28500</v>
      </c>
      <c r="N406" s="51">
        <v>24795</v>
      </c>
      <c r="O406" s="43" t="s">
        <v>265</v>
      </c>
    </row>
    <row r="407" spans="1:15" x14ac:dyDescent="0.3">
      <c r="A407" s="20" t="s">
        <v>1433</v>
      </c>
      <c r="B407" s="20" t="s">
        <v>44</v>
      </c>
      <c r="C407" s="26" t="s">
        <v>254</v>
      </c>
      <c r="D407" s="26" t="s">
        <v>39</v>
      </c>
      <c r="E407" s="26" t="s">
        <v>27</v>
      </c>
      <c r="F407" s="26" t="s">
        <v>34</v>
      </c>
      <c r="G407" s="26" t="s">
        <v>29</v>
      </c>
      <c r="H407" s="35">
        <v>45603</v>
      </c>
      <c r="I407" s="52">
        <v>162</v>
      </c>
      <c r="J407" s="52">
        <v>200</v>
      </c>
      <c r="K407" s="53">
        <v>0.13</v>
      </c>
      <c r="L407" s="44" t="s">
        <v>30</v>
      </c>
      <c r="M407" s="54">
        <v>32400</v>
      </c>
      <c r="N407" s="54">
        <v>28188</v>
      </c>
      <c r="O407" s="44" t="s">
        <v>265</v>
      </c>
    </row>
    <row r="408" spans="1:15" x14ac:dyDescent="0.3">
      <c r="A408" s="19" t="s">
        <v>1434</v>
      </c>
      <c r="B408" s="19" t="s">
        <v>55</v>
      </c>
      <c r="C408" s="25" t="s">
        <v>249</v>
      </c>
      <c r="D408" s="25" t="s">
        <v>39</v>
      </c>
      <c r="E408" s="25" t="s">
        <v>33</v>
      </c>
      <c r="F408" s="25" t="s">
        <v>41</v>
      </c>
      <c r="G408" s="25" t="s">
        <v>53</v>
      </c>
      <c r="H408" s="34">
        <v>45606</v>
      </c>
      <c r="I408" s="49">
        <v>51</v>
      </c>
      <c r="J408" s="49">
        <v>650</v>
      </c>
      <c r="K408" s="50">
        <v>0</v>
      </c>
      <c r="L408" s="43" t="s">
        <v>36</v>
      </c>
      <c r="M408" s="51">
        <v>33150</v>
      </c>
      <c r="N408" s="51">
        <v>33150</v>
      </c>
      <c r="O408" s="43" t="s">
        <v>265</v>
      </c>
    </row>
    <row r="409" spans="1:15" x14ac:dyDescent="0.3">
      <c r="A409" s="20" t="s">
        <v>1435</v>
      </c>
      <c r="B409" s="20" t="s">
        <v>38</v>
      </c>
      <c r="C409" s="26" t="s">
        <v>247</v>
      </c>
      <c r="D409" s="26" t="s">
        <v>39</v>
      </c>
      <c r="E409" s="26" t="s">
        <v>51</v>
      </c>
      <c r="F409" s="26" t="s">
        <v>34</v>
      </c>
      <c r="G409" s="26" t="s">
        <v>29</v>
      </c>
      <c r="H409" s="35">
        <v>45611</v>
      </c>
      <c r="I409" s="52">
        <v>28</v>
      </c>
      <c r="J409" s="52">
        <v>1200</v>
      </c>
      <c r="K409" s="53">
        <v>0.11</v>
      </c>
      <c r="L409" s="44" t="s">
        <v>36</v>
      </c>
      <c r="M409" s="54">
        <v>33600</v>
      </c>
      <c r="N409" s="54">
        <v>29904</v>
      </c>
      <c r="O409" s="44" t="s">
        <v>265</v>
      </c>
    </row>
    <row r="410" spans="1:15" x14ac:dyDescent="0.3">
      <c r="A410" s="19" t="s">
        <v>1436</v>
      </c>
      <c r="B410" s="19" t="s">
        <v>44</v>
      </c>
      <c r="C410" s="25" t="s">
        <v>254</v>
      </c>
      <c r="D410" s="25" t="s">
        <v>39</v>
      </c>
      <c r="E410" s="25" t="s">
        <v>33</v>
      </c>
      <c r="F410" s="25" t="s">
        <v>46</v>
      </c>
      <c r="G410" s="25" t="s">
        <v>42</v>
      </c>
      <c r="H410" s="34">
        <v>45598</v>
      </c>
      <c r="I410" s="49">
        <v>145</v>
      </c>
      <c r="J410" s="49">
        <v>200</v>
      </c>
      <c r="K410" s="50">
        <v>0.15</v>
      </c>
      <c r="L410" s="43" t="s">
        <v>30</v>
      </c>
      <c r="M410" s="51">
        <v>29000</v>
      </c>
      <c r="N410" s="51">
        <v>24650</v>
      </c>
      <c r="O410" s="43" t="s">
        <v>265</v>
      </c>
    </row>
    <row r="411" spans="1:15" x14ac:dyDescent="0.3">
      <c r="A411" s="20" t="s">
        <v>1437</v>
      </c>
      <c r="B411" s="20" t="s">
        <v>63</v>
      </c>
      <c r="C411" s="26" t="s">
        <v>253</v>
      </c>
      <c r="D411" s="26" t="s">
        <v>50</v>
      </c>
      <c r="E411" s="26" t="s">
        <v>33</v>
      </c>
      <c r="F411" s="26" t="s">
        <v>28</v>
      </c>
      <c r="G411" s="26" t="s">
        <v>47</v>
      </c>
      <c r="H411" s="35">
        <v>45617</v>
      </c>
      <c r="I411" s="52">
        <v>84</v>
      </c>
      <c r="J411" s="52">
        <v>750</v>
      </c>
      <c r="K411" s="53">
        <v>0</v>
      </c>
      <c r="L411" s="44" t="s">
        <v>36</v>
      </c>
      <c r="M411" s="54">
        <v>63000</v>
      </c>
      <c r="N411" s="54">
        <v>63000</v>
      </c>
      <c r="O411" s="44" t="s">
        <v>265</v>
      </c>
    </row>
    <row r="412" spans="1:15" x14ac:dyDescent="0.3">
      <c r="A412" s="19" t="s">
        <v>1438</v>
      </c>
      <c r="B412" s="19" t="s">
        <v>32</v>
      </c>
      <c r="C412" s="25" t="s">
        <v>246</v>
      </c>
      <c r="D412" s="25" t="s">
        <v>26</v>
      </c>
      <c r="E412" s="25" t="s">
        <v>27</v>
      </c>
      <c r="F412" s="25" t="s">
        <v>52</v>
      </c>
      <c r="G412" s="25" t="s">
        <v>47</v>
      </c>
      <c r="H412" s="34">
        <v>45605</v>
      </c>
      <c r="I412" s="49">
        <v>79</v>
      </c>
      <c r="J412" s="49">
        <v>420</v>
      </c>
      <c r="K412" s="50">
        <v>0</v>
      </c>
      <c r="L412" s="43" t="s">
        <v>30</v>
      </c>
      <c r="M412" s="51">
        <v>33180</v>
      </c>
      <c r="N412" s="51">
        <v>33180</v>
      </c>
      <c r="O412" s="43" t="s">
        <v>265</v>
      </c>
    </row>
    <row r="413" spans="1:15" x14ac:dyDescent="0.3">
      <c r="A413" s="20" t="s">
        <v>1439</v>
      </c>
      <c r="B413" s="20" t="s">
        <v>38</v>
      </c>
      <c r="C413" s="26" t="s">
        <v>247</v>
      </c>
      <c r="D413" s="26" t="s">
        <v>39</v>
      </c>
      <c r="E413" s="26" t="s">
        <v>27</v>
      </c>
      <c r="F413" s="26" t="s">
        <v>28</v>
      </c>
      <c r="G413" s="26" t="s">
        <v>29</v>
      </c>
      <c r="H413" s="35">
        <v>45610</v>
      </c>
      <c r="I413" s="52">
        <v>56</v>
      </c>
      <c r="J413" s="52">
        <v>1200</v>
      </c>
      <c r="K413" s="53">
        <v>0.14000000000000001</v>
      </c>
      <c r="L413" s="44" t="s">
        <v>30</v>
      </c>
      <c r="M413" s="54">
        <v>67200</v>
      </c>
      <c r="N413" s="54">
        <v>57792</v>
      </c>
      <c r="O413" s="44" t="s">
        <v>265</v>
      </c>
    </row>
    <row r="414" spans="1:15" x14ac:dyDescent="0.3">
      <c r="A414" s="19" t="s">
        <v>1440</v>
      </c>
      <c r="B414" s="19" t="s">
        <v>58</v>
      </c>
      <c r="C414" s="25" t="s">
        <v>255</v>
      </c>
      <c r="D414" s="25" t="s">
        <v>59</v>
      </c>
      <c r="E414" s="25" t="s">
        <v>45</v>
      </c>
      <c r="F414" s="25" t="s">
        <v>52</v>
      </c>
      <c r="G414" s="25" t="s">
        <v>35</v>
      </c>
      <c r="H414" s="34">
        <v>45601</v>
      </c>
      <c r="I414" s="49">
        <v>62</v>
      </c>
      <c r="J414" s="49">
        <v>2800</v>
      </c>
      <c r="K414" s="50">
        <v>0.1</v>
      </c>
      <c r="L414" s="43" t="s">
        <v>36</v>
      </c>
      <c r="M414" s="51">
        <v>173600</v>
      </c>
      <c r="N414" s="51">
        <v>156240</v>
      </c>
      <c r="O414" s="43" t="s">
        <v>267</v>
      </c>
    </row>
    <row r="415" spans="1:15" x14ac:dyDescent="0.3">
      <c r="A415" s="20" t="s">
        <v>1441</v>
      </c>
      <c r="B415" s="20" t="s">
        <v>32</v>
      </c>
      <c r="C415" s="26" t="s">
        <v>246</v>
      </c>
      <c r="D415" s="26" t="s">
        <v>26</v>
      </c>
      <c r="E415" s="26" t="s">
        <v>33</v>
      </c>
      <c r="F415" s="26" t="s">
        <v>46</v>
      </c>
      <c r="G415" s="26" t="s">
        <v>47</v>
      </c>
      <c r="H415" s="35">
        <v>45607</v>
      </c>
      <c r="I415" s="52">
        <v>190</v>
      </c>
      <c r="J415" s="52">
        <v>420</v>
      </c>
      <c r="K415" s="53">
        <v>0.11</v>
      </c>
      <c r="L415" s="44" t="s">
        <v>36</v>
      </c>
      <c r="M415" s="54">
        <v>79800</v>
      </c>
      <c r="N415" s="54">
        <v>71022</v>
      </c>
      <c r="O415" s="44" t="s">
        <v>265</v>
      </c>
    </row>
    <row r="416" spans="1:15" x14ac:dyDescent="0.3">
      <c r="A416" s="19" t="s">
        <v>1442</v>
      </c>
      <c r="B416" s="19" t="s">
        <v>55</v>
      </c>
      <c r="C416" s="25" t="s">
        <v>249</v>
      </c>
      <c r="D416" s="25" t="s">
        <v>39</v>
      </c>
      <c r="E416" s="25" t="s">
        <v>45</v>
      </c>
      <c r="F416" s="25" t="s">
        <v>34</v>
      </c>
      <c r="G416" s="25" t="s">
        <v>53</v>
      </c>
      <c r="H416" s="34">
        <v>45609</v>
      </c>
      <c r="I416" s="49">
        <v>102</v>
      </c>
      <c r="J416" s="49">
        <v>650</v>
      </c>
      <c r="K416" s="50">
        <v>0.05</v>
      </c>
      <c r="L416" s="43" t="s">
        <v>36</v>
      </c>
      <c r="M416" s="51">
        <v>66300</v>
      </c>
      <c r="N416" s="51">
        <v>62985</v>
      </c>
      <c r="O416" s="43" t="s">
        <v>265</v>
      </c>
    </row>
    <row r="417" spans="1:15" x14ac:dyDescent="0.3">
      <c r="A417" s="20" t="s">
        <v>1443</v>
      </c>
      <c r="B417" s="20" t="s">
        <v>38</v>
      </c>
      <c r="C417" s="26" t="s">
        <v>247</v>
      </c>
      <c r="D417" s="26" t="s">
        <v>39</v>
      </c>
      <c r="E417" s="26" t="s">
        <v>40</v>
      </c>
      <c r="F417" s="26" t="s">
        <v>46</v>
      </c>
      <c r="G417" s="26" t="s">
        <v>56</v>
      </c>
      <c r="H417" s="35">
        <v>45624</v>
      </c>
      <c r="I417" s="52">
        <v>53</v>
      </c>
      <c r="J417" s="52">
        <v>1200</v>
      </c>
      <c r="K417" s="53">
        <v>0.13</v>
      </c>
      <c r="L417" s="44" t="s">
        <v>30</v>
      </c>
      <c r="M417" s="54">
        <v>63600</v>
      </c>
      <c r="N417" s="54">
        <v>55332</v>
      </c>
      <c r="O417" s="44" t="s">
        <v>265</v>
      </c>
    </row>
    <row r="418" spans="1:15" x14ac:dyDescent="0.3">
      <c r="A418" s="19" t="s">
        <v>1444</v>
      </c>
      <c r="B418" s="19" t="s">
        <v>58</v>
      </c>
      <c r="C418" s="25" t="s">
        <v>255</v>
      </c>
      <c r="D418" s="25" t="s">
        <v>59</v>
      </c>
      <c r="E418" s="25" t="s">
        <v>33</v>
      </c>
      <c r="F418" s="25" t="s">
        <v>28</v>
      </c>
      <c r="G418" s="25" t="s">
        <v>47</v>
      </c>
      <c r="H418" s="34">
        <v>45624</v>
      </c>
      <c r="I418" s="49">
        <v>91</v>
      </c>
      <c r="J418" s="49">
        <v>2800</v>
      </c>
      <c r="K418" s="50">
        <v>0.1</v>
      </c>
      <c r="L418" s="43" t="s">
        <v>36</v>
      </c>
      <c r="M418" s="51">
        <v>254800</v>
      </c>
      <c r="N418" s="51">
        <v>229320</v>
      </c>
      <c r="O418" s="43" t="s">
        <v>267</v>
      </c>
    </row>
    <row r="419" spans="1:15" x14ac:dyDescent="0.3">
      <c r="A419" s="20" t="s">
        <v>1445</v>
      </c>
      <c r="B419" s="20" t="s">
        <v>49</v>
      </c>
      <c r="C419" s="26" t="s">
        <v>251</v>
      </c>
      <c r="D419" s="26" t="s">
        <v>50</v>
      </c>
      <c r="E419" s="26" t="s">
        <v>27</v>
      </c>
      <c r="F419" s="26" t="s">
        <v>46</v>
      </c>
      <c r="G419" s="26" t="s">
        <v>42</v>
      </c>
      <c r="H419" s="35">
        <v>45607</v>
      </c>
      <c r="I419" s="52">
        <v>134</v>
      </c>
      <c r="J419" s="52">
        <v>895</v>
      </c>
      <c r="K419" s="53">
        <v>0.1</v>
      </c>
      <c r="L419" s="44" t="s">
        <v>36</v>
      </c>
      <c r="M419" s="54">
        <v>119930</v>
      </c>
      <c r="N419" s="54">
        <v>107937</v>
      </c>
      <c r="O419" s="44" t="s">
        <v>267</v>
      </c>
    </row>
    <row r="420" spans="1:15" x14ac:dyDescent="0.3">
      <c r="A420" s="19" t="s">
        <v>1446</v>
      </c>
      <c r="B420" s="19" t="s">
        <v>44</v>
      </c>
      <c r="C420" s="25" t="s">
        <v>254</v>
      </c>
      <c r="D420" s="25" t="s">
        <v>39</v>
      </c>
      <c r="E420" s="25" t="s">
        <v>45</v>
      </c>
      <c r="F420" s="25" t="s">
        <v>41</v>
      </c>
      <c r="G420" s="25" t="s">
        <v>29</v>
      </c>
      <c r="H420" s="34">
        <v>45598</v>
      </c>
      <c r="I420" s="49">
        <v>74</v>
      </c>
      <c r="J420" s="49">
        <v>200</v>
      </c>
      <c r="K420" s="50">
        <v>0.03</v>
      </c>
      <c r="L420" s="43" t="s">
        <v>30</v>
      </c>
      <c r="M420" s="51">
        <v>14800</v>
      </c>
      <c r="N420" s="51">
        <v>14356</v>
      </c>
      <c r="O420" s="43" t="s">
        <v>265</v>
      </c>
    </row>
    <row r="421" spans="1:15" x14ac:dyDescent="0.3">
      <c r="A421" s="20" t="s">
        <v>1447</v>
      </c>
      <c r="B421" s="20" t="s">
        <v>16</v>
      </c>
      <c r="C421" s="26" t="s">
        <v>250</v>
      </c>
      <c r="D421" s="26" t="s">
        <v>39</v>
      </c>
      <c r="E421" s="26" t="s">
        <v>51</v>
      </c>
      <c r="F421" s="26" t="s">
        <v>52</v>
      </c>
      <c r="G421" s="26" t="s">
        <v>35</v>
      </c>
      <c r="H421" s="35">
        <v>45600</v>
      </c>
      <c r="I421" s="52">
        <v>20</v>
      </c>
      <c r="J421" s="52">
        <v>990</v>
      </c>
      <c r="K421" s="53">
        <v>7.0000000000000007E-2</v>
      </c>
      <c r="L421" s="44" t="s">
        <v>36</v>
      </c>
      <c r="M421" s="54">
        <v>19800</v>
      </c>
      <c r="N421" s="54">
        <v>18414</v>
      </c>
      <c r="O421" s="44" t="s">
        <v>265</v>
      </c>
    </row>
    <row r="422" spans="1:15" x14ac:dyDescent="0.3">
      <c r="A422" s="19" t="s">
        <v>1448</v>
      </c>
      <c r="B422" s="19" t="s">
        <v>63</v>
      </c>
      <c r="C422" s="25" t="s">
        <v>253</v>
      </c>
      <c r="D422" s="25" t="s">
        <v>50</v>
      </c>
      <c r="E422" s="25" t="s">
        <v>40</v>
      </c>
      <c r="F422" s="25" t="s">
        <v>28</v>
      </c>
      <c r="G422" s="25" t="s">
        <v>53</v>
      </c>
      <c r="H422" s="34">
        <v>45609</v>
      </c>
      <c r="I422" s="49">
        <v>82</v>
      </c>
      <c r="J422" s="49">
        <v>750</v>
      </c>
      <c r="K422" s="50">
        <v>0.15</v>
      </c>
      <c r="L422" s="43" t="s">
        <v>36</v>
      </c>
      <c r="M422" s="51">
        <v>61500</v>
      </c>
      <c r="N422" s="51">
        <v>52275</v>
      </c>
      <c r="O422" s="43" t="s">
        <v>265</v>
      </c>
    </row>
    <row r="423" spans="1:15" x14ac:dyDescent="0.3">
      <c r="A423" s="20" t="s">
        <v>1449</v>
      </c>
      <c r="B423" s="20" t="s">
        <v>32</v>
      </c>
      <c r="C423" s="26" t="s">
        <v>246</v>
      </c>
      <c r="D423" s="26" t="s">
        <v>26</v>
      </c>
      <c r="E423" s="26" t="s">
        <v>51</v>
      </c>
      <c r="F423" s="26" t="s">
        <v>34</v>
      </c>
      <c r="G423" s="26" t="s">
        <v>53</v>
      </c>
      <c r="H423" s="35">
        <v>45619</v>
      </c>
      <c r="I423" s="52">
        <v>138</v>
      </c>
      <c r="J423" s="52">
        <v>420</v>
      </c>
      <c r="K423" s="53">
        <v>0.12</v>
      </c>
      <c r="L423" s="44" t="s">
        <v>30</v>
      </c>
      <c r="M423" s="54">
        <v>57960</v>
      </c>
      <c r="N423" s="54">
        <v>51004.800000000003</v>
      </c>
      <c r="O423" s="44" t="s">
        <v>265</v>
      </c>
    </row>
    <row r="424" spans="1:15" x14ac:dyDescent="0.3">
      <c r="A424" s="19" t="s">
        <v>1450</v>
      </c>
      <c r="B424" s="19" t="s">
        <v>44</v>
      </c>
      <c r="C424" s="25" t="s">
        <v>254</v>
      </c>
      <c r="D424" s="25" t="s">
        <v>39</v>
      </c>
      <c r="E424" s="25" t="s">
        <v>51</v>
      </c>
      <c r="F424" s="25" t="s">
        <v>34</v>
      </c>
      <c r="G424" s="25" t="s">
        <v>56</v>
      </c>
      <c r="H424" s="34">
        <v>45609</v>
      </c>
      <c r="I424" s="49">
        <v>174</v>
      </c>
      <c r="J424" s="49">
        <v>200</v>
      </c>
      <c r="K424" s="50">
        <v>0.03</v>
      </c>
      <c r="L424" s="43" t="s">
        <v>30</v>
      </c>
      <c r="M424" s="51">
        <v>34800</v>
      </c>
      <c r="N424" s="51">
        <v>33756</v>
      </c>
      <c r="O424" s="43" t="s">
        <v>265</v>
      </c>
    </row>
    <row r="425" spans="1:15" x14ac:dyDescent="0.3">
      <c r="A425" s="20" t="s">
        <v>1451</v>
      </c>
      <c r="B425" s="20" t="s">
        <v>32</v>
      </c>
      <c r="C425" s="26" t="s">
        <v>246</v>
      </c>
      <c r="D425" s="26" t="s">
        <v>26</v>
      </c>
      <c r="E425" s="26" t="s">
        <v>51</v>
      </c>
      <c r="F425" s="26" t="s">
        <v>28</v>
      </c>
      <c r="G425" s="26" t="s">
        <v>53</v>
      </c>
      <c r="H425" s="35">
        <v>45617</v>
      </c>
      <c r="I425" s="52">
        <v>52</v>
      </c>
      <c r="J425" s="52">
        <v>420</v>
      </c>
      <c r="K425" s="53">
        <v>0</v>
      </c>
      <c r="L425" s="44" t="s">
        <v>36</v>
      </c>
      <c r="M425" s="54">
        <v>21840</v>
      </c>
      <c r="N425" s="54">
        <v>21840</v>
      </c>
      <c r="O425" s="44" t="s">
        <v>265</v>
      </c>
    </row>
    <row r="426" spans="1:15" x14ac:dyDescent="0.3">
      <c r="A426" s="19" t="s">
        <v>1452</v>
      </c>
      <c r="B426" s="19" t="s">
        <v>58</v>
      </c>
      <c r="C426" s="25" t="s">
        <v>255</v>
      </c>
      <c r="D426" s="25" t="s">
        <v>59</v>
      </c>
      <c r="E426" s="25" t="s">
        <v>33</v>
      </c>
      <c r="F426" s="25" t="s">
        <v>46</v>
      </c>
      <c r="G426" s="25" t="s">
        <v>42</v>
      </c>
      <c r="H426" s="34">
        <v>45608</v>
      </c>
      <c r="I426" s="49">
        <v>10</v>
      </c>
      <c r="J426" s="49">
        <v>2800</v>
      </c>
      <c r="K426" s="50">
        <v>0</v>
      </c>
      <c r="L426" s="43" t="s">
        <v>36</v>
      </c>
      <c r="M426" s="51">
        <v>28000</v>
      </c>
      <c r="N426" s="51">
        <v>28000</v>
      </c>
      <c r="O426" s="43" t="s">
        <v>265</v>
      </c>
    </row>
    <row r="427" spans="1:15" x14ac:dyDescent="0.3">
      <c r="A427" s="20" t="s">
        <v>1453</v>
      </c>
      <c r="B427" s="20" t="s">
        <v>25</v>
      </c>
      <c r="C427" s="26" t="s">
        <v>257</v>
      </c>
      <c r="D427" s="26" t="s">
        <v>26</v>
      </c>
      <c r="E427" s="26" t="s">
        <v>33</v>
      </c>
      <c r="F427" s="26" t="s">
        <v>28</v>
      </c>
      <c r="G427" s="26" t="s">
        <v>47</v>
      </c>
      <c r="H427" s="35">
        <v>45609</v>
      </c>
      <c r="I427" s="52">
        <v>95</v>
      </c>
      <c r="J427" s="52">
        <v>350</v>
      </c>
      <c r="K427" s="53">
        <v>0</v>
      </c>
      <c r="L427" s="44" t="s">
        <v>36</v>
      </c>
      <c r="M427" s="54">
        <v>33250</v>
      </c>
      <c r="N427" s="54">
        <v>33250</v>
      </c>
      <c r="O427" s="44" t="s">
        <v>265</v>
      </c>
    </row>
    <row r="428" spans="1:15" x14ac:dyDescent="0.3">
      <c r="A428" s="19" t="s">
        <v>1454</v>
      </c>
      <c r="B428" s="19" t="s">
        <v>25</v>
      </c>
      <c r="C428" s="25" t="s">
        <v>257</v>
      </c>
      <c r="D428" s="25" t="s">
        <v>26</v>
      </c>
      <c r="E428" s="25" t="s">
        <v>27</v>
      </c>
      <c r="F428" s="25" t="s">
        <v>34</v>
      </c>
      <c r="G428" s="25" t="s">
        <v>29</v>
      </c>
      <c r="H428" s="34">
        <v>45613</v>
      </c>
      <c r="I428" s="49">
        <v>120</v>
      </c>
      <c r="J428" s="49">
        <v>350</v>
      </c>
      <c r="K428" s="50">
        <v>0</v>
      </c>
      <c r="L428" s="43" t="s">
        <v>30</v>
      </c>
      <c r="M428" s="51">
        <v>42000</v>
      </c>
      <c r="N428" s="51">
        <v>42000</v>
      </c>
      <c r="O428" s="43" t="s">
        <v>265</v>
      </c>
    </row>
    <row r="429" spans="1:15" x14ac:dyDescent="0.3">
      <c r="A429" s="20" t="s">
        <v>1455</v>
      </c>
      <c r="B429" s="20" t="s">
        <v>32</v>
      </c>
      <c r="C429" s="26" t="s">
        <v>246</v>
      </c>
      <c r="D429" s="26" t="s">
        <v>26</v>
      </c>
      <c r="E429" s="26" t="s">
        <v>40</v>
      </c>
      <c r="F429" s="26" t="s">
        <v>34</v>
      </c>
      <c r="G429" s="26" t="s">
        <v>53</v>
      </c>
      <c r="H429" s="35">
        <v>45609</v>
      </c>
      <c r="I429" s="52">
        <v>91</v>
      </c>
      <c r="J429" s="52">
        <v>420</v>
      </c>
      <c r="K429" s="53">
        <v>0</v>
      </c>
      <c r="L429" s="44" t="s">
        <v>30</v>
      </c>
      <c r="M429" s="54">
        <v>38220</v>
      </c>
      <c r="N429" s="54">
        <v>38220</v>
      </c>
      <c r="O429" s="44" t="s">
        <v>265</v>
      </c>
    </row>
    <row r="430" spans="1:15" x14ac:dyDescent="0.3">
      <c r="A430" s="19" t="s">
        <v>1456</v>
      </c>
      <c r="B430" s="19" t="s">
        <v>32</v>
      </c>
      <c r="C430" s="25" t="s">
        <v>246</v>
      </c>
      <c r="D430" s="25" t="s">
        <v>26</v>
      </c>
      <c r="E430" s="25" t="s">
        <v>51</v>
      </c>
      <c r="F430" s="25" t="s">
        <v>46</v>
      </c>
      <c r="G430" s="25" t="s">
        <v>47</v>
      </c>
      <c r="H430" s="34">
        <v>45601</v>
      </c>
      <c r="I430" s="49">
        <v>177</v>
      </c>
      <c r="J430" s="49">
        <v>420</v>
      </c>
      <c r="K430" s="50">
        <v>0.1</v>
      </c>
      <c r="L430" s="43" t="s">
        <v>30</v>
      </c>
      <c r="M430" s="51">
        <v>74340</v>
      </c>
      <c r="N430" s="51">
        <v>66906</v>
      </c>
      <c r="O430" s="43" t="s">
        <v>265</v>
      </c>
    </row>
    <row r="431" spans="1:15" x14ac:dyDescent="0.3">
      <c r="A431" s="20" t="s">
        <v>1457</v>
      </c>
      <c r="B431" s="20" t="s">
        <v>16</v>
      </c>
      <c r="C431" s="26" t="s">
        <v>250</v>
      </c>
      <c r="D431" s="26" t="s">
        <v>39</v>
      </c>
      <c r="E431" s="26" t="s">
        <v>40</v>
      </c>
      <c r="F431" s="26" t="s">
        <v>41</v>
      </c>
      <c r="G431" s="26" t="s">
        <v>53</v>
      </c>
      <c r="H431" s="35">
        <v>45623</v>
      </c>
      <c r="I431" s="52">
        <v>118</v>
      </c>
      <c r="J431" s="52">
        <v>990</v>
      </c>
      <c r="K431" s="53">
        <v>0.14000000000000001</v>
      </c>
      <c r="L431" s="44" t="s">
        <v>36</v>
      </c>
      <c r="M431" s="54">
        <v>116820</v>
      </c>
      <c r="N431" s="54">
        <v>100465.2</v>
      </c>
      <c r="O431" s="44" t="s">
        <v>267</v>
      </c>
    </row>
    <row r="432" spans="1:15" x14ac:dyDescent="0.3">
      <c r="A432" s="19" t="s">
        <v>1458</v>
      </c>
      <c r="B432" s="19" t="s">
        <v>44</v>
      </c>
      <c r="C432" s="25" t="s">
        <v>254</v>
      </c>
      <c r="D432" s="25" t="s">
        <v>39</v>
      </c>
      <c r="E432" s="25" t="s">
        <v>40</v>
      </c>
      <c r="F432" s="25" t="s">
        <v>52</v>
      </c>
      <c r="G432" s="25" t="s">
        <v>42</v>
      </c>
      <c r="H432" s="34">
        <v>45603</v>
      </c>
      <c r="I432" s="49">
        <v>215</v>
      </c>
      <c r="J432" s="49">
        <v>200</v>
      </c>
      <c r="K432" s="50">
        <v>7.0000000000000007E-2</v>
      </c>
      <c r="L432" s="43" t="s">
        <v>30</v>
      </c>
      <c r="M432" s="51">
        <v>43000</v>
      </c>
      <c r="N432" s="51">
        <v>39990</v>
      </c>
      <c r="O432" s="43" t="s">
        <v>265</v>
      </c>
    </row>
    <row r="433" spans="1:15" x14ac:dyDescent="0.3">
      <c r="A433" s="20" t="s">
        <v>1459</v>
      </c>
      <c r="B433" s="20" t="s">
        <v>49</v>
      </c>
      <c r="C433" s="26" t="s">
        <v>251</v>
      </c>
      <c r="D433" s="26" t="s">
        <v>50</v>
      </c>
      <c r="E433" s="26" t="s">
        <v>33</v>
      </c>
      <c r="F433" s="26" t="s">
        <v>46</v>
      </c>
      <c r="G433" s="26" t="s">
        <v>42</v>
      </c>
      <c r="H433" s="35">
        <v>45623</v>
      </c>
      <c r="I433" s="52">
        <v>41</v>
      </c>
      <c r="J433" s="52">
        <v>895</v>
      </c>
      <c r="K433" s="53">
        <v>0.12</v>
      </c>
      <c r="L433" s="44" t="s">
        <v>30</v>
      </c>
      <c r="M433" s="54">
        <v>36695</v>
      </c>
      <c r="N433" s="54">
        <v>32291.599999999999</v>
      </c>
      <c r="O433" s="44" t="s">
        <v>265</v>
      </c>
    </row>
    <row r="434" spans="1:15" x14ac:dyDescent="0.3">
      <c r="A434" s="19" t="s">
        <v>1460</v>
      </c>
      <c r="B434" s="19" t="s">
        <v>38</v>
      </c>
      <c r="C434" s="25" t="s">
        <v>247</v>
      </c>
      <c r="D434" s="25" t="s">
        <v>39</v>
      </c>
      <c r="E434" s="25" t="s">
        <v>45</v>
      </c>
      <c r="F434" s="25" t="s">
        <v>52</v>
      </c>
      <c r="G434" s="25" t="s">
        <v>35</v>
      </c>
      <c r="H434" s="34">
        <v>45606</v>
      </c>
      <c r="I434" s="49">
        <v>87</v>
      </c>
      <c r="J434" s="49">
        <v>1200</v>
      </c>
      <c r="K434" s="50">
        <v>0</v>
      </c>
      <c r="L434" s="43" t="s">
        <v>36</v>
      </c>
      <c r="M434" s="51">
        <v>104400</v>
      </c>
      <c r="N434" s="51">
        <v>104400</v>
      </c>
      <c r="O434" s="43" t="s">
        <v>267</v>
      </c>
    </row>
    <row r="435" spans="1:15" x14ac:dyDescent="0.3">
      <c r="A435" s="20" t="s">
        <v>1461</v>
      </c>
      <c r="B435" s="20" t="s">
        <v>49</v>
      </c>
      <c r="C435" s="26" t="s">
        <v>251</v>
      </c>
      <c r="D435" s="26" t="s">
        <v>50</v>
      </c>
      <c r="E435" s="26" t="s">
        <v>27</v>
      </c>
      <c r="F435" s="26" t="s">
        <v>34</v>
      </c>
      <c r="G435" s="26" t="s">
        <v>29</v>
      </c>
      <c r="H435" s="35">
        <v>45599</v>
      </c>
      <c r="I435" s="52">
        <v>75</v>
      </c>
      <c r="J435" s="52">
        <v>895</v>
      </c>
      <c r="K435" s="53">
        <v>0.15</v>
      </c>
      <c r="L435" s="44" t="s">
        <v>36</v>
      </c>
      <c r="M435" s="54">
        <v>67125</v>
      </c>
      <c r="N435" s="54">
        <v>57056.25</v>
      </c>
      <c r="O435" s="44" t="s">
        <v>265</v>
      </c>
    </row>
    <row r="436" spans="1:15" x14ac:dyDescent="0.3">
      <c r="A436" s="19" t="s">
        <v>1462</v>
      </c>
      <c r="B436" s="19" t="s">
        <v>49</v>
      </c>
      <c r="C436" s="25" t="s">
        <v>251</v>
      </c>
      <c r="D436" s="25" t="s">
        <v>50</v>
      </c>
      <c r="E436" s="25" t="s">
        <v>40</v>
      </c>
      <c r="F436" s="25" t="s">
        <v>41</v>
      </c>
      <c r="G436" s="25" t="s">
        <v>35</v>
      </c>
      <c r="H436" s="34">
        <v>45624</v>
      </c>
      <c r="I436" s="49">
        <v>33</v>
      </c>
      <c r="J436" s="49">
        <v>895</v>
      </c>
      <c r="K436" s="50">
        <v>0.11</v>
      </c>
      <c r="L436" s="43" t="s">
        <v>36</v>
      </c>
      <c r="M436" s="51">
        <v>29535</v>
      </c>
      <c r="N436" s="51">
        <v>26286.15</v>
      </c>
      <c r="O436" s="43" t="s">
        <v>265</v>
      </c>
    </row>
    <row r="437" spans="1:15" x14ac:dyDescent="0.3">
      <c r="A437" s="20" t="s">
        <v>1463</v>
      </c>
      <c r="B437" s="20" t="s">
        <v>63</v>
      </c>
      <c r="C437" s="26" t="s">
        <v>253</v>
      </c>
      <c r="D437" s="26" t="s">
        <v>50</v>
      </c>
      <c r="E437" s="26" t="s">
        <v>27</v>
      </c>
      <c r="F437" s="26" t="s">
        <v>28</v>
      </c>
      <c r="G437" s="26" t="s">
        <v>42</v>
      </c>
      <c r="H437" s="35">
        <v>45597</v>
      </c>
      <c r="I437" s="52">
        <v>112</v>
      </c>
      <c r="J437" s="52">
        <v>750</v>
      </c>
      <c r="K437" s="53">
        <v>0.12</v>
      </c>
      <c r="L437" s="44" t="s">
        <v>30</v>
      </c>
      <c r="M437" s="54">
        <v>84000</v>
      </c>
      <c r="N437" s="54">
        <v>73920</v>
      </c>
      <c r="O437" s="44" t="s">
        <v>265</v>
      </c>
    </row>
    <row r="438" spans="1:15" x14ac:dyDescent="0.3">
      <c r="A438" s="19" t="s">
        <v>1464</v>
      </c>
      <c r="B438" s="19" t="s">
        <v>58</v>
      </c>
      <c r="C438" s="25" t="s">
        <v>255</v>
      </c>
      <c r="D438" s="25" t="s">
        <v>59</v>
      </c>
      <c r="E438" s="25" t="s">
        <v>33</v>
      </c>
      <c r="F438" s="25" t="s">
        <v>34</v>
      </c>
      <c r="G438" s="25" t="s">
        <v>56</v>
      </c>
      <c r="H438" s="34">
        <v>45606</v>
      </c>
      <c r="I438" s="49">
        <v>26</v>
      </c>
      <c r="J438" s="49">
        <v>2800</v>
      </c>
      <c r="K438" s="50">
        <v>0.13</v>
      </c>
      <c r="L438" s="43" t="s">
        <v>30</v>
      </c>
      <c r="M438" s="51">
        <v>72800</v>
      </c>
      <c r="N438" s="51">
        <v>63336</v>
      </c>
      <c r="O438" s="43" t="s">
        <v>265</v>
      </c>
    </row>
    <row r="439" spans="1:15" x14ac:dyDescent="0.3">
      <c r="A439" s="20" t="s">
        <v>1465</v>
      </c>
      <c r="B439" s="20" t="s">
        <v>16</v>
      </c>
      <c r="C439" s="26" t="s">
        <v>250</v>
      </c>
      <c r="D439" s="26" t="s">
        <v>39</v>
      </c>
      <c r="E439" s="26" t="s">
        <v>27</v>
      </c>
      <c r="F439" s="26" t="s">
        <v>34</v>
      </c>
      <c r="G439" s="26" t="s">
        <v>29</v>
      </c>
      <c r="H439" s="35">
        <v>45605</v>
      </c>
      <c r="I439" s="52">
        <v>98</v>
      </c>
      <c r="J439" s="52">
        <v>990</v>
      </c>
      <c r="K439" s="53">
        <v>0.13</v>
      </c>
      <c r="L439" s="44" t="s">
        <v>36</v>
      </c>
      <c r="M439" s="54">
        <v>97020</v>
      </c>
      <c r="N439" s="54">
        <v>84407.4</v>
      </c>
      <c r="O439" s="44" t="s">
        <v>265</v>
      </c>
    </row>
    <row r="440" spans="1:15" x14ac:dyDescent="0.3">
      <c r="A440" s="19" t="s">
        <v>1466</v>
      </c>
      <c r="B440" s="19" t="s">
        <v>61</v>
      </c>
      <c r="C440" s="25" t="s">
        <v>244</v>
      </c>
      <c r="D440" s="25" t="s">
        <v>26</v>
      </c>
      <c r="E440" s="25" t="s">
        <v>40</v>
      </c>
      <c r="F440" s="25" t="s">
        <v>41</v>
      </c>
      <c r="G440" s="25" t="s">
        <v>35</v>
      </c>
      <c r="H440" s="34">
        <v>45622</v>
      </c>
      <c r="I440" s="49">
        <v>166</v>
      </c>
      <c r="J440" s="49">
        <v>280</v>
      </c>
      <c r="K440" s="50">
        <v>0.08</v>
      </c>
      <c r="L440" s="43" t="s">
        <v>30</v>
      </c>
      <c r="M440" s="51">
        <v>46480</v>
      </c>
      <c r="N440" s="51">
        <v>42761.599999999999</v>
      </c>
      <c r="O440" s="43" t="s">
        <v>265</v>
      </c>
    </row>
    <row r="441" spans="1:15" x14ac:dyDescent="0.3">
      <c r="A441" s="20" t="s">
        <v>1467</v>
      </c>
      <c r="B441" s="20" t="s">
        <v>63</v>
      </c>
      <c r="C441" s="26" t="s">
        <v>253</v>
      </c>
      <c r="D441" s="26" t="s">
        <v>50</v>
      </c>
      <c r="E441" s="26" t="s">
        <v>33</v>
      </c>
      <c r="F441" s="26" t="s">
        <v>52</v>
      </c>
      <c r="G441" s="26" t="s">
        <v>47</v>
      </c>
      <c r="H441" s="35">
        <v>45603</v>
      </c>
      <c r="I441" s="52">
        <v>105</v>
      </c>
      <c r="J441" s="52">
        <v>750</v>
      </c>
      <c r="K441" s="53">
        <v>0.1</v>
      </c>
      <c r="L441" s="44" t="s">
        <v>36</v>
      </c>
      <c r="M441" s="54">
        <v>78750</v>
      </c>
      <c r="N441" s="54">
        <v>70875</v>
      </c>
      <c r="O441" s="44" t="s">
        <v>265</v>
      </c>
    </row>
    <row r="442" spans="1:15" x14ac:dyDescent="0.3">
      <c r="A442" s="19" t="s">
        <v>1468</v>
      </c>
      <c r="B442" s="19" t="s">
        <v>16</v>
      </c>
      <c r="C442" s="25" t="s">
        <v>250</v>
      </c>
      <c r="D442" s="25" t="s">
        <v>39</v>
      </c>
      <c r="E442" s="25" t="s">
        <v>45</v>
      </c>
      <c r="F442" s="25" t="s">
        <v>34</v>
      </c>
      <c r="G442" s="25" t="s">
        <v>42</v>
      </c>
      <c r="H442" s="34">
        <v>45617</v>
      </c>
      <c r="I442" s="49">
        <v>20</v>
      </c>
      <c r="J442" s="49">
        <v>990</v>
      </c>
      <c r="K442" s="50">
        <v>0</v>
      </c>
      <c r="L442" s="43" t="s">
        <v>36</v>
      </c>
      <c r="M442" s="51">
        <v>19800</v>
      </c>
      <c r="N442" s="51">
        <v>19800</v>
      </c>
      <c r="O442" s="43" t="s">
        <v>265</v>
      </c>
    </row>
    <row r="443" spans="1:15" x14ac:dyDescent="0.3">
      <c r="A443" s="20" t="s">
        <v>1469</v>
      </c>
      <c r="B443" s="20" t="s">
        <v>16</v>
      </c>
      <c r="C443" s="26" t="s">
        <v>250</v>
      </c>
      <c r="D443" s="26" t="s">
        <v>39</v>
      </c>
      <c r="E443" s="26" t="s">
        <v>45</v>
      </c>
      <c r="F443" s="26" t="s">
        <v>41</v>
      </c>
      <c r="G443" s="26" t="s">
        <v>56</v>
      </c>
      <c r="H443" s="35">
        <v>45624</v>
      </c>
      <c r="I443" s="52">
        <v>30</v>
      </c>
      <c r="J443" s="52">
        <v>990</v>
      </c>
      <c r="K443" s="53">
        <v>0.05</v>
      </c>
      <c r="L443" s="44" t="s">
        <v>30</v>
      </c>
      <c r="M443" s="54">
        <v>29700</v>
      </c>
      <c r="N443" s="54">
        <v>28215</v>
      </c>
      <c r="O443" s="44" t="s">
        <v>265</v>
      </c>
    </row>
    <row r="444" spans="1:15" x14ac:dyDescent="0.3">
      <c r="A444" s="19" t="s">
        <v>1470</v>
      </c>
      <c r="B444" s="19" t="s">
        <v>49</v>
      </c>
      <c r="C444" s="25" t="s">
        <v>251</v>
      </c>
      <c r="D444" s="25" t="s">
        <v>50</v>
      </c>
      <c r="E444" s="25" t="s">
        <v>33</v>
      </c>
      <c r="F444" s="25" t="s">
        <v>41</v>
      </c>
      <c r="G444" s="25" t="s">
        <v>56</v>
      </c>
      <c r="H444" s="34">
        <v>45625</v>
      </c>
      <c r="I444" s="49">
        <v>129</v>
      </c>
      <c r="J444" s="49">
        <v>895</v>
      </c>
      <c r="K444" s="50">
        <v>0.13</v>
      </c>
      <c r="L444" s="43" t="s">
        <v>36</v>
      </c>
      <c r="M444" s="51">
        <v>115455</v>
      </c>
      <c r="N444" s="51">
        <v>100445.85</v>
      </c>
      <c r="O444" s="43" t="s">
        <v>267</v>
      </c>
    </row>
    <row r="445" spans="1:15" x14ac:dyDescent="0.3">
      <c r="A445" s="20" t="s">
        <v>1471</v>
      </c>
      <c r="B445" s="20" t="s">
        <v>16</v>
      </c>
      <c r="C445" s="26" t="s">
        <v>250</v>
      </c>
      <c r="D445" s="26" t="s">
        <v>39</v>
      </c>
      <c r="E445" s="26" t="s">
        <v>40</v>
      </c>
      <c r="F445" s="26" t="s">
        <v>28</v>
      </c>
      <c r="G445" s="26" t="s">
        <v>56</v>
      </c>
      <c r="H445" s="35">
        <v>45605</v>
      </c>
      <c r="I445" s="52">
        <v>37</v>
      </c>
      <c r="J445" s="52">
        <v>990</v>
      </c>
      <c r="K445" s="53">
        <v>0</v>
      </c>
      <c r="L445" s="44" t="s">
        <v>30</v>
      </c>
      <c r="M445" s="54">
        <v>36630</v>
      </c>
      <c r="N445" s="54">
        <v>36630</v>
      </c>
      <c r="O445" s="44" t="s">
        <v>265</v>
      </c>
    </row>
    <row r="446" spans="1:15" x14ac:dyDescent="0.3">
      <c r="A446" s="19" t="s">
        <v>1472</v>
      </c>
      <c r="B446" s="19" t="s">
        <v>49</v>
      </c>
      <c r="C446" s="25" t="s">
        <v>251</v>
      </c>
      <c r="D446" s="25" t="s">
        <v>50</v>
      </c>
      <c r="E446" s="25" t="s">
        <v>51</v>
      </c>
      <c r="F446" s="25" t="s">
        <v>52</v>
      </c>
      <c r="G446" s="25" t="s">
        <v>47</v>
      </c>
      <c r="H446" s="34">
        <v>45609</v>
      </c>
      <c r="I446" s="49">
        <v>111</v>
      </c>
      <c r="J446" s="49">
        <v>895</v>
      </c>
      <c r="K446" s="50">
        <v>0.14000000000000001</v>
      </c>
      <c r="L446" s="43" t="s">
        <v>36</v>
      </c>
      <c r="M446" s="51">
        <v>99345</v>
      </c>
      <c r="N446" s="51">
        <v>85436.7</v>
      </c>
      <c r="O446" s="43" t="s">
        <v>265</v>
      </c>
    </row>
    <row r="447" spans="1:15" x14ac:dyDescent="0.3">
      <c r="A447" s="20" t="s">
        <v>1473</v>
      </c>
      <c r="B447" s="20" t="s">
        <v>49</v>
      </c>
      <c r="C447" s="26" t="s">
        <v>251</v>
      </c>
      <c r="D447" s="26" t="s">
        <v>50</v>
      </c>
      <c r="E447" s="26" t="s">
        <v>51</v>
      </c>
      <c r="F447" s="26" t="s">
        <v>41</v>
      </c>
      <c r="G447" s="26" t="s">
        <v>53</v>
      </c>
      <c r="H447" s="35">
        <v>45611</v>
      </c>
      <c r="I447" s="52">
        <v>65</v>
      </c>
      <c r="J447" s="52">
        <v>895</v>
      </c>
      <c r="K447" s="53">
        <v>0</v>
      </c>
      <c r="L447" s="44" t="s">
        <v>30</v>
      </c>
      <c r="M447" s="54">
        <v>58175</v>
      </c>
      <c r="N447" s="54">
        <v>58175</v>
      </c>
      <c r="O447" s="44" t="s">
        <v>265</v>
      </c>
    </row>
    <row r="448" spans="1:15" x14ac:dyDescent="0.3">
      <c r="A448" s="19" t="s">
        <v>1474</v>
      </c>
      <c r="B448" s="19" t="s">
        <v>32</v>
      </c>
      <c r="C448" s="25" t="s">
        <v>246</v>
      </c>
      <c r="D448" s="25" t="s">
        <v>26</v>
      </c>
      <c r="E448" s="25" t="s">
        <v>33</v>
      </c>
      <c r="F448" s="25" t="s">
        <v>52</v>
      </c>
      <c r="G448" s="25" t="s">
        <v>47</v>
      </c>
      <c r="H448" s="34">
        <v>45607</v>
      </c>
      <c r="I448" s="49">
        <v>157</v>
      </c>
      <c r="J448" s="49">
        <v>420</v>
      </c>
      <c r="K448" s="50">
        <v>0.11</v>
      </c>
      <c r="L448" s="43" t="s">
        <v>36</v>
      </c>
      <c r="M448" s="51">
        <v>65940</v>
      </c>
      <c r="N448" s="51">
        <v>58686.6</v>
      </c>
      <c r="O448" s="43" t="s">
        <v>265</v>
      </c>
    </row>
    <row r="449" spans="1:15" x14ac:dyDescent="0.3">
      <c r="A449" s="20" t="s">
        <v>1475</v>
      </c>
      <c r="B449" s="20" t="s">
        <v>49</v>
      </c>
      <c r="C449" s="26" t="s">
        <v>251</v>
      </c>
      <c r="D449" s="26" t="s">
        <v>50</v>
      </c>
      <c r="E449" s="26" t="s">
        <v>27</v>
      </c>
      <c r="F449" s="26" t="s">
        <v>52</v>
      </c>
      <c r="G449" s="26" t="s">
        <v>56</v>
      </c>
      <c r="H449" s="35">
        <v>45598</v>
      </c>
      <c r="I449" s="52">
        <v>147</v>
      </c>
      <c r="J449" s="52">
        <v>895</v>
      </c>
      <c r="K449" s="53">
        <v>7.0000000000000007E-2</v>
      </c>
      <c r="L449" s="44" t="s">
        <v>36</v>
      </c>
      <c r="M449" s="54">
        <v>131565</v>
      </c>
      <c r="N449" s="54">
        <v>122355.45</v>
      </c>
      <c r="O449" s="44" t="s">
        <v>267</v>
      </c>
    </row>
    <row r="450" spans="1:15" x14ac:dyDescent="0.3">
      <c r="A450" s="19" t="s">
        <v>1476</v>
      </c>
      <c r="B450" s="19" t="s">
        <v>32</v>
      </c>
      <c r="C450" s="25" t="s">
        <v>246</v>
      </c>
      <c r="D450" s="25" t="s">
        <v>26</v>
      </c>
      <c r="E450" s="25" t="s">
        <v>33</v>
      </c>
      <c r="F450" s="25" t="s">
        <v>46</v>
      </c>
      <c r="G450" s="25" t="s">
        <v>29</v>
      </c>
      <c r="H450" s="34">
        <v>45615</v>
      </c>
      <c r="I450" s="49">
        <v>80</v>
      </c>
      <c r="J450" s="49">
        <v>420</v>
      </c>
      <c r="K450" s="50">
        <v>0.14000000000000001</v>
      </c>
      <c r="L450" s="43" t="s">
        <v>36</v>
      </c>
      <c r="M450" s="51">
        <v>33600</v>
      </c>
      <c r="N450" s="51">
        <v>28896</v>
      </c>
      <c r="O450" s="43" t="s">
        <v>265</v>
      </c>
    </row>
    <row r="451" spans="1:15" x14ac:dyDescent="0.3">
      <c r="A451" s="20" t="s">
        <v>1477</v>
      </c>
      <c r="B451" s="20" t="s">
        <v>55</v>
      </c>
      <c r="C451" s="26" t="s">
        <v>249</v>
      </c>
      <c r="D451" s="26" t="s">
        <v>39</v>
      </c>
      <c r="E451" s="26" t="s">
        <v>33</v>
      </c>
      <c r="F451" s="26" t="s">
        <v>52</v>
      </c>
      <c r="G451" s="26" t="s">
        <v>53</v>
      </c>
      <c r="H451" s="35">
        <v>45609</v>
      </c>
      <c r="I451" s="52">
        <v>60</v>
      </c>
      <c r="J451" s="52">
        <v>650</v>
      </c>
      <c r="K451" s="53">
        <v>0.05</v>
      </c>
      <c r="L451" s="44" t="s">
        <v>36</v>
      </c>
      <c r="M451" s="54">
        <v>39000</v>
      </c>
      <c r="N451" s="54">
        <v>37050</v>
      </c>
      <c r="O451" s="44" t="s">
        <v>265</v>
      </c>
    </row>
    <row r="452" spans="1:15" x14ac:dyDescent="0.3">
      <c r="A452" s="19" t="s">
        <v>1478</v>
      </c>
      <c r="B452" s="19" t="s">
        <v>61</v>
      </c>
      <c r="C452" s="25" t="s">
        <v>244</v>
      </c>
      <c r="D452" s="25" t="s">
        <v>26</v>
      </c>
      <c r="E452" s="25" t="s">
        <v>45</v>
      </c>
      <c r="F452" s="25" t="s">
        <v>34</v>
      </c>
      <c r="G452" s="25" t="s">
        <v>29</v>
      </c>
      <c r="H452" s="34">
        <v>45602</v>
      </c>
      <c r="I452" s="49">
        <v>177</v>
      </c>
      <c r="J452" s="49">
        <v>280</v>
      </c>
      <c r="K452" s="50">
        <v>0.13</v>
      </c>
      <c r="L452" s="43" t="s">
        <v>36</v>
      </c>
      <c r="M452" s="51">
        <v>49560</v>
      </c>
      <c r="N452" s="51">
        <v>43117.2</v>
      </c>
      <c r="O452" s="43" t="s">
        <v>265</v>
      </c>
    </row>
    <row r="453" spans="1:15" x14ac:dyDescent="0.3">
      <c r="A453" s="20" t="s">
        <v>1479</v>
      </c>
      <c r="B453" s="20" t="s">
        <v>61</v>
      </c>
      <c r="C453" s="26" t="s">
        <v>244</v>
      </c>
      <c r="D453" s="26" t="s">
        <v>26</v>
      </c>
      <c r="E453" s="26" t="s">
        <v>33</v>
      </c>
      <c r="F453" s="26" t="s">
        <v>41</v>
      </c>
      <c r="G453" s="26" t="s">
        <v>56</v>
      </c>
      <c r="H453" s="35">
        <v>45600</v>
      </c>
      <c r="I453" s="52">
        <v>92</v>
      </c>
      <c r="J453" s="52">
        <v>280</v>
      </c>
      <c r="K453" s="53">
        <v>0</v>
      </c>
      <c r="L453" s="44" t="s">
        <v>30</v>
      </c>
      <c r="M453" s="54">
        <v>25760</v>
      </c>
      <c r="N453" s="54">
        <v>25760</v>
      </c>
      <c r="O453" s="44" t="s">
        <v>265</v>
      </c>
    </row>
    <row r="454" spans="1:15" x14ac:dyDescent="0.3">
      <c r="A454" s="19" t="s">
        <v>1480</v>
      </c>
      <c r="B454" s="19" t="s">
        <v>63</v>
      </c>
      <c r="C454" s="25" t="s">
        <v>253</v>
      </c>
      <c r="D454" s="25" t="s">
        <v>50</v>
      </c>
      <c r="E454" s="25" t="s">
        <v>40</v>
      </c>
      <c r="F454" s="25" t="s">
        <v>41</v>
      </c>
      <c r="G454" s="25" t="s">
        <v>29</v>
      </c>
      <c r="H454" s="34">
        <v>45604</v>
      </c>
      <c r="I454" s="49">
        <v>64</v>
      </c>
      <c r="J454" s="49">
        <v>750</v>
      </c>
      <c r="K454" s="50">
        <v>0</v>
      </c>
      <c r="L454" s="43" t="s">
        <v>36</v>
      </c>
      <c r="M454" s="51">
        <v>48000</v>
      </c>
      <c r="N454" s="51">
        <v>48000</v>
      </c>
      <c r="O454" s="43" t="s">
        <v>265</v>
      </c>
    </row>
    <row r="455" spans="1:15" x14ac:dyDescent="0.3">
      <c r="A455" s="20" t="s">
        <v>1481</v>
      </c>
      <c r="B455" s="20" t="s">
        <v>58</v>
      </c>
      <c r="C455" s="26" t="s">
        <v>255</v>
      </c>
      <c r="D455" s="26" t="s">
        <v>59</v>
      </c>
      <c r="E455" s="26" t="s">
        <v>33</v>
      </c>
      <c r="F455" s="26" t="s">
        <v>46</v>
      </c>
      <c r="G455" s="26" t="s">
        <v>53</v>
      </c>
      <c r="H455" s="35">
        <v>45626</v>
      </c>
      <c r="I455" s="52">
        <v>26</v>
      </c>
      <c r="J455" s="52">
        <v>2800</v>
      </c>
      <c r="K455" s="53">
        <v>0.08</v>
      </c>
      <c r="L455" s="44" t="s">
        <v>36</v>
      </c>
      <c r="M455" s="54">
        <v>72800</v>
      </c>
      <c r="N455" s="54">
        <v>66976</v>
      </c>
      <c r="O455" s="44" t="s">
        <v>265</v>
      </c>
    </row>
    <row r="456" spans="1:15" x14ac:dyDescent="0.3">
      <c r="A456" s="19" t="s">
        <v>1482</v>
      </c>
      <c r="B456" s="19" t="s">
        <v>63</v>
      </c>
      <c r="C456" s="25" t="s">
        <v>253</v>
      </c>
      <c r="D456" s="25" t="s">
        <v>50</v>
      </c>
      <c r="E456" s="25" t="s">
        <v>51</v>
      </c>
      <c r="F456" s="25" t="s">
        <v>46</v>
      </c>
      <c r="G456" s="25" t="s">
        <v>35</v>
      </c>
      <c r="H456" s="34">
        <v>45597</v>
      </c>
      <c r="I456" s="49">
        <v>145</v>
      </c>
      <c r="J456" s="49">
        <v>750</v>
      </c>
      <c r="K456" s="50">
        <v>0.11</v>
      </c>
      <c r="L456" s="43" t="s">
        <v>36</v>
      </c>
      <c r="M456" s="51">
        <v>108750</v>
      </c>
      <c r="N456" s="51">
        <v>96787.5</v>
      </c>
      <c r="O456" s="43" t="s">
        <v>265</v>
      </c>
    </row>
    <row r="457" spans="1:15" x14ac:dyDescent="0.3">
      <c r="A457" s="20" t="s">
        <v>1483</v>
      </c>
      <c r="B457" s="20" t="s">
        <v>32</v>
      </c>
      <c r="C457" s="26" t="s">
        <v>246</v>
      </c>
      <c r="D457" s="26" t="s">
        <v>26</v>
      </c>
      <c r="E457" s="26" t="s">
        <v>51</v>
      </c>
      <c r="F457" s="26" t="s">
        <v>41</v>
      </c>
      <c r="G457" s="26" t="s">
        <v>56</v>
      </c>
      <c r="H457" s="35">
        <v>45598</v>
      </c>
      <c r="I457" s="52">
        <v>129</v>
      </c>
      <c r="J457" s="52">
        <v>420</v>
      </c>
      <c r="K457" s="53">
        <v>0</v>
      </c>
      <c r="L457" s="44" t="s">
        <v>36</v>
      </c>
      <c r="M457" s="54">
        <v>54180</v>
      </c>
      <c r="N457" s="54">
        <v>54180</v>
      </c>
      <c r="O457" s="44" t="s">
        <v>265</v>
      </c>
    </row>
    <row r="458" spans="1:15" x14ac:dyDescent="0.3">
      <c r="A458" s="19" t="s">
        <v>1484</v>
      </c>
      <c r="B458" s="19" t="s">
        <v>58</v>
      </c>
      <c r="C458" s="25" t="s">
        <v>255</v>
      </c>
      <c r="D458" s="25" t="s">
        <v>59</v>
      </c>
      <c r="E458" s="25" t="s">
        <v>51</v>
      </c>
      <c r="F458" s="25" t="s">
        <v>52</v>
      </c>
      <c r="G458" s="25" t="s">
        <v>42</v>
      </c>
      <c r="H458" s="34">
        <v>45608</v>
      </c>
      <c r="I458" s="49">
        <v>65</v>
      </c>
      <c r="J458" s="49">
        <v>2800</v>
      </c>
      <c r="K458" s="50">
        <v>0</v>
      </c>
      <c r="L458" s="43" t="s">
        <v>36</v>
      </c>
      <c r="M458" s="51">
        <v>182000</v>
      </c>
      <c r="N458" s="51">
        <v>182000</v>
      </c>
      <c r="O458" s="43" t="s">
        <v>267</v>
      </c>
    </row>
    <row r="459" spans="1:15" x14ac:dyDescent="0.3">
      <c r="A459" s="20" t="s">
        <v>1485</v>
      </c>
      <c r="B459" s="20" t="s">
        <v>25</v>
      </c>
      <c r="C459" s="26" t="s">
        <v>257</v>
      </c>
      <c r="D459" s="26" t="s">
        <v>26</v>
      </c>
      <c r="E459" s="26" t="s">
        <v>33</v>
      </c>
      <c r="F459" s="26" t="s">
        <v>41</v>
      </c>
      <c r="G459" s="26" t="s">
        <v>42</v>
      </c>
      <c r="H459" s="35">
        <v>45614</v>
      </c>
      <c r="I459" s="52">
        <v>31</v>
      </c>
      <c r="J459" s="52">
        <v>350</v>
      </c>
      <c r="K459" s="53">
        <v>7.0000000000000007E-2</v>
      </c>
      <c r="L459" s="44" t="s">
        <v>36</v>
      </c>
      <c r="M459" s="54">
        <v>10850</v>
      </c>
      <c r="N459" s="54">
        <v>10090.5</v>
      </c>
      <c r="O459" s="44" t="s">
        <v>265</v>
      </c>
    </row>
    <row r="460" spans="1:15" x14ac:dyDescent="0.3">
      <c r="A460" s="19" t="s">
        <v>1486</v>
      </c>
      <c r="B460" s="19" t="s">
        <v>49</v>
      </c>
      <c r="C460" s="25" t="s">
        <v>251</v>
      </c>
      <c r="D460" s="25" t="s">
        <v>50</v>
      </c>
      <c r="E460" s="25" t="s">
        <v>51</v>
      </c>
      <c r="F460" s="25" t="s">
        <v>28</v>
      </c>
      <c r="G460" s="25" t="s">
        <v>35</v>
      </c>
      <c r="H460" s="34">
        <v>45597</v>
      </c>
      <c r="I460" s="49">
        <v>132</v>
      </c>
      <c r="J460" s="49">
        <v>895</v>
      </c>
      <c r="K460" s="50">
        <v>7.0000000000000007E-2</v>
      </c>
      <c r="L460" s="43" t="s">
        <v>36</v>
      </c>
      <c r="M460" s="51">
        <v>118140</v>
      </c>
      <c r="N460" s="51">
        <v>109870.2</v>
      </c>
      <c r="O460" s="43" t="s">
        <v>267</v>
      </c>
    </row>
    <row r="461" spans="1:15" x14ac:dyDescent="0.3">
      <c r="A461" s="20" t="s">
        <v>1487</v>
      </c>
      <c r="B461" s="20" t="s">
        <v>49</v>
      </c>
      <c r="C461" s="26" t="s">
        <v>251</v>
      </c>
      <c r="D461" s="26" t="s">
        <v>50</v>
      </c>
      <c r="E461" s="26" t="s">
        <v>51</v>
      </c>
      <c r="F461" s="26" t="s">
        <v>28</v>
      </c>
      <c r="G461" s="26" t="s">
        <v>56</v>
      </c>
      <c r="H461" s="35">
        <v>45637</v>
      </c>
      <c r="I461" s="52">
        <v>20</v>
      </c>
      <c r="J461" s="52">
        <v>895</v>
      </c>
      <c r="K461" s="53">
        <v>0.12</v>
      </c>
      <c r="L461" s="44" t="s">
        <v>30</v>
      </c>
      <c r="M461" s="54">
        <v>17900</v>
      </c>
      <c r="N461" s="54">
        <v>15752</v>
      </c>
      <c r="O461" s="44" t="s">
        <v>265</v>
      </c>
    </row>
    <row r="462" spans="1:15" x14ac:dyDescent="0.3">
      <c r="A462" s="19" t="s">
        <v>1488</v>
      </c>
      <c r="B462" s="19" t="s">
        <v>38</v>
      </c>
      <c r="C462" s="25" t="s">
        <v>247</v>
      </c>
      <c r="D462" s="25" t="s">
        <v>39</v>
      </c>
      <c r="E462" s="25" t="s">
        <v>51</v>
      </c>
      <c r="F462" s="25" t="s">
        <v>52</v>
      </c>
      <c r="G462" s="25" t="s">
        <v>56</v>
      </c>
      <c r="H462" s="34">
        <v>45652</v>
      </c>
      <c r="I462" s="49">
        <v>6</v>
      </c>
      <c r="J462" s="49">
        <v>1200</v>
      </c>
      <c r="K462" s="50">
        <v>0</v>
      </c>
      <c r="L462" s="43" t="s">
        <v>30</v>
      </c>
      <c r="M462" s="51">
        <v>7200</v>
      </c>
      <c r="N462" s="51">
        <v>7200</v>
      </c>
      <c r="O462" s="43" t="s">
        <v>265</v>
      </c>
    </row>
    <row r="463" spans="1:15" x14ac:dyDescent="0.3">
      <c r="A463" s="20" t="s">
        <v>1489</v>
      </c>
      <c r="B463" s="20" t="s">
        <v>55</v>
      </c>
      <c r="C463" s="26" t="s">
        <v>249</v>
      </c>
      <c r="D463" s="26" t="s">
        <v>39</v>
      </c>
      <c r="E463" s="26" t="s">
        <v>33</v>
      </c>
      <c r="F463" s="26" t="s">
        <v>41</v>
      </c>
      <c r="G463" s="26" t="s">
        <v>56</v>
      </c>
      <c r="H463" s="35">
        <v>45640</v>
      </c>
      <c r="I463" s="52">
        <v>29</v>
      </c>
      <c r="J463" s="52">
        <v>650</v>
      </c>
      <c r="K463" s="53">
        <v>0.08</v>
      </c>
      <c r="L463" s="44" t="s">
        <v>36</v>
      </c>
      <c r="M463" s="54">
        <v>18850</v>
      </c>
      <c r="N463" s="54">
        <v>17342</v>
      </c>
      <c r="O463" s="44" t="s">
        <v>265</v>
      </c>
    </row>
    <row r="464" spans="1:15" x14ac:dyDescent="0.3">
      <c r="A464" s="19" t="s">
        <v>1490</v>
      </c>
      <c r="B464" s="19" t="s">
        <v>16</v>
      </c>
      <c r="C464" s="25" t="s">
        <v>250</v>
      </c>
      <c r="D464" s="25" t="s">
        <v>39</v>
      </c>
      <c r="E464" s="25" t="s">
        <v>27</v>
      </c>
      <c r="F464" s="25" t="s">
        <v>46</v>
      </c>
      <c r="G464" s="25" t="s">
        <v>35</v>
      </c>
      <c r="H464" s="34">
        <v>45641</v>
      </c>
      <c r="I464" s="49">
        <v>28</v>
      </c>
      <c r="J464" s="49">
        <v>990</v>
      </c>
      <c r="K464" s="50">
        <v>0.03</v>
      </c>
      <c r="L464" s="43" t="s">
        <v>36</v>
      </c>
      <c r="M464" s="51">
        <v>27720</v>
      </c>
      <c r="N464" s="51">
        <v>26888.400000000001</v>
      </c>
      <c r="O464" s="43" t="s">
        <v>265</v>
      </c>
    </row>
    <row r="465" spans="1:15" x14ac:dyDescent="0.3">
      <c r="A465" s="20" t="s">
        <v>1491</v>
      </c>
      <c r="B465" s="20" t="s">
        <v>25</v>
      </c>
      <c r="C465" s="26" t="s">
        <v>257</v>
      </c>
      <c r="D465" s="26" t="s">
        <v>26</v>
      </c>
      <c r="E465" s="26" t="s">
        <v>40</v>
      </c>
      <c r="F465" s="26" t="s">
        <v>28</v>
      </c>
      <c r="G465" s="26" t="s">
        <v>53</v>
      </c>
      <c r="H465" s="35">
        <v>45639</v>
      </c>
      <c r="I465" s="52">
        <v>47</v>
      </c>
      <c r="J465" s="52">
        <v>350</v>
      </c>
      <c r="K465" s="53">
        <v>0</v>
      </c>
      <c r="L465" s="44" t="s">
        <v>36</v>
      </c>
      <c r="M465" s="54">
        <v>16450</v>
      </c>
      <c r="N465" s="54">
        <v>16450</v>
      </c>
      <c r="O465" s="44" t="s">
        <v>265</v>
      </c>
    </row>
    <row r="466" spans="1:15" x14ac:dyDescent="0.3">
      <c r="A466" s="19" t="s">
        <v>1492</v>
      </c>
      <c r="B466" s="19" t="s">
        <v>25</v>
      </c>
      <c r="C466" s="25" t="s">
        <v>257</v>
      </c>
      <c r="D466" s="25" t="s">
        <v>26</v>
      </c>
      <c r="E466" s="25" t="s">
        <v>51</v>
      </c>
      <c r="F466" s="25" t="s">
        <v>46</v>
      </c>
      <c r="G466" s="25" t="s">
        <v>35</v>
      </c>
      <c r="H466" s="34">
        <v>45638</v>
      </c>
      <c r="I466" s="49">
        <v>13</v>
      </c>
      <c r="J466" s="49">
        <v>350</v>
      </c>
      <c r="K466" s="50">
        <v>7.0000000000000007E-2</v>
      </c>
      <c r="L466" s="43" t="s">
        <v>36</v>
      </c>
      <c r="M466" s="51">
        <v>4550</v>
      </c>
      <c r="N466" s="51">
        <v>4231.5</v>
      </c>
      <c r="O466" s="43" t="s">
        <v>265</v>
      </c>
    </row>
    <row r="467" spans="1:15" x14ac:dyDescent="0.3">
      <c r="A467" s="20" t="s">
        <v>1493</v>
      </c>
      <c r="B467" s="20" t="s">
        <v>49</v>
      </c>
      <c r="C467" s="26" t="s">
        <v>251</v>
      </c>
      <c r="D467" s="26" t="s">
        <v>50</v>
      </c>
      <c r="E467" s="26" t="s">
        <v>33</v>
      </c>
      <c r="F467" s="26" t="s">
        <v>34</v>
      </c>
      <c r="G467" s="26" t="s">
        <v>35</v>
      </c>
      <c r="H467" s="35">
        <v>45647</v>
      </c>
      <c r="I467" s="52">
        <v>37</v>
      </c>
      <c r="J467" s="52">
        <v>895</v>
      </c>
      <c r="K467" s="53">
        <v>7.0000000000000007E-2</v>
      </c>
      <c r="L467" s="44" t="s">
        <v>36</v>
      </c>
      <c r="M467" s="54">
        <v>33115</v>
      </c>
      <c r="N467" s="54">
        <v>30796.95</v>
      </c>
      <c r="O467" s="44" t="s">
        <v>265</v>
      </c>
    </row>
    <row r="468" spans="1:15" x14ac:dyDescent="0.3">
      <c r="A468" s="19" t="s">
        <v>1494</v>
      </c>
      <c r="B468" s="19" t="s">
        <v>58</v>
      </c>
      <c r="C468" s="25" t="s">
        <v>255</v>
      </c>
      <c r="D468" s="25" t="s">
        <v>59</v>
      </c>
      <c r="E468" s="25" t="s">
        <v>33</v>
      </c>
      <c r="F468" s="25" t="s">
        <v>52</v>
      </c>
      <c r="G468" s="25" t="s">
        <v>53</v>
      </c>
      <c r="H468" s="34">
        <v>45633</v>
      </c>
      <c r="I468" s="49">
        <v>30</v>
      </c>
      <c r="J468" s="49">
        <v>2800</v>
      </c>
      <c r="K468" s="50">
        <v>0</v>
      </c>
      <c r="L468" s="43" t="s">
        <v>36</v>
      </c>
      <c r="M468" s="51">
        <v>84000</v>
      </c>
      <c r="N468" s="51">
        <v>84000</v>
      </c>
      <c r="O468" s="43" t="s">
        <v>265</v>
      </c>
    </row>
    <row r="469" spans="1:15" x14ac:dyDescent="0.3">
      <c r="A469" s="20" t="s">
        <v>1495</v>
      </c>
      <c r="B469" s="20" t="s">
        <v>16</v>
      </c>
      <c r="C469" s="26" t="s">
        <v>250</v>
      </c>
      <c r="D469" s="26" t="s">
        <v>39</v>
      </c>
      <c r="E469" s="26" t="s">
        <v>45</v>
      </c>
      <c r="F469" s="26" t="s">
        <v>46</v>
      </c>
      <c r="G469" s="26" t="s">
        <v>56</v>
      </c>
      <c r="H469" s="35">
        <v>45657</v>
      </c>
      <c r="I469" s="52">
        <v>40</v>
      </c>
      <c r="J469" s="52">
        <v>990</v>
      </c>
      <c r="K469" s="53">
        <v>0.14000000000000001</v>
      </c>
      <c r="L469" s="44" t="s">
        <v>36</v>
      </c>
      <c r="M469" s="54">
        <v>39600</v>
      </c>
      <c r="N469" s="54">
        <v>34056</v>
      </c>
      <c r="O469" s="44" t="s">
        <v>265</v>
      </c>
    </row>
    <row r="470" spans="1:15" x14ac:dyDescent="0.3">
      <c r="A470" s="19" t="s">
        <v>1496</v>
      </c>
      <c r="B470" s="19" t="s">
        <v>61</v>
      </c>
      <c r="C470" s="25" t="s">
        <v>244</v>
      </c>
      <c r="D470" s="25" t="s">
        <v>26</v>
      </c>
      <c r="E470" s="25" t="s">
        <v>33</v>
      </c>
      <c r="F470" s="25" t="s">
        <v>46</v>
      </c>
      <c r="G470" s="25" t="s">
        <v>56</v>
      </c>
      <c r="H470" s="34">
        <v>45627</v>
      </c>
      <c r="I470" s="49">
        <v>64</v>
      </c>
      <c r="J470" s="49">
        <v>280</v>
      </c>
      <c r="K470" s="50">
        <v>0.12</v>
      </c>
      <c r="L470" s="43" t="s">
        <v>30</v>
      </c>
      <c r="M470" s="51">
        <v>17920</v>
      </c>
      <c r="N470" s="51">
        <v>15769.6</v>
      </c>
      <c r="O470" s="43" t="s">
        <v>265</v>
      </c>
    </row>
    <row r="471" spans="1:15" x14ac:dyDescent="0.3">
      <c r="A471" s="20" t="s">
        <v>1497</v>
      </c>
      <c r="B471" s="20" t="s">
        <v>16</v>
      </c>
      <c r="C471" s="26" t="s">
        <v>250</v>
      </c>
      <c r="D471" s="26" t="s">
        <v>39</v>
      </c>
      <c r="E471" s="26" t="s">
        <v>33</v>
      </c>
      <c r="F471" s="26" t="s">
        <v>46</v>
      </c>
      <c r="G471" s="26" t="s">
        <v>53</v>
      </c>
      <c r="H471" s="35">
        <v>45647</v>
      </c>
      <c r="I471" s="52">
        <v>20</v>
      </c>
      <c r="J471" s="52">
        <v>990</v>
      </c>
      <c r="K471" s="53">
        <v>0.14000000000000001</v>
      </c>
      <c r="L471" s="44" t="s">
        <v>30</v>
      </c>
      <c r="M471" s="54">
        <v>19800</v>
      </c>
      <c r="N471" s="54">
        <v>17028</v>
      </c>
      <c r="O471" s="44" t="s">
        <v>265</v>
      </c>
    </row>
    <row r="472" spans="1:15" x14ac:dyDescent="0.3">
      <c r="A472" s="19" t="s">
        <v>1498</v>
      </c>
      <c r="B472" s="19" t="s">
        <v>38</v>
      </c>
      <c r="C472" s="25" t="s">
        <v>247</v>
      </c>
      <c r="D472" s="25" t="s">
        <v>39</v>
      </c>
      <c r="E472" s="25" t="s">
        <v>45</v>
      </c>
      <c r="F472" s="25" t="s">
        <v>34</v>
      </c>
      <c r="G472" s="25" t="s">
        <v>42</v>
      </c>
      <c r="H472" s="34">
        <v>45646</v>
      </c>
      <c r="I472" s="49">
        <v>21</v>
      </c>
      <c r="J472" s="49">
        <v>1200</v>
      </c>
      <c r="K472" s="50">
        <v>0.08</v>
      </c>
      <c r="L472" s="43" t="s">
        <v>36</v>
      </c>
      <c r="M472" s="51">
        <v>25200</v>
      </c>
      <c r="N472" s="51">
        <v>23184</v>
      </c>
      <c r="O472" s="43" t="s">
        <v>265</v>
      </c>
    </row>
    <row r="473" spans="1:15" x14ac:dyDescent="0.3">
      <c r="A473" s="20" t="s">
        <v>1499</v>
      </c>
      <c r="B473" s="20" t="s">
        <v>58</v>
      </c>
      <c r="C473" s="26" t="s">
        <v>255</v>
      </c>
      <c r="D473" s="26" t="s">
        <v>59</v>
      </c>
      <c r="E473" s="26" t="s">
        <v>40</v>
      </c>
      <c r="F473" s="26" t="s">
        <v>41</v>
      </c>
      <c r="G473" s="26" t="s">
        <v>35</v>
      </c>
      <c r="H473" s="35">
        <v>45645</v>
      </c>
      <c r="I473" s="52">
        <v>30</v>
      </c>
      <c r="J473" s="52">
        <v>2800</v>
      </c>
      <c r="K473" s="53">
        <v>0.12</v>
      </c>
      <c r="L473" s="44" t="s">
        <v>30</v>
      </c>
      <c r="M473" s="54">
        <v>84000</v>
      </c>
      <c r="N473" s="54">
        <v>73920</v>
      </c>
      <c r="O473" s="44" t="s">
        <v>265</v>
      </c>
    </row>
    <row r="474" spans="1:15" x14ac:dyDescent="0.3">
      <c r="A474" s="19" t="s">
        <v>1500</v>
      </c>
      <c r="B474" s="19" t="s">
        <v>63</v>
      </c>
      <c r="C474" s="25" t="s">
        <v>253</v>
      </c>
      <c r="D474" s="25" t="s">
        <v>50</v>
      </c>
      <c r="E474" s="25" t="s">
        <v>51</v>
      </c>
      <c r="F474" s="25" t="s">
        <v>52</v>
      </c>
      <c r="G474" s="25" t="s">
        <v>47</v>
      </c>
      <c r="H474" s="34">
        <v>45652</v>
      </c>
      <c r="I474" s="49">
        <v>13</v>
      </c>
      <c r="J474" s="49">
        <v>750</v>
      </c>
      <c r="K474" s="50">
        <v>0.11</v>
      </c>
      <c r="L474" s="43" t="s">
        <v>30</v>
      </c>
      <c r="M474" s="51">
        <v>9750</v>
      </c>
      <c r="N474" s="51">
        <v>8677.5</v>
      </c>
      <c r="O474" s="43" t="s">
        <v>265</v>
      </c>
    </row>
    <row r="475" spans="1:15" x14ac:dyDescent="0.3">
      <c r="A475" s="20" t="s">
        <v>1501</v>
      </c>
      <c r="B475" s="20" t="s">
        <v>61</v>
      </c>
      <c r="C475" s="26" t="s">
        <v>244</v>
      </c>
      <c r="D475" s="26" t="s">
        <v>26</v>
      </c>
      <c r="E475" s="26" t="s">
        <v>51</v>
      </c>
      <c r="F475" s="26" t="s">
        <v>46</v>
      </c>
      <c r="G475" s="26" t="s">
        <v>56</v>
      </c>
      <c r="H475" s="35">
        <v>45643</v>
      </c>
      <c r="I475" s="52">
        <v>41</v>
      </c>
      <c r="J475" s="52">
        <v>280</v>
      </c>
      <c r="K475" s="53">
        <v>0.1</v>
      </c>
      <c r="L475" s="44" t="s">
        <v>36</v>
      </c>
      <c r="M475" s="54">
        <v>11480</v>
      </c>
      <c r="N475" s="54">
        <v>10332</v>
      </c>
      <c r="O475" s="44" t="s">
        <v>265</v>
      </c>
    </row>
    <row r="476" spans="1:15" x14ac:dyDescent="0.3">
      <c r="A476" s="19" t="s">
        <v>1502</v>
      </c>
      <c r="B476" s="19" t="s">
        <v>16</v>
      </c>
      <c r="C476" s="25" t="s">
        <v>250</v>
      </c>
      <c r="D476" s="25" t="s">
        <v>39</v>
      </c>
      <c r="E476" s="25" t="s">
        <v>45</v>
      </c>
      <c r="F476" s="25" t="s">
        <v>28</v>
      </c>
      <c r="G476" s="25" t="s">
        <v>35</v>
      </c>
      <c r="H476" s="34">
        <v>45642</v>
      </c>
      <c r="I476" s="49">
        <v>25</v>
      </c>
      <c r="J476" s="49">
        <v>990</v>
      </c>
      <c r="K476" s="50">
        <v>0.11</v>
      </c>
      <c r="L476" s="43" t="s">
        <v>36</v>
      </c>
      <c r="M476" s="51">
        <v>24750</v>
      </c>
      <c r="N476" s="51">
        <v>22027.5</v>
      </c>
      <c r="O476" s="43" t="s">
        <v>265</v>
      </c>
    </row>
    <row r="477" spans="1:15" x14ac:dyDescent="0.3">
      <c r="A477" s="20" t="s">
        <v>1503</v>
      </c>
      <c r="B477" s="20" t="s">
        <v>38</v>
      </c>
      <c r="C477" s="26" t="s">
        <v>247</v>
      </c>
      <c r="D477" s="26" t="s">
        <v>39</v>
      </c>
      <c r="E477" s="26" t="s">
        <v>51</v>
      </c>
      <c r="F477" s="26" t="s">
        <v>34</v>
      </c>
      <c r="G477" s="26" t="s">
        <v>47</v>
      </c>
      <c r="H477" s="35">
        <v>45642</v>
      </c>
      <c r="I477" s="52">
        <v>43</v>
      </c>
      <c r="J477" s="52">
        <v>1200</v>
      </c>
      <c r="K477" s="53">
        <v>0</v>
      </c>
      <c r="L477" s="44" t="s">
        <v>30</v>
      </c>
      <c r="M477" s="54">
        <v>51600</v>
      </c>
      <c r="N477" s="54">
        <v>51600</v>
      </c>
      <c r="O477" s="44" t="s">
        <v>265</v>
      </c>
    </row>
    <row r="478" spans="1:15" x14ac:dyDescent="0.3">
      <c r="A478" s="19" t="s">
        <v>1504</v>
      </c>
      <c r="B478" s="19" t="s">
        <v>63</v>
      </c>
      <c r="C478" s="25" t="s">
        <v>253</v>
      </c>
      <c r="D478" s="25" t="s">
        <v>50</v>
      </c>
      <c r="E478" s="25" t="s">
        <v>51</v>
      </c>
      <c r="F478" s="25" t="s">
        <v>41</v>
      </c>
      <c r="G478" s="25" t="s">
        <v>53</v>
      </c>
      <c r="H478" s="34">
        <v>45636</v>
      </c>
      <c r="I478" s="49">
        <v>28</v>
      </c>
      <c r="J478" s="49">
        <v>750</v>
      </c>
      <c r="K478" s="50">
        <v>0.12</v>
      </c>
      <c r="L478" s="43" t="s">
        <v>30</v>
      </c>
      <c r="M478" s="51">
        <v>21000</v>
      </c>
      <c r="N478" s="51">
        <v>18480</v>
      </c>
      <c r="O478" s="43" t="s">
        <v>265</v>
      </c>
    </row>
    <row r="479" spans="1:15" x14ac:dyDescent="0.3">
      <c r="A479" s="20" t="s">
        <v>1505</v>
      </c>
      <c r="B479" s="20" t="s">
        <v>16</v>
      </c>
      <c r="C479" s="26" t="s">
        <v>250</v>
      </c>
      <c r="D479" s="26" t="s">
        <v>39</v>
      </c>
      <c r="E479" s="26" t="s">
        <v>40</v>
      </c>
      <c r="F479" s="26" t="s">
        <v>34</v>
      </c>
      <c r="G479" s="26" t="s">
        <v>42</v>
      </c>
      <c r="H479" s="35">
        <v>45634</v>
      </c>
      <c r="I479" s="52">
        <v>14</v>
      </c>
      <c r="J479" s="52">
        <v>990</v>
      </c>
      <c r="K479" s="53">
        <v>0.12</v>
      </c>
      <c r="L479" s="44" t="s">
        <v>30</v>
      </c>
      <c r="M479" s="54">
        <v>13860</v>
      </c>
      <c r="N479" s="54">
        <v>12196.8</v>
      </c>
      <c r="O479" s="44" t="s">
        <v>265</v>
      </c>
    </row>
    <row r="480" spans="1:15" x14ac:dyDescent="0.3">
      <c r="A480" s="19" t="s">
        <v>1506</v>
      </c>
      <c r="B480" s="19" t="s">
        <v>61</v>
      </c>
      <c r="C480" s="25" t="s">
        <v>244</v>
      </c>
      <c r="D480" s="25" t="s">
        <v>26</v>
      </c>
      <c r="E480" s="25" t="s">
        <v>33</v>
      </c>
      <c r="F480" s="25" t="s">
        <v>52</v>
      </c>
      <c r="G480" s="25" t="s">
        <v>53</v>
      </c>
      <c r="H480" s="34">
        <v>45642</v>
      </c>
      <c r="I480" s="49">
        <v>42</v>
      </c>
      <c r="J480" s="49">
        <v>280</v>
      </c>
      <c r="K480" s="50">
        <v>0.08</v>
      </c>
      <c r="L480" s="43" t="s">
        <v>36</v>
      </c>
      <c r="M480" s="51">
        <v>11760</v>
      </c>
      <c r="N480" s="51">
        <v>10819.2</v>
      </c>
      <c r="O480" s="43" t="s">
        <v>265</v>
      </c>
    </row>
    <row r="481" spans="1:15" x14ac:dyDescent="0.3">
      <c r="A481" s="20" t="s">
        <v>1507</v>
      </c>
      <c r="B481" s="20" t="s">
        <v>16</v>
      </c>
      <c r="C481" s="26" t="s">
        <v>250</v>
      </c>
      <c r="D481" s="26" t="s">
        <v>39</v>
      </c>
      <c r="E481" s="26" t="s">
        <v>51</v>
      </c>
      <c r="F481" s="26" t="s">
        <v>34</v>
      </c>
      <c r="G481" s="26" t="s">
        <v>53</v>
      </c>
      <c r="H481" s="35">
        <v>45642</v>
      </c>
      <c r="I481" s="52">
        <v>32</v>
      </c>
      <c r="J481" s="52">
        <v>990</v>
      </c>
      <c r="K481" s="53">
        <v>0</v>
      </c>
      <c r="L481" s="44" t="s">
        <v>30</v>
      </c>
      <c r="M481" s="54">
        <v>31680</v>
      </c>
      <c r="N481" s="54">
        <v>31680</v>
      </c>
      <c r="O481" s="44" t="s">
        <v>265</v>
      </c>
    </row>
    <row r="482" spans="1:15" x14ac:dyDescent="0.3">
      <c r="A482" s="19" t="s">
        <v>1508</v>
      </c>
      <c r="B482" s="19" t="s">
        <v>25</v>
      </c>
      <c r="C482" s="25" t="s">
        <v>257</v>
      </c>
      <c r="D482" s="25" t="s">
        <v>26</v>
      </c>
      <c r="E482" s="25" t="s">
        <v>27</v>
      </c>
      <c r="F482" s="25" t="s">
        <v>34</v>
      </c>
      <c r="G482" s="25" t="s">
        <v>47</v>
      </c>
      <c r="H482" s="34">
        <v>45627</v>
      </c>
      <c r="I482" s="49">
        <v>63</v>
      </c>
      <c r="J482" s="49">
        <v>350</v>
      </c>
      <c r="K482" s="50">
        <v>0.15</v>
      </c>
      <c r="L482" s="43" t="s">
        <v>30</v>
      </c>
      <c r="M482" s="51">
        <v>22050</v>
      </c>
      <c r="N482" s="51">
        <v>18742.5</v>
      </c>
      <c r="O482" s="43" t="s">
        <v>265</v>
      </c>
    </row>
    <row r="483" spans="1:15" x14ac:dyDescent="0.3">
      <c r="A483" s="20" t="s">
        <v>1509</v>
      </c>
      <c r="B483" s="20" t="s">
        <v>49</v>
      </c>
      <c r="C483" s="26" t="s">
        <v>251</v>
      </c>
      <c r="D483" s="26" t="s">
        <v>50</v>
      </c>
      <c r="E483" s="26" t="s">
        <v>27</v>
      </c>
      <c r="F483" s="26" t="s">
        <v>34</v>
      </c>
      <c r="G483" s="26" t="s">
        <v>35</v>
      </c>
      <c r="H483" s="35">
        <v>45645</v>
      </c>
      <c r="I483" s="52">
        <v>48</v>
      </c>
      <c r="J483" s="52">
        <v>895</v>
      </c>
      <c r="K483" s="53">
        <v>0.1</v>
      </c>
      <c r="L483" s="44" t="s">
        <v>36</v>
      </c>
      <c r="M483" s="54">
        <v>42960</v>
      </c>
      <c r="N483" s="54">
        <v>38664</v>
      </c>
      <c r="O483" s="44" t="s">
        <v>265</v>
      </c>
    </row>
    <row r="484" spans="1:15" x14ac:dyDescent="0.3">
      <c r="A484" s="19" t="s">
        <v>1510</v>
      </c>
      <c r="B484" s="19" t="s">
        <v>49</v>
      </c>
      <c r="C484" s="25" t="s">
        <v>251</v>
      </c>
      <c r="D484" s="25" t="s">
        <v>50</v>
      </c>
      <c r="E484" s="25" t="s">
        <v>33</v>
      </c>
      <c r="F484" s="25" t="s">
        <v>28</v>
      </c>
      <c r="G484" s="25" t="s">
        <v>29</v>
      </c>
      <c r="H484" s="34">
        <v>45639</v>
      </c>
      <c r="I484" s="49">
        <v>14</v>
      </c>
      <c r="J484" s="49">
        <v>895</v>
      </c>
      <c r="K484" s="50">
        <v>0</v>
      </c>
      <c r="L484" s="43" t="s">
        <v>36</v>
      </c>
      <c r="M484" s="51">
        <v>12530</v>
      </c>
      <c r="N484" s="51">
        <v>12530</v>
      </c>
      <c r="O484" s="43" t="s">
        <v>265</v>
      </c>
    </row>
    <row r="485" spans="1:15" x14ac:dyDescent="0.3">
      <c r="A485" s="20" t="s">
        <v>1511</v>
      </c>
      <c r="B485" s="20" t="s">
        <v>38</v>
      </c>
      <c r="C485" s="26" t="s">
        <v>247</v>
      </c>
      <c r="D485" s="26" t="s">
        <v>39</v>
      </c>
      <c r="E485" s="26" t="s">
        <v>27</v>
      </c>
      <c r="F485" s="26" t="s">
        <v>52</v>
      </c>
      <c r="G485" s="26" t="s">
        <v>56</v>
      </c>
      <c r="H485" s="35">
        <v>45655</v>
      </c>
      <c r="I485" s="52">
        <v>19</v>
      </c>
      <c r="J485" s="52">
        <v>1200</v>
      </c>
      <c r="K485" s="53">
        <v>0.12</v>
      </c>
      <c r="L485" s="44" t="s">
        <v>36</v>
      </c>
      <c r="M485" s="54">
        <v>22800</v>
      </c>
      <c r="N485" s="54">
        <v>20064</v>
      </c>
      <c r="O485" s="44" t="s">
        <v>265</v>
      </c>
    </row>
    <row r="486" spans="1:15" x14ac:dyDescent="0.3">
      <c r="A486" s="19" t="s">
        <v>1512</v>
      </c>
      <c r="B486" s="19" t="s">
        <v>38</v>
      </c>
      <c r="C486" s="25" t="s">
        <v>247</v>
      </c>
      <c r="D486" s="25" t="s">
        <v>39</v>
      </c>
      <c r="E486" s="25" t="s">
        <v>51</v>
      </c>
      <c r="F486" s="25" t="s">
        <v>46</v>
      </c>
      <c r="G486" s="25" t="s">
        <v>47</v>
      </c>
      <c r="H486" s="34">
        <v>45650</v>
      </c>
      <c r="I486" s="49">
        <v>30</v>
      </c>
      <c r="J486" s="49">
        <v>1200</v>
      </c>
      <c r="K486" s="50">
        <v>7.0000000000000007E-2</v>
      </c>
      <c r="L486" s="43" t="s">
        <v>36</v>
      </c>
      <c r="M486" s="51">
        <v>36000</v>
      </c>
      <c r="N486" s="51">
        <v>33480</v>
      </c>
      <c r="O486" s="43" t="s">
        <v>265</v>
      </c>
    </row>
    <row r="487" spans="1:15" x14ac:dyDescent="0.3">
      <c r="A487" s="20" t="s">
        <v>1513</v>
      </c>
      <c r="B487" s="20" t="s">
        <v>32</v>
      </c>
      <c r="C487" s="26" t="s">
        <v>246</v>
      </c>
      <c r="D487" s="26" t="s">
        <v>26</v>
      </c>
      <c r="E487" s="26" t="s">
        <v>27</v>
      </c>
      <c r="F487" s="26" t="s">
        <v>52</v>
      </c>
      <c r="G487" s="26" t="s">
        <v>47</v>
      </c>
      <c r="H487" s="35">
        <v>45639</v>
      </c>
      <c r="I487" s="52">
        <v>63</v>
      </c>
      <c r="J487" s="52">
        <v>420</v>
      </c>
      <c r="K487" s="53">
        <v>0.11</v>
      </c>
      <c r="L487" s="44" t="s">
        <v>36</v>
      </c>
      <c r="M487" s="54">
        <v>26460</v>
      </c>
      <c r="N487" s="54">
        <v>23549.4</v>
      </c>
      <c r="O487" s="44" t="s">
        <v>265</v>
      </c>
    </row>
    <row r="488" spans="1:15" x14ac:dyDescent="0.3">
      <c r="A488" s="19" t="s">
        <v>1514</v>
      </c>
      <c r="B488" s="19" t="s">
        <v>38</v>
      </c>
      <c r="C488" s="25" t="s">
        <v>247</v>
      </c>
      <c r="D488" s="25" t="s">
        <v>39</v>
      </c>
      <c r="E488" s="25" t="s">
        <v>45</v>
      </c>
      <c r="F488" s="25" t="s">
        <v>41</v>
      </c>
      <c r="G488" s="25" t="s">
        <v>53</v>
      </c>
      <c r="H488" s="34">
        <v>45654</v>
      </c>
      <c r="I488" s="49">
        <v>15</v>
      </c>
      <c r="J488" s="49">
        <v>1200</v>
      </c>
      <c r="K488" s="50">
        <v>0</v>
      </c>
      <c r="L488" s="43" t="s">
        <v>30</v>
      </c>
      <c r="M488" s="51">
        <v>18000</v>
      </c>
      <c r="N488" s="51">
        <v>18000</v>
      </c>
      <c r="O488" s="43" t="s">
        <v>265</v>
      </c>
    </row>
    <row r="489" spans="1:15" x14ac:dyDescent="0.3">
      <c r="A489" s="20" t="s">
        <v>1515</v>
      </c>
      <c r="B489" s="20" t="s">
        <v>58</v>
      </c>
      <c r="C489" s="26" t="s">
        <v>255</v>
      </c>
      <c r="D489" s="26" t="s">
        <v>59</v>
      </c>
      <c r="E489" s="26" t="s">
        <v>33</v>
      </c>
      <c r="F489" s="26" t="s">
        <v>41</v>
      </c>
      <c r="G489" s="26" t="s">
        <v>53</v>
      </c>
      <c r="H489" s="35">
        <v>45635</v>
      </c>
      <c r="I489" s="52">
        <v>9</v>
      </c>
      <c r="J489" s="52">
        <v>2800</v>
      </c>
      <c r="K489" s="53">
        <v>0.13</v>
      </c>
      <c r="L489" s="44" t="s">
        <v>36</v>
      </c>
      <c r="M489" s="54">
        <v>25200</v>
      </c>
      <c r="N489" s="54">
        <v>21924</v>
      </c>
      <c r="O489" s="44" t="s">
        <v>265</v>
      </c>
    </row>
    <row r="490" spans="1:15" x14ac:dyDescent="0.3">
      <c r="A490" s="19" t="s">
        <v>1516</v>
      </c>
      <c r="B490" s="19" t="s">
        <v>55</v>
      </c>
      <c r="C490" s="25" t="s">
        <v>249</v>
      </c>
      <c r="D490" s="25" t="s">
        <v>39</v>
      </c>
      <c r="E490" s="25" t="s">
        <v>40</v>
      </c>
      <c r="F490" s="25" t="s">
        <v>46</v>
      </c>
      <c r="G490" s="25" t="s">
        <v>29</v>
      </c>
      <c r="H490" s="34">
        <v>45644</v>
      </c>
      <c r="I490" s="49">
        <v>66</v>
      </c>
      <c r="J490" s="49">
        <v>650</v>
      </c>
      <c r="K490" s="50">
        <v>0.15</v>
      </c>
      <c r="L490" s="43" t="s">
        <v>36</v>
      </c>
      <c r="M490" s="51">
        <v>42900</v>
      </c>
      <c r="N490" s="51">
        <v>36465</v>
      </c>
      <c r="O490" s="43" t="s">
        <v>265</v>
      </c>
    </row>
    <row r="491" spans="1:15" x14ac:dyDescent="0.3">
      <c r="A491" s="20" t="s">
        <v>1517</v>
      </c>
      <c r="B491" s="20" t="s">
        <v>58</v>
      </c>
      <c r="C491" s="26" t="s">
        <v>255</v>
      </c>
      <c r="D491" s="26" t="s">
        <v>59</v>
      </c>
      <c r="E491" s="26" t="s">
        <v>33</v>
      </c>
      <c r="F491" s="26" t="s">
        <v>28</v>
      </c>
      <c r="G491" s="26" t="s">
        <v>35</v>
      </c>
      <c r="H491" s="35">
        <v>45655</v>
      </c>
      <c r="I491" s="52">
        <v>20</v>
      </c>
      <c r="J491" s="52">
        <v>2800</v>
      </c>
      <c r="K491" s="53">
        <v>7.0000000000000007E-2</v>
      </c>
      <c r="L491" s="44" t="s">
        <v>30</v>
      </c>
      <c r="M491" s="54">
        <v>56000</v>
      </c>
      <c r="N491" s="54">
        <v>52080</v>
      </c>
      <c r="O491" s="44" t="s">
        <v>265</v>
      </c>
    </row>
    <row r="492" spans="1:15" x14ac:dyDescent="0.3">
      <c r="A492" s="19" t="s">
        <v>1518</v>
      </c>
      <c r="B492" s="19" t="s">
        <v>63</v>
      </c>
      <c r="C492" s="25" t="s">
        <v>253</v>
      </c>
      <c r="D492" s="25" t="s">
        <v>50</v>
      </c>
      <c r="E492" s="25" t="s">
        <v>33</v>
      </c>
      <c r="F492" s="25" t="s">
        <v>28</v>
      </c>
      <c r="G492" s="25" t="s">
        <v>47</v>
      </c>
      <c r="H492" s="34">
        <v>45628</v>
      </c>
      <c r="I492" s="49">
        <v>35</v>
      </c>
      <c r="J492" s="49">
        <v>750</v>
      </c>
      <c r="K492" s="50">
        <v>0</v>
      </c>
      <c r="L492" s="43" t="s">
        <v>30</v>
      </c>
      <c r="M492" s="51">
        <v>26250</v>
      </c>
      <c r="N492" s="51">
        <v>26250</v>
      </c>
      <c r="O492" s="43" t="s">
        <v>265</v>
      </c>
    </row>
    <row r="493" spans="1:15" x14ac:dyDescent="0.3">
      <c r="A493" s="20" t="s">
        <v>1519</v>
      </c>
      <c r="B493" s="20" t="s">
        <v>61</v>
      </c>
      <c r="C493" s="26" t="s">
        <v>244</v>
      </c>
      <c r="D493" s="26" t="s">
        <v>26</v>
      </c>
      <c r="E493" s="26" t="s">
        <v>33</v>
      </c>
      <c r="F493" s="26" t="s">
        <v>28</v>
      </c>
      <c r="G493" s="26" t="s">
        <v>42</v>
      </c>
      <c r="H493" s="35">
        <v>45642</v>
      </c>
      <c r="I493" s="52">
        <v>70</v>
      </c>
      <c r="J493" s="52">
        <v>280</v>
      </c>
      <c r="K493" s="53">
        <v>7.0000000000000007E-2</v>
      </c>
      <c r="L493" s="44" t="s">
        <v>36</v>
      </c>
      <c r="M493" s="54">
        <v>19600</v>
      </c>
      <c r="N493" s="54">
        <v>18228</v>
      </c>
      <c r="O493" s="44" t="s">
        <v>265</v>
      </c>
    </row>
    <row r="494" spans="1:15" x14ac:dyDescent="0.3">
      <c r="A494" s="19" t="s">
        <v>1520</v>
      </c>
      <c r="B494" s="19" t="s">
        <v>32</v>
      </c>
      <c r="C494" s="25" t="s">
        <v>246</v>
      </c>
      <c r="D494" s="25" t="s">
        <v>26</v>
      </c>
      <c r="E494" s="25" t="s">
        <v>51</v>
      </c>
      <c r="F494" s="25" t="s">
        <v>52</v>
      </c>
      <c r="G494" s="25" t="s">
        <v>29</v>
      </c>
      <c r="H494" s="34">
        <v>45643</v>
      </c>
      <c r="I494" s="49">
        <v>57</v>
      </c>
      <c r="J494" s="49">
        <v>420</v>
      </c>
      <c r="K494" s="50">
        <v>0.11</v>
      </c>
      <c r="L494" s="43" t="s">
        <v>36</v>
      </c>
      <c r="M494" s="51">
        <v>23940</v>
      </c>
      <c r="N494" s="51">
        <v>21306.6</v>
      </c>
      <c r="O494" s="43" t="s">
        <v>265</v>
      </c>
    </row>
    <row r="495" spans="1:15" x14ac:dyDescent="0.3">
      <c r="A495" s="20" t="s">
        <v>1521</v>
      </c>
      <c r="B495" s="20" t="s">
        <v>61</v>
      </c>
      <c r="C495" s="26" t="s">
        <v>244</v>
      </c>
      <c r="D495" s="26" t="s">
        <v>26</v>
      </c>
      <c r="E495" s="26" t="s">
        <v>27</v>
      </c>
      <c r="F495" s="26" t="s">
        <v>46</v>
      </c>
      <c r="G495" s="26" t="s">
        <v>42</v>
      </c>
      <c r="H495" s="35">
        <v>45644</v>
      </c>
      <c r="I495" s="52">
        <v>45</v>
      </c>
      <c r="J495" s="52">
        <v>280</v>
      </c>
      <c r="K495" s="53">
        <v>0.03</v>
      </c>
      <c r="L495" s="44" t="s">
        <v>36</v>
      </c>
      <c r="M495" s="54">
        <v>12600</v>
      </c>
      <c r="N495" s="54">
        <v>12222</v>
      </c>
      <c r="O495" s="44" t="s">
        <v>265</v>
      </c>
    </row>
    <row r="496" spans="1:15" x14ac:dyDescent="0.3">
      <c r="A496" s="19" t="s">
        <v>1522</v>
      </c>
      <c r="B496" s="19" t="s">
        <v>63</v>
      </c>
      <c r="C496" s="25" t="s">
        <v>253</v>
      </c>
      <c r="D496" s="25" t="s">
        <v>50</v>
      </c>
      <c r="E496" s="25" t="s">
        <v>27</v>
      </c>
      <c r="F496" s="25" t="s">
        <v>52</v>
      </c>
      <c r="G496" s="25" t="s">
        <v>53</v>
      </c>
      <c r="H496" s="34">
        <v>45628</v>
      </c>
      <c r="I496" s="49">
        <v>39</v>
      </c>
      <c r="J496" s="49">
        <v>750</v>
      </c>
      <c r="K496" s="50">
        <v>0.12</v>
      </c>
      <c r="L496" s="43" t="s">
        <v>36</v>
      </c>
      <c r="M496" s="51">
        <v>29250</v>
      </c>
      <c r="N496" s="51">
        <v>25740</v>
      </c>
      <c r="O496" s="43" t="s">
        <v>265</v>
      </c>
    </row>
    <row r="497" spans="1:15" x14ac:dyDescent="0.3">
      <c r="A497" s="20" t="s">
        <v>1523</v>
      </c>
      <c r="B497" s="20" t="s">
        <v>44</v>
      </c>
      <c r="C497" s="26" t="s">
        <v>254</v>
      </c>
      <c r="D497" s="26" t="s">
        <v>39</v>
      </c>
      <c r="E497" s="26" t="s">
        <v>51</v>
      </c>
      <c r="F497" s="26" t="s">
        <v>41</v>
      </c>
      <c r="G497" s="26" t="s">
        <v>42</v>
      </c>
      <c r="H497" s="35">
        <v>45628</v>
      </c>
      <c r="I497" s="52">
        <v>38</v>
      </c>
      <c r="J497" s="52">
        <v>200</v>
      </c>
      <c r="K497" s="53">
        <v>0.13</v>
      </c>
      <c r="L497" s="44" t="s">
        <v>36</v>
      </c>
      <c r="M497" s="54">
        <v>7600</v>
      </c>
      <c r="N497" s="54">
        <v>6612</v>
      </c>
      <c r="O497" s="44" t="s">
        <v>265</v>
      </c>
    </row>
    <row r="498" spans="1:15" x14ac:dyDescent="0.3">
      <c r="A498" s="19" t="s">
        <v>1524</v>
      </c>
      <c r="B498" s="19" t="s">
        <v>63</v>
      </c>
      <c r="C498" s="25" t="s">
        <v>253</v>
      </c>
      <c r="D498" s="25" t="s">
        <v>50</v>
      </c>
      <c r="E498" s="25" t="s">
        <v>33</v>
      </c>
      <c r="F498" s="25" t="s">
        <v>52</v>
      </c>
      <c r="G498" s="25" t="s">
        <v>56</v>
      </c>
      <c r="H498" s="34">
        <v>45628</v>
      </c>
      <c r="I498" s="49">
        <v>21</v>
      </c>
      <c r="J498" s="49">
        <v>750</v>
      </c>
      <c r="K498" s="50">
        <v>0.15</v>
      </c>
      <c r="L498" s="43" t="s">
        <v>30</v>
      </c>
      <c r="M498" s="51">
        <v>15750</v>
      </c>
      <c r="N498" s="51">
        <v>13387.5</v>
      </c>
      <c r="O498" s="43" t="s">
        <v>265</v>
      </c>
    </row>
    <row r="499" spans="1:15" x14ac:dyDescent="0.3">
      <c r="A499" s="20" t="s">
        <v>1525</v>
      </c>
      <c r="B499" s="20" t="s">
        <v>63</v>
      </c>
      <c r="C499" s="26" t="s">
        <v>253</v>
      </c>
      <c r="D499" s="26" t="s">
        <v>50</v>
      </c>
      <c r="E499" s="26" t="s">
        <v>45</v>
      </c>
      <c r="F499" s="26" t="s">
        <v>46</v>
      </c>
      <c r="G499" s="26" t="s">
        <v>35</v>
      </c>
      <c r="H499" s="35">
        <v>45651</v>
      </c>
      <c r="I499" s="52">
        <v>32</v>
      </c>
      <c r="J499" s="52">
        <v>750</v>
      </c>
      <c r="K499" s="53">
        <v>0.14000000000000001</v>
      </c>
      <c r="L499" s="44" t="s">
        <v>36</v>
      </c>
      <c r="M499" s="54">
        <v>24000</v>
      </c>
      <c r="N499" s="54">
        <v>20640</v>
      </c>
      <c r="O499" s="44" t="s">
        <v>265</v>
      </c>
    </row>
    <row r="500" spans="1:15" x14ac:dyDescent="0.3">
      <c r="A500" s="19" t="s">
        <v>1526</v>
      </c>
      <c r="B500" s="19" t="s">
        <v>58</v>
      </c>
      <c r="C500" s="25" t="s">
        <v>255</v>
      </c>
      <c r="D500" s="25" t="s">
        <v>59</v>
      </c>
      <c r="E500" s="25" t="s">
        <v>51</v>
      </c>
      <c r="F500" s="25" t="s">
        <v>34</v>
      </c>
      <c r="G500" s="25" t="s">
        <v>29</v>
      </c>
      <c r="H500" s="34">
        <v>45636</v>
      </c>
      <c r="I500" s="49">
        <v>12</v>
      </c>
      <c r="J500" s="49">
        <v>2800</v>
      </c>
      <c r="K500" s="50">
        <v>7.0000000000000007E-2</v>
      </c>
      <c r="L500" s="43" t="s">
        <v>30</v>
      </c>
      <c r="M500" s="51">
        <v>33600</v>
      </c>
      <c r="N500" s="51">
        <v>31248</v>
      </c>
      <c r="O500" s="43" t="s">
        <v>265</v>
      </c>
    </row>
    <row r="501" spans="1:15" x14ac:dyDescent="0.3">
      <c r="A501" s="20" t="s">
        <v>1527</v>
      </c>
      <c r="B501" s="20" t="s">
        <v>25</v>
      </c>
      <c r="C501" s="26" t="s">
        <v>257</v>
      </c>
      <c r="D501" s="26" t="s">
        <v>26</v>
      </c>
      <c r="E501" s="26" t="s">
        <v>51</v>
      </c>
      <c r="F501" s="26" t="s">
        <v>28</v>
      </c>
      <c r="G501" s="26" t="s">
        <v>29</v>
      </c>
      <c r="H501" s="35">
        <v>45639</v>
      </c>
      <c r="I501" s="52">
        <v>24</v>
      </c>
      <c r="J501" s="52">
        <v>350</v>
      </c>
      <c r="K501" s="53">
        <v>0</v>
      </c>
      <c r="L501" s="44" t="s">
        <v>36</v>
      </c>
      <c r="M501" s="54">
        <v>8400</v>
      </c>
      <c r="N501" s="54">
        <v>8400</v>
      </c>
      <c r="O501" s="44" t="s">
        <v>265</v>
      </c>
    </row>
    <row r="502" spans="1:15" x14ac:dyDescent="0.3">
      <c r="A502" s="19" t="s">
        <v>1528</v>
      </c>
      <c r="B502" s="19" t="s">
        <v>63</v>
      </c>
      <c r="C502" s="25" t="s">
        <v>253</v>
      </c>
      <c r="D502" s="25" t="s">
        <v>50</v>
      </c>
      <c r="E502" s="25" t="s">
        <v>33</v>
      </c>
      <c r="F502" s="25" t="s">
        <v>46</v>
      </c>
      <c r="G502" s="25" t="s">
        <v>42</v>
      </c>
      <c r="H502" s="34">
        <v>45635</v>
      </c>
      <c r="I502" s="49">
        <v>27</v>
      </c>
      <c r="J502" s="49">
        <v>750</v>
      </c>
      <c r="K502" s="50">
        <v>0.11</v>
      </c>
      <c r="L502" s="43" t="s">
        <v>30</v>
      </c>
      <c r="M502" s="51">
        <v>20250</v>
      </c>
      <c r="N502" s="51">
        <v>18022.5</v>
      </c>
      <c r="O502" s="43" t="s">
        <v>265</v>
      </c>
    </row>
    <row r="503" spans="1:15" x14ac:dyDescent="0.3">
      <c r="A503" s="20" t="s">
        <v>264</v>
      </c>
      <c r="B503" s="20" t="s">
        <v>16</v>
      </c>
      <c r="C503" s="26" t="s">
        <v>250</v>
      </c>
      <c r="D503" s="26" t="s">
        <v>39</v>
      </c>
      <c r="E503" s="26" t="s">
        <v>45</v>
      </c>
      <c r="F503" s="26" t="s">
        <v>52</v>
      </c>
      <c r="G503" s="26" t="s">
        <v>56</v>
      </c>
      <c r="H503" s="35">
        <v>45634</v>
      </c>
      <c r="I503" s="52">
        <v>19</v>
      </c>
      <c r="J503" s="52">
        <v>990</v>
      </c>
      <c r="K503" s="53">
        <v>0.05</v>
      </c>
      <c r="L503" s="44" t="s">
        <v>30</v>
      </c>
      <c r="M503" s="54">
        <v>18810</v>
      </c>
      <c r="N503" s="54">
        <v>17869.5</v>
      </c>
      <c r="O503" s="44" t="s">
        <v>265</v>
      </c>
    </row>
    <row r="504" spans="1:15" x14ac:dyDescent="0.3">
      <c r="A504" s="20" t="s">
        <v>266</v>
      </c>
      <c r="B504" s="21" t="s">
        <v>32</v>
      </c>
      <c r="C504" s="27" t="s">
        <v>246</v>
      </c>
      <c r="D504" s="27" t="s">
        <v>26</v>
      </c>
      <c r="E504" s="27" t="s">
        <v>27</v>
      </c>
      <c r="F504" s="27" t="s">
        <v>28</v>
      </c>
      <c r="G504" s="27" t="s">
        <v>29</v>
      </c>
      <c r="H504" s="36">
        <v>45658</v>
      </c>
      <c r="I504" s="55">
        <v>118</v>
      </c>
      <c r="J504" s="55">
        <v>420</v>
      </c>
      <c r="K504" s="56">
        <v>0.15</v>
      </c>
      <c r="L504" s="21" t="s">
        <v>30</v>
      </c>
      <c r="M504" s="57">
        <v>49560</v>
      </c>
      <c r="N504" s="57">
        <v>42126</v>
      </c>
      <c r="O504" s="21" t="s">
        <v>265</v>
      </c>
    </row>
    <row r="505" spans="1:15" x14ac:dyDescent="0.3">
      <c r="A505" s="20" t="s">
        <v>268</v>
      </c>
      <c r="B505" s="19" t="s">
        <v>38</v>
      </c>
      <c r="C505" s="25" t="s">
        <v>247</v>
      </c>
      <c r="D505" s="25" t="s">
        <v>39</v>
      </c>
      <c r="E505" s="25" t="s">
        <v>45</v>
      </c>
      <c r="F505" s="25" t="s">
        <v>46</v>
      </c>
      <c r="G505" s="25" t="s">
        <v>47</v>
      </c>
      <c r="H505" s="34">
        <v>45634</v>
      </c>
      <c r="I505" s="49">
        <v>36</v>
      </c>
      <c r="J505" s="49">
        <v>1200</v>
      </c>
      <c r="K505" s="50">
        <v>0.12</v>
      </c>
      <c r="L505" s="43" t="s">
        <v>36</v>
      </c>
      <c r="M505" s="51">
        <v>43200</v>
      </c>
      <c r="N505" s="51">
        <v>38016</v>
      </c>
      <c r="O505" s="43" t="s">
        <v>265</v>
      </c>
    </row>
    <row r="506" spans="1:15" x14ac:dyDescent="0.3">
      <c r="A506" s="20" t="s">
        <v>269</v>
      </c>
      <c r="B506" s="22" t="s">
        <v>49</v>
      </c>
      <c r="C506" s="28" t="s">
        <v>251</v>
      </c>
      <c r="D506" s="28" t="s">
        <v>50</v>
      </c>
      <c r="E506" s="28" t="s">
        <v>45</v>
      </c>
      <c r="F506" s="28" t="s">
        <v>52</v>
      </c>
      <c r="G506" s="28" t="s">
        <v>47</v>
      </c>
      <c r="H506" s="37">
        <v>45659</v>
      </c>
      <c r="I506" s="58">
        <v>280</v>
      </c>
      <c r="J506" s="58">
        <v>895</v>
      </c>
      <c r="K506" s="59">
        <v>0.03</v>
      </c>
      <c r="L506" s="22" t="s">
        <v>36</v>
      </c>
      <c r="M506" s="60">
        <v>250600</v>
      </c>
      <c r="N506" s="60">
        <v>243082</v>
      </c>
      <c r="O506" s="22" t="s">
        <v>267</v>
      </c>
    </row>
    <row r="507" spans="1:15" x14ac:dyDescent="0.3">
      <c r="A507" s="20" t="s">
        <v>270</v>
      </c>
      <c r="B507" s="20" t="s">
        <v>38</v>
      </c>
      <c r="C507" s="26" t="s">
        <v>247</v>
      </c>
      <c r="D507" s="26" t="s">
        <v>39</v>
      </c>
      <c r="E507" s="26" t="s">
        <v>27</v>
      </c>
      <c r="F507" s="26" t="s">
        <v>34</v>
      </c>
      <c r="G507" s="26" t="s">
        <v>42</v>
      </c>
      <c r="H507" s="35">
        <v>45634</v>
      </c>
      <c r="I507" s="52">
        <v>27</v>
      </c>
      <c r="J507" s="52">
        <v>1200</v>
      </c>
      <c r="K507" s="53">
        <v>0.15</v>
      </c>
      <c r="L507" s="44" t="s">
        <v>30</v>
      </c>
      <c r="M507" s="54">
        <v>32400</v>
      </c>
      <c r="N507" s="54">
        <v>27540</v>
      </c>
      <c r="O507" s="44" t="s">
        <v>265</v>
      </c>
    </row>
    <row r="508" spans="1:15" x14ac:dyDescent="0.3">
      <c r="A508" s="20" t="s">
        <v>271</v>
      </c>
      <c r="B508" s="21" t="s">
        <v>55</v>
      </c>
      <c r="C508" s="27" t="s">
        <v>249</v>
      </c>
      <c r="D508" s="27" t="s">
        <v>39</v>
      </c>
      <c r="E508" s="27" t="s">
        <v>27</v>
      </c>
      <c r="F508" s="27" t="s">
        <v>34</v>
      </c>
      <c r="G508" s="27" t="s">
        <v>42</v>
      </c>
      <c r="H508" s="36">
        <v>45659</v>
      </c>
      <c r="I508" s="55">
        <v>399</v>
      </c>
      <c r="J508" s="55">
        <v>650</v>
      </c>
      <c r="K508" s="56">
        <v>0.03</v>
      </c>
      <c r="L508" s="21" t="s">
        <v>30</v>
      </c>
      <c r="M508" s="57">
        <v>259350</v>
      </c>
      <c r="N508" s="57">
        <v>251569.5</v>
      </c>
      <c r="O508" s="21" t="s">
        <v>267</v>
      </c>
    </row>
    <row r="509" spans="1:15" x14ac:dyDescent="0.3">
      <c r="A509" s="20" t="s">
        <v>272</v>
      </c>
      <c r="B509" s="19" t="s">
        <v>38</v>
      </c>
      <c r="C509" s="25" t="s">
        <v>247</v>
      </c>
      <c r="D509" s="25" t="s">
        <v>39</v>
      </c>
      <c r="E509" s="25" t="s">
        <v>33</v>
      </c>
      <c r="F509" s="25" t="s">
        <v>34</v>
      </c>
      <c r="G509" s="25" t="s">
        <v>35</v>
      </c>
      <c r="H509" s="34">
        <v>45651</v>
      </c>
      <c r="I509" s="49">
        <v>9</v>
      </c>
      <c r="J509" s="49">
        <v>1200</v>
      </c>
      <c r="K509" s="50">
        <v>0.03</v>
      </c>
      <c r="L509" s="43" t="s">
        <v>30</v>
      </c>
      <c r="M509" s="51">
        <v>10800</v>
      </c>
      <c r="N509" s="51">
        <v>10476</v>
      </c>
      <c r="O509" s="43" t="s">
        <v>265</v>
      </c>
    </row>
    <row r="510" spans="1:15" x14ac:dyDescent="0.3">
      <c r="A510" s="20" t="s">
        <v>273</v>
      </c>
      <c r="B510" s="22" t="s">
        <v>55</v>
      </c>
      <c r="C510" s="28" t="s">
        <v>249</v>
      </c>
      <c r="D510" s="28" t="s">
        <v>39</v>
      </c>
      <c r="E510" s="28" t="s">
        <v>45</v>
      </c>
      <c r="F510" s="28" t="s">
        <v>34</v>
      </c>
      <c r="G510" s="28" t="s">
        <v>56</v>
      </c>
      <c r="H510" s="37">
        <v>45659</v>
      </c>
      <c r="I510" s="58">
        <v>416</v>
      </c>
      <c r="J510" s="58">
        <v>650</v>
      </c>
      <c r="K510" s="59">
        <v>0.11</v>
      </c>
      <c r="L510" s="22" t="s">
        <v>36</v>
      </c>
      <c r="M510" s="60">
        <v>270400</v>
      </c>
      <c r="N510" s="60">
        <v>240656</v>
      </c>
      <c r="O510" s="22" t="s">
        <v>267</v>
      </c>
    </row>
    <row r="511" spans="1:15" x14ac:dyDescent="0.3">
      <c r="A511" s="20" t="s">
        <v>274</v>
      </c>
      <c r="B511" s="20" t="s">
        <v>61</v>
      </c>
      <c r="C511" s="26" t="s">
        <v>244</v>
      </c>
      <c r="D511" s="26" t="s">
        <v>26</v>
      </c>
      <c r="E511" s="26" t="s">
        <v>40</v>
      </c>
      <c r="F511" s="26" t="s">
        <v>28</v>
      </c>
      <c r="G511" s="26" t="s">
        <v>42</v>
      </c>
      <c r="H511" s="35">
        <v>45648</v>
      </c>
      <c r="I511" s="52">
        <v>16</v>
      </c>
      <c r="J511" s="52">
        <v>280</v>
      </c>
      <c r="K511" s="53">
        <v>0.14000000000000001</v>
      </c>
      <c r="L511" s="44" t="s">
        <v>36</v>
      </c>
      <c r="M511" s="54">
        <v>4480</v>
      </c>
      <c r="N511" s="54">
        <v>3852.8</v>
      </c>
      <c r="O511" s="44" t="s">
        <v>265</v>
      </c>
    </row>
    <row r="512" spans="1:15" x14ac:dyDescent="0.3">
      <c r="A512" s="20" t="s">
        <v>275</v>
      </c>
      <c r="B512" s="21" t="s">
        <v>16</v>
      </c>
      <c r="C512" s="27" t="s">
        <v>250</v>
      </c>
      <c r="D512" s="27" t="s">
        <v>39</v>
      </c>
      <c r="E512" s="27" t="s">
        <v>45</v>
      </c>
      <c r="F512" s="27" t="s">
        <v>52</v>
      </c>
      <c r="G512" s="27" t="s">
        <v>42</v>
      </c>
      <c r="H512" s="36">
        <v>45661</v>
      </c>
      <c r="I512" s="55">
        <v>134</v>
      </c>
      <c r="J512" s="55">
        <v>990</v>
      </c>
      <c r="K512" s="56">
        <v>7.0000000000000007E-2</v>
      </c>
      <c r="L512" s="21" t="s">
        <v>36</v>
      </c>
      <c r="M512" s="57">
        <v>132660</v>
      </c>
      <c r="N512" s="57">
        <v>123373.8</v>
      </c>
      <c r="O512" s="21" t="s">
        <v>267</v>
      </c>
    </row>
    <row r="513" spans="1:15" x14ac:dyDescent="0.3">
      <c r="A513" s="20" t="s">
        <v>276</v>
      </c>
      <c r="B513" s="19" t="s">
        <v>32</v>
      </c>
      <c r="C513" s="25" t="s">
        <v>246</v>
      </c>
      <c r="D513" s="25" t="s">
        <v>26</v>
      </c>
      <c r="E513" s="25" t="s">
        <v>45</v>
      </c>
      <c r="F513" s="25" t="s">
        <v>41</v>
      </c>
      <c r="G513" s="25" t="s">
        <v>35</v>
      </c>
      <c r="H513" s="34">
        <v>45630</v>
      </c>
      <c r="I513" s="49">
        <v>64</v>
      </c>
      <c r="J513" s="49">
        <v>420</v>
      </c>
      <c r="K513" s="50">
        <v>0.1</v>
      </c>
      <c r="L513" s="43" t="s">
        <v>36</v>
      </c>
      <c r="M513" s="51">
        <v>26880</v>
      </c>
      <c r="N513" s="51">
        <v>24192</v>
      </c>
      <c r="O513" s="43" t="s">
        <v>265</v>
      </c>
    </row>
    <row r="514" spans="1:15" x14ac:dyDescent="0.3">
      <c r="A514" s="20" t="s">
        <v>278</v>
      </c>
      <c r="B514" s="22" t="s">
        <v>49</v>
      </c>
      <c r="C514" s="28" t="s">
        <v>251</v>
      </c>
      <c r="D514" s="28" t="s">
        <v>50</v>
      </c>
      <c r="E514" s="28" t="s">
        <v>40</v>
      </c>
      <c r="F514" s="28" t="s">
        <v>46</v>
      </c>
      <c r="G514" s="28" t="s">
        <v>29</v>
      </c>
      <c r="H514" s="37">
        <v>45661</v>
      </c>
      <c r="I514" s="58">
        <v>340</v>
      </c>
      <c r="J514" s="58">
        <v>895</v>
      </c>
      <c r="K514" s="59">
        <v>0.1</v>
      </c>
      <c r="L514" s="22" t="s">
        <v>36</v>
      </c>
      <c r="M514" s="60">
        <v>304300</v>
      </c>
      <c r="N514" s="60">
        <v>273870</v>
      </c>
      <c r="O514" s="22" t="s">
        <v>267</v>
      </c>
    </row>
    <row r="515" spans="1:15" x14ac:dyDescent="0.3">
      <c r="A515" s="20" t="s">
        <v>279</v>
      </c>
      <c r="B515" s="20" t="s">
        <v>38</v>
      </c>
      <c r="C515" s="26" t="s">
        <v>247</v>
      </c>
      <c r="D515" s="26" t="s">
        <v>39</v>
      </c>
      <c r="E515" s="26" t="s">
        <v>27</v>
      </c>
      <c r="F515" s="26" t="s">
        <v>46</v>
      </c>
      <c r="G515" s="26" t="s">
        <v>35</v>
      </c>
      <c r="H515" s="35">
        <v>45630</v>
      </c>
      <c r="I515" s="52">
        <v>22</v>
      </c>
      <c r="J515" s="52">
        <v>1200</v>
      </c>
      <c r="K515" s="53">
        <v>0.14000000000000001</v>
      </c>
      <c r="L515" s="44" t="s">
        <v>36</v>
      </c>
      <c r="M515" s="54">
        <v>26400</v>
      </c>
      <c r="N515" s="54">
        <v>22704</v>
      </c>
      <c r="O515" s="44" t="s">
        <v>265</v>
      </c>
    </row>
    <row r="516" spans="1:15" x14ac:dyDescent="0.3">
      <c r="A516" s="20" t="s">
        <v>280</v>
      </c>
      <c r="B516" s="21" t="s">
        <v>32</v>
      </c>
      <c r="C516" s="27" t="s">
        <v>246</v>
      </c>
      <c r="D516" s="27" t="s">
        <v>26</v>
      </c>
      <c r="E516" s="27" t="s">
        <v>27</v>
      </c>
      <c r="F516" s="27" t="s">
        <v>41</v>
      </c>
      <c r="G516" s="27" t="s">
        <v>47</v>
      </c>
      <c r="H516" s="36">
        <v>45662</v>
      </c>
      <c r="I516" s="55">
        <v>140</v>
      </c>
      <c r="J516" s="55">
        <v>420</v>
      </c>
      <c r="K516" s="56">
        <v>0.11</v>
      </c>
      <c r="L516" s="21" t="s">
        <v>36</v>
      </c>
      <c r="M516" s="57">
        <v>58800</v>
      </c>
      <c r="N516" s="57">
        <v>52332</v>
      </c>
      <c r="O516" s="21" t="s">
        <v>265</v>
      </c>
    </row>
    <row r="517" spans="1:15" x14ac:dyDescent="0.3">
      <c r="A517" s="20" t="s">
        <v>281</v>
      </c>
      <c r="B517" s="19" t="s">
        <v>58</v>
      </c>
      <c r="C517" s="25" t="s">
        <v>255</v>
      </c>
      <c r="D517" s="25" t="s">
        <v>59</v>
      </c>
      <c r="E517" s="25" t="s">
        <v>33</v>
      </c>
      <c r="F517" s="25" t="s">
        <v>28</v>
      </c>
      <c r="G517" s="25" t="s">
        <v>29</v>
      </c>
      <c r="H517" s="34">
        <v>45657</v>
      </c>
      <c r="I517" s="49">
        <v>10</v>
      </c>
      <c r="J517" s="49">
        <v>2800</v>
      </c>
      <c r="K517" s="50">
        <v>0</v>
      </c>
      <c r="L517" s="43" t="s">
        <v>36</v>
      </c>
      <c r="M517" s="51">
        <v>28000</v>
      </c>
      <c r="N517" s="51">
        <v>28000</v>
      </c>
      <c r="O517" s="43" t="s">
        <v>265</v>
      </c>
    </row>
    <row r="518" spans="1:15" x14ac:dyDescent="0.3">
      <c r="A518" s="20" t="s">
        <v>282</v>
      </c>
      <c r="B518" s="22" t="s">
        <v>16</v>
      </c>
      <c r="C518" s="28" t="s">
        <v>250</v>
      </c>
      <c r="D518" s="28" t="s">
        <v>39</v>
      </c>
      <c r="E518" s="28" t="s">
        <v>51</v>
      </c>
      <c r="F518" s="28" t="s">
        <v>28</v>
      </c>
      <c r="G518" s="28" t="s">
        <v>42</v>
      </c>
      <c r="H518" s="37">
        <v>45662</v>
      </c>
      <c r="I518" s="58">
        <v>380</v>
      </c>
      <c r="J518" s="58">
        <v>990</v>
      </c>
      <c r="K518" s="59">
        <v>0.08</v>
      </c>
      <c r="L518" s="22" t="s">
        <v>30</v>
      </c>
      <c r="M518" s="60">
        <v>376200</v>
      </c>
      <c r="N518" s="60">
        <v>346104</v>
      </c>
      <c r="O518" s="22" t="s">
        <v>267</v>
      </c>
    </row>
    <row r="519" spans="1:15" x14ac:dyDescent="0.3">
      <c r="A519" s="20" t="s">
        <v>283</v>
      </c>
      <c r="B519" s="20" t="s">
        <v>58</v>
      </c>
      <c r="C519" s="26" t="s">
        <v>255</v>
      </c>
      <c r="D519" s="26" t="s">
        <v>59</v>
      </c>
      <c r="E519" s="26" t="s">
        <v>45</v>
      </c>
      <c r="F519" s="26" t="s">
        <v>28</v>
      </c>
      <c r="G519" s="26" t="s">
        <v>47</v>
      </c>
      <c r="H519" s="35">
        <v>45637</v>
      </c>
      <c r="I519" s="52">
        <v>11</v>
      </c>
      <c r="J519" s="52">
        <v>2800</v>
      </c>
      <c r="K519" s="53">
        <v>0</v>
      </c>
      <c r="L519" s="44" t="s">
        <v>36</v>
      </c>
      <c r="M519" s="54">
        <v>30800</v>
      </c>
      <c r="N519" s="54">
        <v>30800</v>
      </c>
      <c r="O519" s="44" t="s">
        <v>265</v>
      </c>
    </row>
    <row r="520" spans="1:15" x14ac:dyDescent="0.3">
      <c r="A520" s="20" t="s">
        <v>284</v>
      </c>
      <c r="B520" s="21" t="s">
        <v>44</v>
      </c>
      <c r="C520" s="27" t="s">
        <v>254</v>
      </c>
      <c r="D520" s="27" t="s">
        <v>39</v>
      </c>
      <c r="E520" s="27" t="s">
        <v>51</v>
      </c>
      <c r="F520" s="27" t="s">
        <v>28</v>
      </c>
      <c r="G520" s="27" t="s">
        <v>35</v>
      </c>
      <c r="H520" s="36">
        <v>45662</v>
      </c>
      <c r="I520" s="55">
        <v>396</v>
      </c>
      <c r="J520" s="55">
        <v>200</v>
      </c>
      <c r="K520" s="56">
        <v>0</v>
      </c>
      <c r="L520" s="21" t="s">
        <v>36</v>
      </c>
      <c r="M520" s="57">
        <v>79200</v>
      </c>
      <c r="N520" s="57">
        <v>79200</v>
      </c>
      <c r="O520" s="21" t="s">
        <v>265</v>
      </c>
    </row>
    <row r="521" spans="1:15" x14ac:dyDescent="0.3">
      <c r="A521" s="20" t="s">
        <v>285</v>
      </c>
      <c r="B521" s="19" t="s">
        <v>44</v>
      </c>
      <c r="C521" s="25" t="s">
        <v>254</v>
      </c>
      <c r="D521" s="25" t="s">
        <v>39</v>
      </c>
      <c r="E521" s="25" t="s">
        <v>40</v>
      </c>
      <c r="F521" s="25" t="s">
        <v>41</v>
      </c>
      <c r="G521" s="25" t="s">
        <v>29</v>
      </c>
      <c r="H521" s="34">
        <v>45651</v>
      </c>
      <c r="I521" s="49">
        <v>66</v>
      </c>
      <c r="J521" s="49">
        <v>200</v>
      </c>
      <c r="K521" s="50">
        <v>0</v>
      </c>
      <c r="L521" s="43" t="s">
        <v>36</v>
      </c>
      <c r="M521" s="51">
        <v>13200</v>
      </c>
      <c r="N521" s="51">
        <v>13200</v>
      </c>
      <c r="O521" s="43" t="s">
        <v>265</v>
      </c>
    </row>
    <row r="522" spans="1:15" x14ac:dyDescent="0.3">
      <c r="A522" s="20" t="s">
        <v>286</v>
      </c>
      <c r="B522" s="22" t="s">
        <v>61</v>
      </c>
      <c r="C522" s="28" t="s">
        <v>244</v>
      </c>
      <c r="D522" s="28" t="s">
        <v>26</v>
      </c>
      <c r="E522" s="28" t="s">
        <v>51</v>
      </c>
      <c r="F522" s="28" t="s">
        <v>28</v>
      </c>
      <c r="G522" s="28" t="s">
        <v>42</v>
      </c>
      <c r="H522" s="37">
        <v>45664</v>
      </c>
      <c r="I522" s="58">
        <v>211</v>
      </c>
      <c r="J522" s="58">
        <v>280</v>
      </c>
      <c r="K522" s="59">
        <v>0.11</v>
      </c>
      <c r="L522" s="22" t="s">
        <v>36</v>
      </c>
      <c r="M522" s="60">
        <v>59080</v>
      </c>
      <c r="N522" s="60">
        <v>52581.2</v>
      </c>
      <c r="O522" s="22" t="s">
        <v>265</v>
      </c>
    </row>
    <row r="523" spans="1:15" x14ac:dyDescent="0.3">
      <c r="A523" s="20" t="s">
        <v>287</v>
      </c>
      <c r="B523" s="20" t="s">
        <v>58</v>
      </c>
      <c r="C523" s="26" t="s">
        <v>255</v>
      </c>
      <c r="D523" s="26" t="s">
        <v>59</v>
      </c>
      <c r="E523" s="26" t="s">
        <v>27</v>
      </c>
      <c r="F523" s="26" t="s">
        <v>34</v>
      </c>
      <c r="G523" s="26" t="s">
        <v>29</v>
      </c>
      <c r="H523" s="35">
        <v>45650</v>
      </c>
      <c r="I523" s="52">
        <v>13</v>
      </c>
      <c r="J523" s="52">
        <v>2800</v>
      </c>
      <c r="K523" s="53">
        <v>0.12</v>
      </c>
      <c r="L523" s="44" t="s">
        <v>36</v>
      </c>
      <c r="M523" s="54">
        <v>36400</v>
      </c>
      <c r="N523" s="54">
        <v>32032</v>
      </c>
      <c r="O523" s="44" t="s">
        <v>265</v>
      </c>
    </row>
    <row r="524" spans="1:15" x14ac:dyDescent="0.3">
      <c r="A524" s="20" t="s">
        <v>288</v>
      </c>
      <c r="B524" s="21" t="s">
        <v>38</v>
      </c>
      <c r="C524" s="27" t="s">
        <v>247</v>
      </c>
      <c r="D524" s="27" t="s">
        <v>39</v>
      </c>
      <c r="E524" s="27" t="s">
        <v>40</v>
      </c>
      <c r="F524" s="27" t="s">
        <v>52</v>
      </c>
      <c r="G524" s="27" t="s">
        <v>29</v>
      </c>
      <c r="H524" s="36">
        <v>45665</v>
      </c>
      <c r="I524" s="55">
        <v>397</v>
      </c>
      <c r="J524" s="55">
        <v>1200</v>
      </c>
      <c r="K524" s="56">
        <v>0.12</v>
      </c>
      <c r="L524" s="21" t="s">
        <v>36</v>
      </c>
      <c r="M524" s="57">
        <v>476400</v>
      </c>
      <c r="N524" s="57">
        <v>419232</v>
      </c>
      <c r="O524" s="21" t="s">
        <v>277</v>
      </c>
    </row>
    <row r="525" spans="1:15" x14ac:dyDescent="0.3">
      <c r="A525" s="20" t="s">
        <v>289</v>
      </c>
      <c r="B525" s="19" t="s">
        <v>49</v>
      </c>
      <c r="C525" s="25" t="s">
        <v>251</v>
      </c>
      <c r="D525" s="25" t="s">
        <v>50</v>
      </c>
      <c r="E525" s="25" t="s">
        <v>27</v>
      </c>
      <c r="F525" s="25" t="s">
        <v>52</v>
      </c>
      <c r="G525" s="25" t="s">
        <v>53</v>
      </c>
      <c r="H525" s="34">
        <v>45649</v>
      </c>
      <c r="I525" s="49">
        <v>30</v>
      </c>
      <c r="J525" s="49">
        <v>895</v>
      </c>
      <c r="K525" s="50">
        <v>0</v>
      </c>
      <c r="L525" s="43" t="s">
        <v>30</v>
      </c>
      <c r="M525" s="51">
        <v>26850</v>
      </c>
      <c r="N525" s="51">
        <v>26850</v>
      </c>
      <c r="O525" s="43" t="s">
        <v>265</v>
      </c>
    </row>
    <row r="526" spans="1:15" x14ac:dyDescent="0.3">
      <c r="A526" s="20" t="s">
        <v>290</v>
      </c>
      <c r="B526" s="22" t="s">
        <v>25</v>
      </c>
      <c r="C526" s="28" t="s">
        <v>257</v>
      </c>
      <c r="D526" s="28" t="s">
        <v>26</v>
      </c>
      <c r="E526" s="28" t="s">
        <v>40</v>
      </c>
      <c r="F526" s="28" t="s">
        <v>52</v>
      </c>
      <c r="G526" s="28" t="s">
        <v>56</v>
      </c>
      <c r="H526" s="37">
        <v>45665</v>
      </c>
      <c r="I526" s="58">
        <v>110</v>
      </c>
      <c r="J526" s="58">
        <v>350</v>
      </c>
      <c r="K526" s="59">
        <v>0</v>
      </c>
      <c r="L526" s="22" t="s">
        <v>30</v>
      </c>
      <c r="M526" s="60">
        <v>38500</v>
      </c>
      <c r="N526" s="60">
        <v>38500</v>
      </c>
      <c r="O526" s="22" t="s">
        <v>265</v>
      </c>
    </row>
    <row r="527" spans="1:15" x14ac:dyDescent="0.3">
      <c r="A527" s="20" t="s">
        <v>291</v>
      </c>
      <c r="B527" s="20" t="s">
        <v>44</v>
      </c>
      <c r="C527" s="26" t="s">
        <v>254</v>
      </c>
      <c r="D527" s="26" t="s">
        <v>39</v>
      </c>
      <c r="E527" s="26" t="s">
        <v>45</v>
      </c>
      <c r="F527" s="26" t="s">
        <v>34</v>
      </c>
      <c r="G527" s="26" t="s">
        <v>29</v>
      </c>
      <c r="H527" s="35">
        <v>45629</v>
      </c>
      <c r="I527" s="52">
        <v>58</v>
      </c>
      <c r="J527" s="52">
        <v>200</v>
      </c>
      <c r="K527" s="53">
        <v>0.03</v>
      </c>
      <c r="L527" s="44" t="s">
        <v>36</v>
      </c>
      <c r="M527" s="54">
        <v>11600</v>
      </c>
      <c r="N527" s="54">
        <v>11252</v>
      </c>
      <c r="O527" s="44" t="s">
        <v>265</v>
      </c>
    </row>
    <row r="528" spans="1:15" x14ac:dyDescent="0.3">
      <c r="A528" s="20" t="s">
        <v>292</v>
      </c>
      <c r="B528" s="21" t="s">
        <v>63</v>
      </c>
      <c r="C528" s="27" t="s">
        <v>253</v>
      </c>
      <c r="D528" s="27" t="s">
        <v>50</v>
      </c>
      <c r="E528" s="27" t="s">
        <v>40</v>
      </c>
      <c r="F528" s="27" t="s">
        <v>28</v>
      </c>
      <c r="G528" s="27" t="s">
        <v>29</v>
      </c>
      <c r="H528" s="36">
        <v>45665</v>
      </c>
      <c r="I528" s="55">
        <v>317</v>
      </c>
      <c r="J528" s="55">
        <v>750</v>
      </c>
      <c r="K528" s="56">
        <v>7.0000000000000007E-2</v>
      </c>
      <c r="L528" s="21" t="s">
        <v>36</v>
      </c>
      <c r="M528" s="57">
        <v>237750</v>
      </c>
      <c r="N528" s="57">
        <v>221107.5</v>
      </c>
      <c r="O528" s="21" t="s">
        <v>267</v>
      </c>
    </row>
    <row r="529" spans="1:15" x14ac:dyDescent="0.3">
      <c r="A529" s="20" t="s">
        <v>293</v>
      </c>
      <c r="B529" s="19" t="s">
        <v>44</v>
      </c>
      <c r="C529" s="25" t="s">
        <v>254</v>
      </c>
      <c r="D529" s="25" t="s">
        <v>39</v>
      </c>
      <c r="E529" s="25" t="s">
        <v>33</v>
      </c>
      <c r="F529" s="25" t="s">
        <v>28</v>
      </c>
      <c r="G529" s="25" t="s">
        <v>42</v>
      </c>
      <c r="H529" s="34">
        <v>45646</v>
      </c>
      <c r="I529" s="49">
        <v>41</v>
      </c>
      <c r="J529" s="49">
        <v>200</v>
      </c>
      <c r="K529" s="50">
        <v>0.03</v>
      </c>
      <c r="L529" s="43" t="s">
        <v>36</v>
      </c>
      <c r="M529" s="51">
        <v>8200</v>
      </c>
      <c r="N529" s="51">
        <v>7954</v>
      </c>
      <c r="O529" s="43" t="s">
        <v>265</v>
      </c>
    </row>
    <row r="530" spans="1:15" x14ac:dyDescent="0.3">
      <c r="A530" s="20" t="s">
        <v>294</v>
      </c>
      <c r="B530" s="22" t="s">
        <v>61</v>
      </c>
      <c r="C530" s="28" t="s">
        <v>244</v>
      </c>
      <c r="D530" s="28" t="s">
        <v>26</v>
      </c>
      <c r="E530" s="28" t="s">
        <v>51</v>
      </c>
      <c r="F530" s="28" t="s">
        <v>34</v>
      </c>
      <c r="G530" s="28" t="s">
        <v>29</v>
      </c>
      <c r="H530" s="37">
        <v>45666</v>
      </c>
      <c r="I530" s="58">
        <v>427</v>
      </c>
      <c r="J530" s="58">
        <v>280</v>
      </c>
      <c r="K530" s="59">
        <v>0</v>
      </c>
      <c r="L530" s="22" t="s">
        <v>36</v>
      </c>
      <c r="M530" s="60">
        <v>119560</v>
      </c>
      <c r="N530" s="60">
        <v>119560</v>
      </c>
      <c r="O530" s="22" t="s">
        <v>267</v>
      </c>
    </row>
    <row r="531" spans="1:15" x14ac:dyDescent="0.3">
      <c r="A531" s="20" t="s">
        <v>295</v>
      </c>
      <c r="B531" s="20" t="s">
        <v>16</v>
      </c>
      <c r="C531" s="26" t="s">
        <v>250</v>
      </c>
      <c r="D531" s="26" t="s">
        <v>39</v>
      </c>
      <c r="E531" s="26" t="s">
        <v>33</v>
      </c>
      <c r="F531" s="26" t="s">
        <v>41</v>
      </c>
      <c r="G531" s="26" t="s">
        <v>53</v>
      </c>
      <c r="H531" s="35">
        <v>45636</v>
      </c>
      <c r="I531" s="52">
        <v>16</v>
      </c>
      <c r="J531" s="52">
        <v>990</v>
      </c>
      <c r="K531" s="53">
        <v>0.05</v>
      </c>
      <c r="L531" s="44" t="s">
        <v>36</v>
      </c>
      <c r="M531" s="54">
        <v>15840</v>
      </c>
      <c r="N531" s="54">
        <v>15048</v>
      </c>
      <c r="O531" s="44" t="s">
        <v>265</v>
      </c>
    </row>
    <row r="532" spans="1:15" x14ac:dyDescent="0.3">
      <c r="A532" s="20" t="s">
        <v>296</v>
      </c>
      <c r="B532" s="21" t="s">
        <v>16</v>
      </c>
      <c r="C532" s="27" t="s">
        <v>250</v>
      </c>
      <c r="D532" s="27" t="s">
        <v>39</v>
      </c>
      <c r="E532" s="27" t="s">
        <v>51</v>
      </c>
      <c r="F532" s="27" t="s">
        <v>34</v>
      </c>
      <c r="G532" s="27" t="s">
        <v>29</v>
      </c>
      <c r="H532" s="36">
        <v>45666</v>
      </c>
      <c r="I532" s="55">
        <v>223</v>
      </c>
      <c r="J532" s="55">
        <v>990</v>
      </c>
      <c r="K532" s="56">
        <v>0.08</v>
      </c>
      <c r="L532" s="21" t="s">
        <v>30</v>
      </c>
      <c r="M532" s="57">
        <v>220770</v>
      </c>
      <c r="N532" s="57">
        <v>203108.4</v>
      </c>
      <c r="O532" s="21" t="s">
        <v>267</v>
      </c>
    </row>
    <row r="533" spans="1:15" x14ac:dyDescent="0.3">
      <c r="A533" s="20" t="s">
        <v>297</v>
      </c>
      <c r="B533" s="19" t="s">
        <v>63</v>
      </c>
      <c r="C533" s="25" t="s">
        <v>253</v>
      </c>
      <c r="D533" s="25" t="s">
        <v>50</v>
      </c>
      <c r="E533" s="25" t="s">
        <v>45</v>
      </c>
      <c r="F533" s="25" t="s">
        <v>52</v>
      </c>
      <c r="G533" s="25" t="s">
        <v>56</v>
      </c>
      <c r="H533" s="34">
        <v>45648</v>
      </c>
      <c r="I533" s="49">
        <v>17</v>
      </c>
      <c r="J533" s="49">
        <v>750</v>
      </c>
      <c r="K533" s="50">
        <v>0</v>
      </c>
      <c r="L533" s="43" t="s">
        <v>36</v>
      </c>
      <c r="M533" s="51">
        <v>12750</v>
      </c>
      <c r="N533" s="51">
        <v>12750</v>
      </c>
      <c r="O533" s="43" t="s">
        <v>265</v>
      </c>
    </row>
    <row r="534" spans="1:15" x14ac:dyDescent="0.3">
      <c r="A534" s="20" t="s">
        <v>298</v>
      </c>
      <c r="B534" s="22" t="s">
        <v>61</v>
      </c>
      <c r="C534" s="28" t="s">
        <v>244</v>
      </c>
      <c r="D534" s="28" t="s">
        <v>26</v>
      </c>
      <c r="E534" s="28" t="s">
        <v>40</v>
      </c>
      <c r="F534" s="28" t="s">
        <v>41</v>
      </c>
      <c r="G534" s="28" t="s">
        <v>35</v>
      </c>
      <c r="H534" s="37">
        <v>45666</v>
      </c>
      <c r="I534" s="58">
        <v>353</v>
      </c>
      <c r="J534" s="58">
        <v>280</v>
      </c>
      <c r="K534" s="59">
        <v>0</v>
      </c>
      <c r="L534" s="22" t="s">
        <v>30</v>
      </c>
      <c r="M534" s="60">
        <v>98840</v>
      </c>
      <c r="N534" s="60">
        <v>98840</v>
      </c>
      <c r="O534" s="22" t="s">
        <v>265</v>
      </c>
    </row>
    <row r="535" spans="1:15" x14ac:dyDescent="0.3">
      <c r="A535" s="20" t="s">
        <v>299</v>
      </c>
      <c r="B535" s="20" t="s">
        <v>55</v>
      </c>
      <c r="C535" s="26" t="s">
        <v>249</v>
      </c>
      <c r="D535" s="26" t="s">
        <v>39</v>
      </c>
      <c r="E535" s="26" t="s">
        <v>33</v>
      </c>
      <c r="F535" s="26" t="s">
        <v>28</v>
      </c>
      <c r="G535" s="26" t="s">
        <v>29</v>
      </c>
      <c r="H535" s="35">
        <v>45633</v>
      </c>
      <c r="I535" s="52">
        <v>30</v>
      </c>
      <c r="J535" s="52">
        <v>650</v>
      </c>
      <c r="K535" s="53">
        <v>0</v>
      </c>
      <c r="L535" s="44" t="s">
        <v>36</v>
      </c>
      <c r="M535" s="54">
        <v>19500</v>
      </c>
      <c r="N535" s="54">
        <v>19500</v>
      </c>
      <c r="O535" s="44" t="s">
        <v>265</v>
      </c>
    </row>
    <row r="536" spans="1:15" x14ac:dyDescent="0.3">
      <c r="A536" s="20" t="s">
        <v>300</v>
      </c>
      <c r="B536" s="21" t="s">
        <v>61</v>
      </c>
      <c r="C536" s="27" t="s">
        <v>244</v>
      </c>
      <c r="D536" s="27" t="s">
        <v>26</v>
      </c>
      <c r="E536" s="27" t="s">
        <v>40</v>
      </c>
      <c r="F536" s="27" t="s">
        <v>28</v>
      </c>
      <c r="G536" s="27" t="s">
        <v>35</v>
      </c>
      <c r="H536" s="36">
        <v>45668</v>
      </c>
      <c r="I536" s="55">
        <v>415</v>
      </c>
      <c r="J536" s="55">
        <v>280</v>
      </c>
      <c r="K536" s="56">
        <v>0.03</v>
      </c>
      <c r="L536" s="21" t="s">
        <v>36</v>
      </c>
      <c r="M536" s="57">
        <v>116200</v>
      </c>
      <c r="N536" s="57">
        <v>112714</v>
      </c>
      <c r="O536" s="21" t="s">
        <v>267</v>
      </c>
    </row>
    <row r="537" spans="1:15" x14ac:dyDescent="0.3">
      <c r="A537" s="20" t="s">
        <v>301</v>
      </c>
      <c r="B537" s="23" t="s">
        <v>63</v>
      </c>
      <c r="C537" s="29" t="s">
        <v>253</v>
      </c>
      <c r="D537" s="29" t="s">
        <v>50</v>
      </c>
      <c r="E537" s="29" t="s">
        <v>27</v>
      </c>
      <c r="F537" s="29" t="s">
        <v>34</v>
      </c>
      <c r="G537" s="29" t="s">
        <v>29</v>
      </c>
      <c r="H537" s="38">
        <v>45651</v>
      </c>
      <c r="I537" s="61">
        <v>22</v>
      </c>
      <c r="J537" s="61">
        <v>750</v>
      </c>
      <c r="K537" s="62">
        <v>0.12</v>
      </c>
      <c r="L537" s="45" t="s">
        <v>30</v>
      </c>
      <c r="M537" s="63">
        <v>16500</v>
      </c>
      <c r="N537" s="63">
        <v>14520</v>
      </c>
      <c r="O537" s="46" t="s">
        <v>265</v>
      </c>
    </row>
    <row r="538" spans="1:15" x14ac:dyDescent="0.3">
      <c r="A538" s="20" t="s">
        <v>302</v>
      </c>
      <c r="B538" s="11" t="s">
        <v>38</v>
      </c>
      <c r="C538" s="30" t="s">
        <v>247</v>
      </c>
      <c r="D538" s="30" t="s">
        <v>39</v>
      </c>
      <c r="E538" s="30" t="s">
        <v>33</v>
      </c>
      <c r="F538" s="30" t="s">
        <v>28</v>
      </c>
      <c r="G538" s="30" t="s">
        <v>53</v>
      </c>
      <c r="H538" s="39">
        <v>45668</v>
      </c>
      <c r="I538" s="64">
        <v>375</v>
      </c>
      <c r="J538" s="64">
        <v>1200</v>
      </c>
      <c r="K538" s="65">
        <v>0.14000000000000001</v>
      </c>
      <c r="L538" s="11" t="s">
        <v>30</v>
      </c>
      <c r="M538" s="66">
        <v>450000</v>
      </c>
      <c r="N538" s="66">
        <v>387000</v>
      </c>
      <c r="O538" s="13" t="s">
        <v>277</v>
      </c>
    </row>
    <row r="539" spans="1:15" x14ac:dyDescent="0.3">
      <c r="A539" s="20" t="s">
        <v>303</v>
      </c>
      <c r="B539" s="24" t="s">
        <v>44</v>
      </c>
      <c r="C539" s="31" t="s">
        <v>254</v>
      </c>
      <c r="D539" s="31" t="s">
        <v>39</v>
      </c>
      <c r="E539" s="31" t="s">
        <v>40</v>
      </c>
      <c r="F539" s="31" t="s">
        <v>28</v>
      </c>
      <c r="G539" s="31" t="s">
        <v>47</v>
      </c>
      <c r="H539" s="40">
        <v>45649</v>
      </c>
      <c r="I539" s="67">
        <v>60</v>
      </c>
      <c r="J539" s="67">
        <v>200</v>
      </c>
      <c r="K539" s="68">
        <v>0.05</v>
      </c>
      <c r="L539" s="47" t="s">
        <v>30</v>
      </c>
      <c r="M539" s="69">
        <v>12000</v>
      </c>
      <c r="N539" s="69">
        <v>11400</v>
      </c>
      <c r="O539" s="48" t="s">
        <v>265</v>
      </c>
    </row>
    <row r="540" spans="1:15" x14ac:dyDescent="0.3">
      <c r="A540" s="20" t="s">
        <v>304</v>
      </c>
      <c r="B540" s="10" t="s">
        <v>32</v>
      </c>
      <c r="C540" s="32" t="s">
        <v>246</v>
      </c>
      <c r="D540" s="32" t="s">
        <v>26</v>
      </c>
      <c r="E540" s="32" t="s">
        <v>51</v>
      </c>
      <c r="F540" s="32" t="s">
        <v>41</v>
      </c>
      <c r="G540" s="32" t="s">
        <v>42</v>
      </c>
      <c r="H540" s="41">
        <v>45668</v>
      </c>
      <c r="I540" s="70">
        <v>181</v>
      </c>
      <c r="J540" s="70">
        <v>420</v>
      </c>
      <c r="K540" s="71">
        <v>0</v>
      </c>
      <c r="L540" s="10" t="s">
        <v>36</v>
      </c>
      <c r="M540" s="72">
        <v>76020</v>
      </c>
      <c r="N540" s="72">
        <v>76020</v>
      </c>
      <c r="O540" s="12" t="s">
        <v>265</v>
      </c>
    </row>
    <row r="541" spans="1:15" x14ac:dyDescent="0.3">
      <c r="A541" s="20" t="s">
        <v>305</v>
      </c>
      <c r="B541" s="23" t="s">
        <v>49</v>
      </c>
      <c r="C541" s="29" t="s">
        <v>251</v>
      </c>
      <c r="D541" s="29" t="s">
        <v>50</v>
      </c>
      <c r="E541" s="29" t="s">
        <v>33</v>
      </c>
      <c r="F541" s="29" t="s">
        <v>52</v>
      </c>
      <c r="G541" s="29" t="s">
        <v>56</v>
      </c>
      <c r="H541" s="38">
        <v>45639</v>
      </c>
      <c r="I541" s="61">
        <v>25</v>
      </c>
      <c r="J541" s="61">
        <v>895</v>
      </c>
      <c r="K541" s="62">
        <v>7.0000000000000007E-2</v>
      </c>
      <c r="L541" s="45" t="s">
        <v>36</v>
      </c>
      <c r="M541" s="63">
        <v>22375</v>
      </c>
      <c r="N541" s="63">
        <v>20808.75</v>
      </c>
      <c r="O541" s="46" t="s">
        <v>265</v>
      </c>
    </row>
    <row r="542" spans="1:15" x14ac:dyDescent="0.3">
      <c r="A542" s="20" t="s">
        <v>306</v>
      </c>
      <c r="B542" s="11" t="s">
        <v>61</v>
      </c>
      <c r="C542" s="30" t="s">
        <v>244</v>
      </c>
      <c r="D542" s="30" t="s">
        <v>26</v>
      </c>
      <c r="E542" s="30" t="s">
        <v>40</v>
      </c>
      <c r="F542" s="30" t="s">
        <v>46</v>
      </c>
      <c r="G542" s="30" t="s">
        <v>29</v>
      </c>
      <c r="H542" s="39">
        <v>45669</v>
      </c>
      <c r="I542" s="64">
        <v>211</v>
      </c>
      <c r="J542" s="64">
        <v>280</v>
      </c>
      <c r="K542" s="65">
        <v>0.08</v>
      </c>
      <c r="L542" s="11" t="s">
        <v>36</v>
      </c>
      <c r="M542" s="66">
        <v>59080</v>
      </c>
      <c r="N542" s="66">
        <v>54353.599999999999</v>
      </c>
      <c r="O542" s="13" t="s">
        <v>265</v>
      </c>
    </row>
    <row r="543" spans="1:15" x14ac:dyDescent="0.3">
      <c r="A543" s="20" t="s">
        <v>307</v>
      </c>
      <c r="B543" s="24" t="s">
        <v>32</v>
      </c>
      <c r="C543" s="31" t="s">
        <v>246</v>
      </c>
      <c r="D543" s="31" t="s">
        <v>26</v>
      </c>
      <c r="E543" s="31" t="s">
        <v>51</v>
      </c>
      <c r="F543" s="31" t="s">
        <v>28</v>
      </c>
      <c r="G543" s="31" t="s">
        <v>35</v>
      </c>
      <c r="H543" s="40">
        <v>45649</v>
      </c>
      <c r="I543" s="67">
        <v>31</v>
      </c>
      <c r="J543" s="67">
        <v>420</v>
      </c>
      <c r="K543" s="68">
        <v>0</v>
      </c>
      <c r="L543" s="47" t="s">
        <v>36</v>
      </c>
      <c r="M543" s="69">
        <v>13020</v>
      </c>
      <c r="N543" s="69">
        <v>13020</v>
      </c>
      <c r="O543" s="48" t="s">
        <v>265</v>
      </c>
    </row>
    <row r="544" spans="1:15" x14ac:dyDescent="0.3">
      <c r="A544" s="20" t="s">
        <v>308</v>
      </c>
      <c r="B544" s="10" t="s">
        <v>44</v>
      </c>
      <c r="C544" s="32" t="s">
        <v>254</v>
      </c>
      <c r="D544" s="32" t="s">
        <v>39</v>
      </c>
      <c r="E544" s="32" t="s">
        <v>45</v>
      </c>
      <c r="F544" s="32" t="s">
        <v>28</v>
      </c>
      <c r="G544" s="32" t="s">
        <v>35</v>
      </c>
      <c r="H544" s="41">
        <v>45669</v>
      </c>
      <c r="I544" s="70">
        <v>274</v>
      </c>
      <c r="J544" s="70">
        <v>200</v>
      </c>
      <c r="K544" s="71">
        <v>0.13</v>
      </c>
      <c r="L544" s="10" t="s">
        <v>36</v>
      </c>
      <c r="M544" s="72">
        <v>54800</v>
      </c>
      <c r="N544" s="72">
        <v>47676</v>
      </c>
      <c r="O544" s="12" t="s">
        <v>265</v>
      </c>
    </row>
    <row r="545" spans="1:15" x14ac:dyDescent="0.3">
      <c r="A545" s="20" t="s">
        <v>309</v>
      </c>
      <c r="B545" s="23" t="s">
        <v>16</v>
      </c>
      <c r="C545" s="29" t="s">
        <v>250</v>
      </c>
      <c r="D545" s="29" t="s">
        <v>39</v>
      </c>
      <c r="E545" s="29" t="s">
        <v>51</v>
      </c>
      <c r="F545" s="29" t="s">
        <v>34</v>
      </c>
      <c r="G545" s="29" t="s">
        <v>47</v>
      </c>
      <c r="H545" s="38">
        <v>45633</v>
      </c>
      <c r="I545" s="61">
        <v>45</v>
      </c>
      <c r="J545" s="61">
        <v>990</v>
      </c>
      <c r="K545" s="62">
        <v>0.1</v>
      </c>
      <c r="L545" s="45" t="s">
        <v>30</v>
      </c>
      <c r="M545" s="63">
        <v>44550</v>
      </c>
      <c r="N545" s="63">
        <v>40095</v>
      </c>
      <c r="O545" s="46" t="s">
        <v>265</v>
      </c>
    </row>
    <row r="546" spans="1:15" x14ac:dyDescent="0.3">
      <c r="A546" s="20" t="s">
        <v>310</v>
      </c>
      <c r="B546" s="11" t="s">
        <v>61</v>
      </c>
      <c r="C546" s="30" t="s">
        <v>244</v>
      </c>
      <c r="D546" s="30" t="s">
        <v>26</v>
      </c>
      <c r="E546" s="30" t="s">
        <v>45</v>
      </c>
      <c r="F546" s="30" t="s">
        <v>41</v>
      </c>
      <c r="G546" s="30" t="s">
        <v>29</v>
      </c>
      <c r="H546" s="39">
        <v>45669</v>
      </c>
      <c r="I546" s="64">
        <v>274</v>
      </c>
      <c r="J546" s="64">
        <v>280</v>
      </c>
      <c r="K546" s="65">
        <v>7.0000000000000007E-2</v>
      </c>
      <c r="L546" s="11" t="s">
        <v>36</v>
      </c>
      <c r="M546" s="66">
        <v>76720</v>
      </c>
      <c r="N546" s="66">
        <v>71349.600000000006</v>
      </c>
      <c r="O546" s="13" t="s">
        <v>265</v>
      </c>
    </row>
    <row r="547" spans="1:15" x14ac:dyDescent="0.3">
      <c r="A547" s="20" t="s">
        <v>311</v>
      </c>
      <c r="B547" s="24" t="s">
        <v>25</v>
      </c>
      <c r="C547" s="31" t="s">
        <v>257</v>
      </c>
      <c r="D547" s="31" t="s">
        <v>26</v>
      </c>
      <c r="E547" s="31" t="s">
        <v>33</v>
      </c>
      <c r="F547" s="31" t="s">
        <v>46</v>
      </c>
      <c r="G547" s="31" t="s">
        <v>47</v>
      </c>
      <c r="H547" s="40">
        <v>45648</v>
      </c>
      <c r="I547" s="67">
        <v>13</v>
      </c>
      <c r="J547" s="67">
        <v>350</v>
      </c>
      <c r="K547" s="68">
        <v>0.05</v>
      </c>
      <c r="L547" s="47" t="s">
        <v>36</v>
      </c>
      <c r="M547" s="69">
        <v>4550</v>
      </c>
      <c r="N547" s="69">
        <v>4322.5</v>
      </c>
      <c r="O547" s="48" t="s">
        <v>265</v>
      </c>
    </row>
    <row r="548" spans="1:15" x14ac:dyDescent="0.3">
      <c r="A548" s="20" t="s">
        <v>312</v>
      </c>
      <c r="B548" s="10" t="s">
        <v>55</v>
      </c>
      <c r="C548" s="32" t="s">
        <v>249</v>
      </c>
      <c r="D548" s="32" t="s">
        <v>39</v>
      </c>
      <c r="E548" s="32" t="s">
        <v>33</v>
      </c>
      <c r="F548" s="32" t="s">
        <v>28</v>
      </c>
      <c r="G548" s="32" t="s">
        <v>53</v>
      </c>
      <c r="H548" s="41">
        <v>45670</v>
      </c>
      <c r="I548" s="70">
        <v>391</v>
      </c>
      <c r="J548" s="70">
        <v>650</v>
      </c>
      <c r="K548" s="71">
        <v>0</v>
      </c>
      <c r="L548" s="10" t="s">
        <v>36</v>
      </c>
      <c r="M548" s="72">
        <v>254150</v>
      </c>
      <c r="N548" s="72">
        <v>254150</v>
      </c>
      <c r="O548" s="12" t="s">
        <v>267</v>
      </c>
    </row>
    <row r="549" spans="1:15" x14ac:dyDescent="0.3">
      <c r="A549" s="20" t="s">
        <v>313</v>
      </c>
      <c r="B549" s="23" t="s">
        <v>38</v>
      </c>
      <c r="C549" s="29" t="s">
        <v>247</v>
      </c>
      <c r="D549" s="29" t="s">
        <v>39</v>
      </c>
      <c r="E549" s="29" t="s">
        <v>27</v>
      </c>
      <c r="F549" s="29" t="s">
        <v>41</v>
      </c>
      <c r="G549" s="29" t="s">
        <v>56</v>
      </c>
      <c r="H549" s="38">
        <v>45649</v>
      </c>
      <c r="I549" s="61">
        <v>35</v>
      </c>
      <c r="J549" s="61">
        <v>1200</v>
      </c>
      <c r="K549" s="62">
        <v>0</v>
      </c>
      <c r="L549" s="45" t="s">
        <v>30</v>
      </c>
      <c r="M549" s="63">
        <v>42000</v>
      </c>
      <c r="N549" s="63">
        <v>42000</v>
      </c>
      <c r="O549" s="46" t="s">
        <v>265</v>
      </c>
    </row>
    <row r="550" spans="1:15" x14ac:dyDescent="0.3">
      <c r="A550" s="20" t="s">
        <v>314</v>
      </c>
      <c r="B550" s="11" t="s">
        <v>44</v>
      </c>
      <c r="C550" s="30" t="s">
        <v>254</v>
      </c>
      <c r="D550" s="30" t="s">
        <v>39</v>
      </c>
      <c r="E550" s="30" t="s">
        <v>27</v>
      </c>
      <c r="F550" s="30" t="s">
        <v>41</v>
      </c>
      <c r="G550" s="30" t="s">
        <v>35</v>
      </c>
      <c r="H550" s="39">
        <v>45671</v>
      </c>
      <c r="I550" s="64">
        <v>416</v>
      </c>
      <c r="J550" s="64">
        <v>200</v>
      </c>
      <c r="K550" s="65">
        <v>0.08</v>
      </c>
      <c r="L550" s="11" t="s">
        <v>30</v>
      </c>
      <c r="M550" s="66">
        <v>83200</v>
      </c>
      <c r="N550" s="66">
        <v>76544</v>
      </c>
      <c r="O550" s="13" t="s">
        <v>265</v>
      </c>
    </row>
    <row r="551" spans="1:15" x14ac:dyDescent="0.3">
      <c r="A551" s="20" t="s">
        <v>315</v>
      </c>
      <c r="B551" s="24" t="s">
        <v>49</v>
      </c>
      <c r="C551" s="31" t="s">
        <v>251</v>
      </c>
      <c r="D551" s="31" t="s">
        <v>50</v>
      </c>
      <c r="E551" s="31" t="s">
        <v>51</v>
      </c>
      <c r="F551" s="31" t="s">
        <v>46</v>
      </c>
      <c r="G551" s="31" t="s">
        <v>56</v>
      </c>
      <c r="H551" s="40">
        <v>45629</v>
      </c>
      <c r="I551" s="67">
        <v>36</v>
      </c>
      <c r="J551" s="67">
        <v>895</v>
      </c>
      <c r="K551" s="68">
        <v>0.03</v>
      </c>
      <c r="L551" s="47" t="s">
        <v>36</v>
      </c>
      <c r="M551" s="69">
        <v>32220</v>
      </c>
      <c r="N551" s="69">
        <v>31253.4</v>
      </c>
      <c r="O551" s="48" t="s">
        <v>265</v>
      </c>
    </row>
    <row r="552" spans="1:15" x14ac:dyDescent="0.3">
      <c r="A552" s="20" t="s">
        <v>316</v>
      </c>
      <c r="B552" s="10" t="s">
        <v>32</v>
      </c>
      <c r="C552" s="32" t="s">
        <v>246</v>
      </c>
      <c r="D552" s="32" t="s">
        <v>26</v>
      </c>
      <c r="E552" s="32" t="s">
        <v>45</v>
      </c>
      <c r="F552" s="32" t="s">
        <v>34</v>
      </c>
      <c r="G552" s="32" t="s">
        <v>53</v>
      </c>
      <c r="H552" s="41">
        <v>45672</v>
      </c>
      <c r="I552" s="70">
        <v>432</v>
      </c>
      <c r="J552" s="70">
        <v>420</v>
      </c>
      <c r="K552" s="71">
        <v>0</v>
      </c>
      <c r="L552" s="10" t="s">
        <v>36</v>
      </c>
      <c r="M552" s="72">
        <v>181440</v>
      </c>
      <c r="N552" s="72">
        <v>181440</v>
      </c>
      <c r="O552" s="12" t="s">
        <v>267</v>
      </c>
    </row>
    <row r="553" spans="1:15" x14ac:dyDescent="0.3">
      <c r="A553" s="20" t="s">
        <v>317</v>
      </c>
      <c r="B553" s="23" t="s">
        <v>25</v>
      </c>
      <c r="C553" s="29" t="s">
        <v>257</v>
      </c>
      <c r="D553" s="29" t="s">
        <v>26</v>
      </c>
      <c r="E553" s="29" t="s">
        <v>33</v>
      </c>
      <c r="F553" s="29" t="s">
        <v>46</v>
      </c>
      <c r="G553" s="29" t="s">
        <v>35</v>
      </c>
      <c r="H553" s="38">
        <v>45628</v>
      </c>
      <c r="I553" s="61">
        <v>17</v>
      </c>
      <c r="J553" s="61">
        <v>350</v>
      </c>
      <c r="K553" s="62">
        <v>0</v>
      </c>
      <c r="L553" s="45" t="s">
        <v>30</v>
      </c>
      <c r="M553" s="63">
        <v>5950</v>
      </c>
      <c r="N553" s="63">
        <v>5950</v>
      </c>
      <c r="O553" s="46" t="s">
        <v>265</v>
      </c>
    </row>
    <row r="554" spans="1:15" x14ac:dyDescent="0.3">
      <c r="A554" s="20" t="s">
        <v>318</v>
      </c>
      <c r="B554" s="11" t="s">
        <v>61</v>
      </c>
      <c r="C554" s="30" t="s">
        <v>244</v>
      </c>
      <c r="D554" s="30" t="s">
        <v>26</v>
      </c>
      <c r="E554" s="30" t="s">
        <v>27</v>
      </c>
      <c r="F554" s="30" t="s">
        <v>34</v>
      </c>
      <c r="G554" s="30" t="s">
        <v>53</v>
      </c>
      <c r="H554" s="39">
        <v>45672</v>
      </c>
      <c r="I554" s="64">
        <v>458</v>
      </c>
      <c r="J554" s="64">
        <v>280</v>
      </c>
      <c r="K554" s="65">
        <v>0.08</v>
      </c>
      <c r="L554" s="11" t="s">
        <v>36</v>
      </c>
      <c r="M554" s="66">
        <v>128240</v>
      </c>
      <c r="N554" s="66">
        <v>117980.8</v>
      </c>
      <c r="O554" s="13" t="s">
        <v>267</v>
      </c>
    </row>
    <row r="555" spans="1:15" x14ac:dyDescent="0.3">
      <c r="A555" s="20" t="s">
        <v>319</v>
      </c>
      <c r="B555" s="24" t="s">
        <v>32</v>
      </c>
      <c r="C555" s="31" t="s">
        <v>246</v>
      </c>
      <c r="D555" s="31" t="s">
        <v>26</v>
      </c>
      <c r="E555" s="31" t="s">
        <v>27</v>
      </c>
      <c r="F555" s="31" t="s">
        <v>46</v>
      </c>
      <c r="G555" s="31" t="s">
        <v>53</v>
      </c>
      <c r="H555" s="40">
        <v>45654</v>
      </c>
      <c r="I555" s="67">
        <v>24</v>
      </c>
      <c r="J555" s="67">
        <v>420</v>
      </c>
      <c r="K555" s="68">
        <v>0</v>
      </c>
      <c r="L555" s="47" t="s">
        <v>36</v>
      </c>
      <c r="M555" s="69">
        <v>10080</v>
      </c>
      <c r="N555" s="69">
        <v>10080</v>
      </c>
      <c r="O555" s="48" t="s">
        <v>265</v>
      </c>
    </row>
    <row r="556" spans="1:15" x14ac:dyDescent="0.3">
      <c r="A556" s="20" t="s">
        <v>320</v>
      </c>
      <c r="B556" s="10" t="s">
        <v>55</v>
      </c>
      <c r="C556" s="32" t="s">
        <v>249</v>
      </c>
      <c r="D556" s="32" t="s">
        <v>39</v>
      </c>
      <c r="E556" s="32" t="s">
        <v>45</v>
      </c>
      <c r="F556" s="32" t="s">
        <v>34</v>
      </c>
      <c r="G556" s="32" t="s">
        <v>29</v>
      </c>
      <c r="H556" s="41">
        <v>45673</v>
      </c>
      <c r="I556" s="70">
        <v>428</v>
      </c>
      <c r="J556" s="70">
        <v>650</v>
      </c>
      <c r="K556" s="71">
        <v>0</v>
      </c>
      <c r="L556" s="10" t="s">
        <v>36</v>
      </c>
      <c r="M556" s="72">
        <v>278200</v>
      </c>
      <c r="N556" s="72">
        <v>278200</v>
      </c>
      <c r="O556" s="12" t="s">
        <v>267</v>
      </c>
    </row>
    <row r="557" spans="1:15" x14ac:dyDescent="0.3">
      <c r="A557" s="20" t="s">
        <v>321</v>
      </c>
      <c r="B557" s="23" t="s">
        <v>25</v>
      </c>
      <c r="C557" s="29" t="s">
        <v>257</v>
      </c>
      <c r="D557" s="29" t="s">
        <v>26</v>
      </c>
      <c r="E557" s="29" t="s">
        <v>33</v>
      </c>
      <c r="F557" s="29" t="s">
        <v>52</v>
      </c>
      <c r="G557" s="29" t="s">
        <v>47</v>
      </c>
      <c r="H557" s="38">
        <v>45633</v>
      </c>
      <c r="I557" s="61">
        <v>41</v>
      </c>
      <c r="J557" s="61">
        <v>350</v>
      </c>
      <c r="K557" s="62">
        <v>0.03</v>
      </c>
      <c r="L557" s="45" t="s">
        <v>36</v>
      </c>
      <c r="M557" s="63">
        <v>14350</v>
      </c>
      <c r="N557" s="63">
        <v>13919.5</v>
      </c>
      <c r="O557" s="46" t="s">
        <v>265</v>
      </c>
    </row>
    <row r="558" spans="1:15" x14ac:dyDescent="0.3">
      <c r="A558" s="20" t="s">
        <v>322</v>
      </c>
      <c r="B558" s="11" t="s">
        <v>61</v>
      </c>
      <c r="C558" s="30" t="s">
        <v>244</v>
      </c>
      <c r="D558" s="30" t="s">
        <v>26</v>
      </c>
      <c r="E558" s="30" t="s">
        <v>51</v>
      </c>
      <c r="F558" s="30" t="s">
        <v>46</v>
      </c>
      <c r="G558" s="30" t="s">
        <v>56</v>
      </c>
      <c r="H558" s="39">
        <v>45673</v>
      </c>
      <c r="I558" s="64">
        <v>109</v>
      </c>
      <c r="J558" s="64">
        <v>280</v>
      </c>
      <c r="K558" s="65">
        <v>0.08</v>
      </c>
      <c r="L558" s="11" t="s">
        <v>30</v>
      </c>
      <c r="M558" s="66">
        <v>30520</v>
      </c>
      <c r="N558" s="66">
        <v>28078.400000000001</v>
      </c>
      <c r="O558" s="13" t="s">
        <v>265</v>
      </c>
    </row>
    <row r="559" spans="1:15" x14ac:dyDescent="0.3">
      <c r="A559" s="20" t="s">
        <v>323</v>
      </c>
      <c r="B559" s="24" t="s">
        <v>25</v>
      </c>
      <c r="C559" s="31" t="s">
        <v>257</v>
      </c>
      <c r="D559" s="31" t="s">
        <v>26</v>
      </c>
      <c r="E559" s="31" t="s">
        <v>33</v>
      </c>
      <c r="F559" s="31" t="s">
        <v>41</v>
      </c>
      <c r="G559" s="31" t="s">
        <v>56</v>
      </c>
      <c r="H559" s="40">
        <v>45641</v>
      </c>
      <c r="I559" s="67">
        <v>10</v>
      </c>
      <c r="J559" s="67">
        <v>350</v>
      </c>
      <c r="K559" s="68">
        <v>7.0000000000000007E-2</v>
      </c>
      <c r="L559" s="47" t="s">
        <v>30</v>
      </c>
      <c r="M559" s="69">
        <v>3500</v>
      </c>
      <c r="N559" s="69">
        <v>3255</v>
      </c>
      <c r="O559" s="48" t="s">
        <v>265</v>
      </c>
    </row>
    <row r="560" spans="1:15" x14ac:dyDescent="0.3">
      <c r="A560" s="20" t="s">
        <v>324</v>
      </c>
      <c r="B560" s="10" t="s">
        <v>55</v>
      </c>
      <c r="C560" s="32" t="s">
        <v>249</v>
      </c>
      <c r="D560" s="32" t="s">
        <v>39</v>
      </c>
      <c r="E560" s="32" t="s">
        <v>45</v>
      </c>
      <c r="F560" s="32" t="s">
        <v>46</v>
      </c>
      <c r="G560" s="32" t="s">
        <v>35</v>
      </c>
      <c r="H560" s="41">
        <v>45674</v>
      </c>
      <c r="I560" s="70">
        <v>149</v>
      </c>
      <c r="J560" s="70">
        <v>650</v>
      </c>
      <c r="K560" s="71">
        <v>0.15</v>
      </c>
      <c r="L560" s="10" t="s">
        <v>30</v>
      </c>
      <c r="M560" s="72">
        <v>96850</v>
      </c>
      <c r="N560" s="72">
        <v>82322.5</v>
      </c>
      <c r="O560" s="12" t="s">
        <v>265</v>
      </c>
    </row>
    <row r="561" spans="1:15" x14ac:dyDescent="0.3">
      <c r="A561" s="20" t="s">
        <v>325</v>
      </c>
      <c r="B561" s="23" t="s">
        <v>38</v>
      </c>
      <c r="C561" s="29" t="s">
        <v>247</v>
      </c>
      <c r="D561" s="29" t="s">
        <v>39</v>
      </c>
      <c r="E561" s="29" t="s">
        <v>40</v>
      </c>
      <c r="F561" s="29" t="s">
        <v>34</v>
      </c>
      <c r="G561" s="29" t="s">
        <v>29</v>
      </c>
      <c r="H561" s="38">
        <v>45641</v>
      </c>
      <c r="I561" s="61">
        <v>7</v>
      </c>
      <c r="J561" s="61">
        <v>1200</v>
      </c>
      <c r="K561" s="62">
        <v>0</v>
      </c>
      <c r="L561" s="45" t="s">
        <v>36</v>
      </c>
      <c r="M561" s="63">
        <v>8400</v>
      </c>
      <c r="N561" s="63">
        <v>8400</v>
      </c>
      <c r="O561" s="46" t="s">
        <v>265</v>
      </c>
    </row>
    <row r="562" spans="1:15" x14ac:dyDescent="0.3">
      <c r="A562" s="20" t="s">
        <v>326</v>
      </c>
      <c r="B562" s="11" t="s">
        <v>61</v>
      </c>
      <c r="C562" s="30" t="s">
        <v>244</v>
      </c>
      <c r="D562" s="30" t="s">
        <v>26</v>
      </c>
      <c r="E562" s="30" t="s">
        <v>40</v>
      </c>
      <c r="F562" s="30" t="s">
        <v>41</v>
      </c>
      <c r="G562" s="30" t="s">
        <v>29</v>
      </c>
      <c r="H562" s="39">
        <v>45674</v>
      </c>
      <c r="I562" s="64">
        <v>215</v>
      </c>
      <c r="J562" s="64">
        <v>280</v>
      </c>
      <c r="K562" s="65">
        <v>0.1</v>
      </c>
      <c r="L562" s="11" t="s">
        <v>30</v>
      </c>
      <c r="M562" s="66">
        <v>60200</v>
      </c>
      <c r="N562" s="66">
        <v>54180</v>
      </c>
      <c r="O562" s="13" t="s">
        <v>265</v>
      </c>
    </row>
    <row r="563" spans="1:15" x14ac:dyDescent="0.3">
      <c r="A563" s="20" t="s">
        <v>327</v>
      </c>
      <c r="B563" s="24" t="s">
        <v>63</v>
      </c>
      <c r="C563" s="31" t="s">
        <v>253</v>
      </c>
      <c r="D563" s="31" t="s">
        <v>50</v>
      </c>
      <c r="E563" s="31" t="s">
        <v>27</v>
      </c>
      <c r="F563" s="31" t="s">
        <v>41</v>
      </c>
      <c r="G563" s="31" t="s">
        <v>29</v>
      </c>
      <c r="H563" s="40">
        <v>45637</v>
      </c>
      <c r="I563" s="67">
        <v>43</v>
      </c>
      <c r="J563" s="67">
        <v>750</v>
      </c>
      <c r="K563" s="68">
        <v>0.1</v>
      </c>
      <c r="L563" s="47" t="s">
        <v>30</v>
      </c>
      <c r="M563" s="69">
        <v>32250</v>
      </c>
      <c r="N563" s="69">
        <v>29025</v>
      </c>
      <c r="O563" s="48" t="s">
        <v>265</v>
      </c>
    </row>
    <row r="564" spans="1:15" x14ac:dyDescent="0.3">
      <c r="A564" s="20" t="s">
        <v>328</v>
      </c>
      <c r="B564" s="10" t="s">
        <v>61</v>
      </c>
      <c r="C564" s="32" t="s">
        <v>244</v>
      </c>
      <c r="D564" s="32" t="s">
        <v>26</v>
      </c>
      <c r="E564" s="32" t="s">
        <v>40</v>
      </c>
      <c r="F564" s="32" t="s">
        <v>41</v>
      </c>
      <c r="G564" s="32" t="s">
        <v>42</v>
      </c>
      <c r="H564" s="41">
        <v>45674</v>
      </c>
      <c r="I564" s="70">
        <v>367</v>
      </c>
      <c r="J564" s="70">
        <v>280</v>
      </c>
      <c r="K564" s="71">
        <v>0.14000000000000001</v>
      </c>
      <c r="L564" s="10" t="s">
        <v>30</v>
      </c>
      <c r="M564" s="72">
        <v>102760</v>
      </c>
      <c r="N564" s="72">
        <v>88373.6</v>
      </c>
      <c r="O564" s="12" t="s">
        <v>265</v>
      </c>
    </row>
    <row r="565" spans="1:15" x14ac:dyDescent="0.3">
      <c r="A565" s="20" t="s">
        <v>329</v>
      </c>
      <c r="B565" s="23" t="s">
        <v>61</v>
      </c>
      <c r="C565" s="29" t="s">
        <v>244</v>
      </c>
      <c r="D565" s="29" t="s">
        <v>26</v>
      </c>
      <c r="E565" s="29" t="s">
        <v>45</v>
      </c>
      <c r="F565" s="29" t="s">
        <v>52</v>
      </c>
      <c r="G565" s="29" t="s">
        <v>29</v>
      </c>
      <c r="H565" s="38">
        <v>45638</v>
      </c>
      <c r="I565" s="61">
        <v>76</v>
      </c>
      <c r="J565" s="61">
        <v>280</v>
      </c>
      <c r="K565" s="62">
        <v>0</v>
      </c>
      <c r="L565" s="45" t="s">
        <v>30</v>
      </c>
      <c r="M565" s="63">
        <v>21280</v>
      </c>
      <c r="N565" s="63">
        <v>21280</v>
      </c>
      <c r="O565" s="46" t="s">
        <v>265</v>
      </c>
    </row>
    <row r="566" spans="1:15" x14ac:dyDescent="0.3">
      <c r="A566" s="20" t="s">
        <v>330</v>
      </c>
      <c r="B566" s="11" t="s">
        <v>32</v>
      </c>
      <c r="C566" s="30" t="s">
        <v>246</v>
      </c>
      <c r="D566" s="30" t="s">
        <v>26</v>
      </c>
      <c r="E566" s="30" t="s">
        <v>45</v>
      </c>
      <c r="F566" s="30" t="s">
        <v>41</v>
      </c>
      <c r="G566" s="30" t="s">
        <v>29</v>
      </c>
      <c r="H566" s="39">
        <v>45675</v>
      </c>
      <c r="I566" s="64">
        <v>295</v>
      </c>
      <c r="J566" s="64">
        <v>420</v>
      </c>
      <c r="K566" s="65">
        <v>0.12</v>
      </c>
      <c r="L566" s="11" t="s">
        <v>36</v>
      </c>
      <c r="M566" s="66">
        <v>123900</v>
      </c>
      <c r="N566" s="66">
        <v>109032</v>
      </c>
      <c r="O566" s="13" t="s">
        <v>267</v>
      </c>
    </row>
    <row r="567" spans="1:15" x14ac:dyDescent="0.3">
      <c r="A567" s="20" t="s">
        <v>331</v>
      </c>
      <c r="B567" s="24" t="s">
        <v>63</v>
      </c>
      <c r="C567" s="31" t="s">
        <v>253</v>
      </c>
      <c r="D567" s="31" t="s">
        <v>50</v>
      </c>
      <c r="E567" s="31" t="s">
        <v>27</v>
      </c>
      <c r="F567" s="31" t="s">
        <v>46</v>
      </c>
      <c r="G567" s="31" t="s">
        <v>35</v>
      </c>
      <c r="H567" s="40">
        <v>45641</v>
      </c>
      <c r="I567" s="67">
        <v>46</v>
      </c>
      <c r="J567" s="67">
        <v>750</v>
      </c>
      <c r="K567" s="68">
        <v>0</v>
      </c>
      <c r="L567" s="47" t="s">
        <v>36</v>
      </c>
      <c r="M567" s="69">
        <v>34500</v>
      </c>
      <c r="N567" s="69">
        <v>34500</v>
      </c>
      <c r="O567" s="48" t="s">
        <v>265</v>
      </c>
    </row>
    <row r="568" spans="1:15" x14ac:dyDescent="0.3">
      <c r="A568" s="20" t="s">
        <v>332</v>
      </c>
      <c r="B568" s="10" t="s">
        <v>44</v>
      </c>
      <c r="C568" s="32" t="s">
        <v>254</v>
      </c>
      <c r="D568" s="32" t="s">
        <v>39</v>
      </c>
      <c r="E568" s="32" t="s">
        <v>27</v>
      </c>
      <c r="F568" s="32" t="s">
        <v>52</v>
      </c>
      <c r="G568" s="32" t="s">
        <v>47</v>
      </c>
      <c r="H568" s="41">
        <v>45676</v>
      </c>
      <c r="I568" s="70">
        <v>202</v>
      </c>
      <c r="J568" s="70">
        <v>200</v>
      </c>
      <c r="K568" s="71">
        <v>0.1</v>
      </c>
      <c r="L568" s="10" t="s">
        <v>36</v>
      </c>
      <c r="M568" s="72">
        <v>40400</v>
      </c>
      <c r="N568" s="72">
        <v>36360</v>
      </c>
      <c r="O568" s="12" t="s">
        <v>265</v>
      </c>
    </row>
    <row r="569" spans="1:15" x14ac:dyDescent="0.3">
      <c r="A569" s="20" t="s">
        <v>333</v>
      </c>
      <c r="B569" s="23" t="s">
        <v>16</v>
      </c>
      <c r="C569" s="29" t="s">
        <v>250</v>
      </c>
      <c r="D569" s="29" t="s">
        <v>39</v>
      </c>
      <c r="E569" s="29" t="s">
        <v>51</v>
      </c>
      <c r="F569" s="29" t="s">
        <v>46</v>
      </c>
      <c r="G569" s="29" t="s">
        <v>29</v>
      </c>
      <c r="H569" s="38">
        <v>45657</v>
      </c>
      <c r="I569" s="61">
        <v>25</v>
      </c>
      <c r="J569" s="61">
        <v>990</v>
      </c>
      <c r="K569" s="62">
        <v>0.14000000000000001</v>
      </c>
      <c r="L569" s="45" t="s">
        <v>36</v>
      </c>
      <c r="M569" s="63">
        <v>24750</v>
      </c>
      <c r="N569" s="63">
        <v>21285</v>
      </c>
      <c r="O569" s="46" t="s">
        <v>265</v>
      </c>
    </row>
    <row r="570" spans="1:15" x14ac:dyDescent="0.3">
      <c r="A570" s="20" t="s">
        <v>334</v>
      </c>
      <c r="B570" s="11" t="s">
        <v>25</v>
      </c>
      <c r="C570" s="30" t="s">
        <v>257</v>
      </c>
      <c r="D570" s="30" t="s">
        <v>26</v>
      </c>
      <c r="E570" s="30" t="s">
        <v>40</v>
      </c>
      <c r="F570" s="30" t="s">
        <v>52</v>
      </c>
      <c r="G570" s="30" t="s">
        <v>35</v>
      </c>
      <c r="H570" s="39">
        <v>45676</v>
      </c>
      <c r="I570" s="64">
        <v>385</v>
      </c>
      <c r="J570" s="64">
        <v>350</v>
      </c>
      <c r="K570" s="65">
        <v>0.14000000000000001</v>
      </c>
      <c r="L570" s="11" t="s">
        <v>30</v>
      </c>
      <c r="M570" s="66">
        <v>134750</v>
      </c>
      <c r="N570" s="66">
        <v>115885</v>
      </c>
      <c r="O570" s="13" t="s">
        <v>267</v>
      </c>
    </row>
    <row r="571" spans="1:15" x14ac:dyDescent="0.3">
      <c r="A571" s="20" t="s">
        <v>335</v>
      </c>
      <c r="B571" s="10" t="s">
        <v>55</v>
      </c>
      <c r="C571" s="32" t="s">
        <v>249</v>
      </c>
      <c r="D571" s="32" t="s">
        <v>39</v>
      </c>
      <c r="E571" s="32" t="s">
        <v>33</v>
      </c>
      <c r="F571" s="32" t="s">
        <v>52</v>
      </c>
      <c r="G571" s="32" t="s">
        <v>47</v>
      </c>
      <c r="H571" s="41">
        <v>45676</v>
      </c>
      <c r="I571" s="70">
        <v>213</v>
      </c>
      <c r="J571" s="70">
        <v>650</v>
      </c>
      <c r="K571" s="71">
        <v>0.08</v>
      </c>
      <c r="L571" s="10" t="s">
        <v>30</v>
      </c>
      <c r="M571" s="72">
        <v>138450</v>
      </c>
      <c r="N571" s="72">
        <v>127374</v>
      </c>
      <c r="O571" s="12" t="s">
        <v>267</v>
      </c>
    </row>
    <row r="572" spans="1:15" x14ac:dyDescent="0.3">
      <c r="A572" s="20" t="s">
        <v>336</v>
      </c>
      <c r="B572" s="11" t="s">
        <v>38</v>
      </c>
      <c r="C572" s="30" t="s">
        <v>247</v>
      </c>
      <c r="D572" s="30" t="s">
        <v>39</v>
      </c>
      <c r="E572" s="30" t="s">
        <v>51</v>
      </c>
      <c r="F572" s="30" t="s">
        <v>34</v>
      </c>
      <c r="G572" s="30" t="s">
        <v>47</v>
      </c>
      <c r="H572" s="39">
        <v>45678</v>
      </c>
      <c r="I572" s="64">
        <v>147</v>
      </c>
      <c r="J572" s="64">
        <v>1200</v>
      </c>
      <c r="K572" s="65">
        <v>0.11</v>
      </c>
      <c r="L572" s="11" t="s">
        <v>36</v>
      </c>
      <c r="M572" s="66">
        <v>176400</v>
      </c>
      <c r="N572" s="66">
        <v>156996</v>
      </c>
      <c r="O572" s="13" t="s">
        <v>267</v>
      </c>
    </row>
    <row r="573" spans="1:15" x14ac:dyDescent="0.3">
      <c r="A573" s="20" t="s">
        <v>337</v>
      </c>
      <c r="B573" s="10" t="s">
        <v>25</v>
      </c>
      <c r="C573" s="32" t="s">
        <v>257</v>
      </c>
      <c r="D573" s="32" t="s">
        <v>26</v>
      </c>
      <c r="E573" s="32" t="s">
        <v>40</v>
      </c>
      <c r="F573" s="32" t="s">
        <v>52</v>
      </c>
      <c r="G573" s="32" t="s">
        <v>53</v>
      </c>
      <c r="H573" s="41">
        <v>45678</v>
      </c>
      <c r="I573" s="70">
        <v>446</v>
      </c>
      <c r="J573" s="70">
        <v>350</v>
      </c>
      <c r="K573" s="71">
        <v>0.08</v>
      </c>
      <c r="L573" s="10" t="s">
        <v>30</v>
      </c>
      <c r="M573" s="72">
        <v>156100</v>
      </c>
      <c r="N573" s="72">
        <v>143612</v>
      </c>
      <c r="O573" s="12" t="s">
        <v>267</v>
      </c>
    </row>
    <row r="574" spans="1:15" x14ac:dyDescent="0.3">
      <c r="A574" s="20" t="s">
        <v>338</v>
      </c>
      <c r="B574" s="11" t="s">
        <v>25</v>
      </c>
      <c r="C574" s="30" t="s">
        <v>257</v>
      </c>
      <c r="D574" s="30" t="s">
        <v>26</v>
      </c>
      <c r="E574" s="30" t="s">
        <v>40</v>
      </c>
      <c r="F574" s="30" t="s">
        <v>28</v>
      </c>
      <c r="G574" s="30" t="s">
        <v>35</v>
      </c>
      <c r="H574" s="39">
        <v>45678</v>
      </c>
      <c r="I574" s="64">
        <v>191</v>
      </c>
      <c r="J574" s="64">
        <v>350</v>
      </c>
      <c r="K574" s="65">
        <v>0.13</v>
      </c>
      <c r="L574" s="11" t="s">
        <v>36</v>
      </c>
      <c r="M574" s="66">
        <v>66850</v>
      </c>
      <c r="N574" s="66">
        <v>58159.5</v>
      </c>
      <c r="O574" s="13" t="s">
        <v>265</v>
      </c>
    </row>
    <row r="575" spans="1:15" x14ac:dyDescent="0.3">
      <c r="A575" s="20" t="s">
        <v>339</v>
      </c>
      <c r="B575" s="10" t="s">
        <v>25</v>
      </c>
      <c r="C575" s="32" t="s">
        <v>257</v>
      </c>
      <c r="D575" s="32" t="s">
        <v>26</v>
      </c>
      <c r="E575" s="32" t="s">
        <v>45</v>
      </c>
      <c r="F575" s="32" t="s">
        <v>28</v>
      </c>
      <c r="G575" s="32" t="s">
        <v>53</v>
      </c>
      <c r="H575" s="41">
        <v>45679</v>
      </c>
      <c r="I575" s="70">
        <v>231</v>
      </c>
      <c r="J575" s="70">
        <v>350</v>
      </c>
      <c r="K575" s="71">
        <v>0.13</v>
      </c>
      <c r="L575" s="10" t="s">
        <v>36</v>
      </c>
      <c r="M575" s="72">
        <v>80850</v>
      </c>
      <c r="N575" s="72">
        <v>70339.5</v>
      </c>
      <c r="O575" s="12" t="s">
        <v>265</v>
      </c>
    </row>
    <row r="576" spans="1:15" x14ac:dyDescent="0.3">
      <c r="A576" s="20" t="s">
        <v>340</v>
      </c>
      <c r="B576" s="11" t="s">
        <v>49</v>
      </c>
      <c r="C576" s="30" t="s">
        <v>251</v>
      </c>
      <c r="D576" s="30" t="s">
        <v>50</v>
      </c>
      <c r="E576" s="30" t="s">
        <v>51</v>
      </c>
      <c r="F576" s="30" t="s">
        <v>28</v>
      </c>
      <c r="G576" s="30" t="s">
        <v>29</v>
      </c>
      <c r="H576" s="39">
        <v>45679</v>
      </c>
      <c r="I576" s="64">
        <v>106</v>
      </c>
      <c r="J576" s="64">
        <v>895</v>
      </c>
      <c r="K576" s="65">
        <v>0.11</v>
      </c>
      <c r="L576" s="11" t="s">
        <v>30</v>
      </c>
      <c r="M576" s="66">
        <v>94870</v>
      </c>
      <c r="N576" s="66">
        <v>84434.3</v>
      </c>
      <c r="O576" s="13" t="s">
        <v>265</v>
      </c>
    </row>
    <row r="577" spans="1:15" x14ac:dyDescent="0.3">
      <c r="A577" s="20" t="s">
        <v>341</v>
      </c>
      <c r="B577" s="10" t="s">
        <v>55</v>
      </c>
      <c r="C577" s="32" t="s">
        <v>249</v>
      </c>
      <c r="D577" s="32" t="s">
        <v>39</v>
      </c>
      <c r="E577" s="32" t="s">
        <v>27</v>
      </c>
      <c r="F577" s="32" t="s">
        <v>34</v>
      </c>
      <c r="G577" s="32" t="s">
        <v>53</v>
      </c>
      <c r="H577" s="41">
        <v>45680</v>
      </c>
      <c r="I577" s="70">
        <v>168</v>
      </c>
      <c r="J577" s="70">
        <v>650</v>
      </c>
      <c r="K577" s="71">
        <v>0.12</v>
      </c>
      <c r="L577" s="10" t="s">
        <v>36</v>
      </c>
      <c r="M577" s="72">
        <v>109200</v>
      </c>
      <c r="N577" s="72">
        <v>96096</v>
      </c>
      <c r="O577" s="12" t="s">
        <v>265</v>
      </c>
    </row>
    <row r="578" spans="1:15" x14ac:dyDescent="0.3">
      <c r="A578" s="20" t="s">
        <v>342</v>
      </c>
      <c r="B578" s="11" t="s">
        <v>63</v>
      </c>
      <c r="C578" s="30" t="s">
        <v>253</v>
      </c>
      <c r="D578" s="30" t="s">
        <v>50</v>
      </c>
      <c r="E578" s="30" t="s">
        <v>27</v>
      </c>
      <c r="F578" s="30" t="s">
        <v>34</v>
      </c>
      <c r="G578" s="30" t="s">
        <v>56</v>
      </c>
      <c r="H578" s="39">
        <v>45680</v>
      </c>
      <c r="I578" s="64">
        <v>205</v>
      </c>
      <c r="J578" s="64">
        <v>750</v>
      </c>
      <c r="K578" s="65">
        <v>0.15</v>
      </c>
      <c r="L578" s="11" t="s">
        <v>36</v>
      </c>
      <c r="M578" s="66">
        <v>153750</v>
      </c>
      <c r="N578" s="66">
        <v>130687.5</v>
      </c>
      <c r="O578" s="13" t="s">
        <v>267</v>
      </c>
    </row>
    <row r="579" spans="1:15" x14ac:dyDescent="0.3">
      <c r="A579" s="20" t="s">
        <v>343</v>
      </c>
      <c r="B579" s="10" t="s">
        <v>25</v>
      </c>
      <c r="C579" s="32" t="s">
        <v>257</v>
      </c>
      <c r="D579" s="32" t="s">
        <v>26</v>
      </c>
      <c r="E579" s="32" t="s">
        <v>27</v>
      </c>
      <c r="F579" s="32" t="s">
        <v>52</v>
      </c>
      <c r="G579" s="32" t="s">
        <v>29</v>
      </c>
      <c r="H579" s="41">
        <v>45680</v>
      </c>
      <c r="I579" s="70">
        <v>304</v>
      </c>
      <c r="J579" s="70">
        <v>350</v>
      </c>
      <c r="K579" s="71">
        <v>0.13</v>
      </c>
      <c r="L579" s="10" t="s">
        <v>36</v>
      </c>
      <c r="M579" s="72">
        <v>106400</v>
      </c>
      <c r="N579" s="72">
        <v>92568</v>
      </c>
      <c r="O579" s="12" t="s">
        <v>265</v>
      </c>
    </row>
    <row r="580" spans="1:15" x14ac:dyDescent="0.3">
      <c r="A580" s="20" t="s">
        <v>344</v>
      </c>
      <c r="B580" s="11" t="s">
        <v>16</v>
      </c>
      <c r="C580" s="30" t="s">
        <v>250</v>
      </c>
      <c r="D580" s="30" t="s">
        <v>39</v>
      </c>
      <c r="E580" s="30" t="s">
        <v>40</v>
      </c>
      <c r="F580" s="30" t="s">
        <v>52</v>
      </c>
      <c r="G580" s="30" t="s">
        <v>29</v>
      </c>
      <c r="H580" s="39">
        <v>45681</v>
      </c>
      <c r="I580" s="64">
        <v>320</v>
      </c>
      <c r="J580" s="64">
        <v>990</v>
      </c>
      <c r="K580" s="65">
        <v>0.1</v>
      </c>
      <c r="L580" s="11" t="s">
        <v>36</v>
      </c>
      <c r="M580" s="66">
        <v>316800</v>
      </c>
      <c r="N580" s="66">
        <v>285120</v>
      </c>
      <c r="O580" s="13" t="s">
        <v>267</v>
      </c>
    </row>
    <row r="581" spans="1:15" x14ac:dyDescent="0.3">
      <c r="A581" s="20" t="s">
        <v>345</v>
      </c>
      <c r="B581" s="10" t="s">
        <v>55</v>
      </c>
      <c r="C581" s="32" t="s">
        <v>249</v>
      </c>
      <c r="D581" s="32" t="s">
        <v>39</v>
      </c>
      <c r="E581" s="32" t="s">
        <v>51</v>
      </c>
      <c r="F581" s="32" t="s">
        <v>28</v>
      </c>
      <c r="G581" s="32" t="s">
        <v>29</v>
      </c>
      <c r="H581" s="41">
        <v>45681</v>
      </c>
      <c r="I581" s="70">
        <v>446</v>
      </c>
      <c r="J581" s="70">
        <v>650</v>
      </c>
      <c r="K581" s="71">
        <v>0.1</v>
      </c>
      <c r="L581" s="10" t="s">
        <v>36</v>
      </c>
      <c r="M581" s="72">
        <v>289900</v>
      </c>
      <c r="N581" s="72">
        <v>260910</v>
      </c>
      <c r="O581" s="12" t="s">
        <v>267</v>
      </c>
    </row>
    <row r="582" spans="1:15" x14ac:dyDescent="0.3">
      <c r="A582" s="20" t="s">
        <v>346</v>
      </c>
      <c r="B582" s="11" t="s">
        <v>38</v>
      </c>
      <c r="C582" s="30" t="s">
        <v>247</v>
      </c>
      <c r="D582" s="30" t="s">
        <v>39</v>
      </c>
      <c r="E582" s="30" t="s">
        <v>51</v>
      </c>
      <c r="F582" s="30" t="s">
        <v>46</v>
      </c>
      <c r="G582" s="30" t="s">
        <v>42</v>
      </c>
      <c r="H582" s="39">
        <v>45681</v>
      </c>
      <c r="I582" s="64">
        <v>40</v>
      </c>
      <c r="J582" s="64">
        <v>1200</v>
      </c>
      <c r="K582" s="65">
        <v>0.05</v>
      </c>
      <c r="L582" s="11" t="s">
        <v>36</v>
      </c>
      <c r="M582" s="66">
        <v>48000</v>
      </c>
      <c r="N582" s="66">
        <v>45600</v>
      </c>
      <c r="O582" s="13" t="s">
        <v>265</v>
      </c>
    </row>
    <row r="583" spans="1:15" x14ac:dyDescent="0.3">
      <c r="A583" s="20" t="s">
        <v>347</v>
      </c>
      <c r="B583" s="10" t="s">
        <v>49</v>
      </c>
      <c r="C583" s="32" t="s">
        <v>251</v>
      </c>
      <c r="D583" s="32" t="s">
        <v>50</v>
      </c>
      <c r="E583" s="32" t="s">
        <v>33</v>
      </c>
      <c r="F583" s="32" t="s">
        <v>52</v>
      </c>
      <c r="G583" s="32" t="s">
        <v>42</v>
      </c>
      <c r="H583" s="41">
        <v>45684</v>
      </c>
      <c r="I583" s="70">
        <v>248</v>
      </c>
      <c r="J583" s="70">
        <v>895</v>
      </c>
      <c r="K583" s="71">
        <v>0.15</v>
      </c>
      <c r="L583" s="10" t="s">
        <v>30</v>
      </c>
      <c r="M583" s="72">
        <v>221960</v>
      </c>
      <c r="N583" s="72">
        <v>188666</v>
      </c>
      <c r="O583" s="12" t="s">
        <v>267</v>
      </c>
    </row>
    <row r="584" spans="1:15" x14ac:dyDescent="0.3">
      <c r="A584" s="20" t="s">
        <v>348</v>
      </c>
      <c r="B584" s="11" t="s">
        <v>55</v>
      </c>
      <c r="C584" s="30" t="s">
        <v>249</v>
      </c>
      <c r="D584" s="30" t="s">
        <v>39</v>
      </c>
      <c r="E584" s="30" t="s">
        <v>33</v>
      </c>
      <c r="F584" s="30" t="s">
        <v>34</v>
      </c>
      <c r="G584" s="30" t="s">
        <v>53</v>
      </c>
      <c r="H584" s="39">
        <v>45685</v>
      </c>
      <c r="I584" s="64">
        <v>217</v>
      </c>
      <c r="J584" s="64">
        <v>650</v>
      </c>
      <c r="K584" s="65">
        <v>0.15</v>
      </c>
      <c r="L584" s="11" t="s">
        <v>36</v>
      </c>
      <c r="M584" s="66">
        <v>141050</v>
      </c>
      <c r="N584" s="66">
        <v>119892.5</v>
      </c>
      <c r="O584" s="13" t="s">
        <v>267</v>
      </c>
    </row>
    <row r="585" spans="1:15" x14ac:dyDescent="0.3">
      <c r="A585" s="20" t="s">
        <v>349</v>
      </c>
      <c r="B585" s="10" t="s">
        <v>55</v>
      </c>
      <c r="C585" s="32" t="s">
        <v>249</v>
      </c>
      <c r="D585" s="32" t="s">
        <v>39</v>
      </c>
      <c r="E585" s="32" t="s">
        <v>45</v>
      </c>
      <c r="F585" s="32" t="s">
        <v>28</v>
      </c>
      <c r="G585" s="32" t="s">
        <v>53</v>
      </c>
      <c r="H585" s="41">
        <v>45687</v>
      </c>
      <c r="I585" s="70">
        <v>395</v>
      </c>
      <c r="J585" s="70">
        <v>650</v>
      </c>
      <c r="K585" s="71">
        <v>0</v>
      </c>
      <c r="L585" s="10" t="s">
        <v>36</v>
      </c>
      <c r="M585" s="72">
        <v>256750</v>
      </c>
      <c r="N585" s="72">
        <v>256750</v>
      </c>
      <c r="O585" s="12" t="s">
        <v>267</v>
      </c>
    </row>
    <row r="586" spans="1:15" x14ac:dyDescent="0.3">
      <c r="A586" s="20" t="s">
        <v>350</v>
      </c>
      <c r="B586" s="11" t="s">
        <v>63</v>
      </c>
      <c r="C586" s="30" t="s">
        <v>253</v>
      </c>
      <c r="D586" s="30" t="s">
        <v>50</v>
      </c>
      <c r="E586" s="30" t="s">
        <v>40</v>
      </c>
      <c r="F586" s="30" t="s">
        <v>41</v>
      </c>
      <c r="G586" s="30" t="s">
        <v>47</v>
      </c>
      <c r="H586" s="39">
        <v>45687</v>
      </c>
      <c r="I586" s="64">
        <v>396</v>
      </c>
      <c r="J586" s="64">
        <v>750</v>
      </c>
      <c r="K586" s="65">
        <v>0.15</v>
      </c>
      <c r="L586" s="11" t="s">
        <v>30</v>
      </c>
      <c r="M586" s="66">
        <v>297000</v>
      </c>
      <c r="N586" s="66">
        <v>252450</v>
      </c>
      <c r="O586" s="13" t="s">
        <v>267</v>
      </c>
    </row>
    <row r="587" spans="1:15" x14ac:dyDescent="0.3">
      <c r="A587" s="20" t="s">
        <v>351</v>
      </c>
      <c r="B587" s="10" t="s">
        <v>49</v>
      </c>
      <c r="C587" s="32" t="s">
        <v>251</v>
      </c>
      <c r="D587" s="32" t="s">
        <v>50</v>
      </c>
      <c r="E587" s="32" t="s">
        <v>51</v>
      </c>
      <c r="F587" s="32" t="s">
        <v>28</v>
      </c>
      <c r="G587" s="32" t="s">
        <v>29</v>
      </c>
      <c r="H587" s="41">
        <v>45687</v>
      </c>
      <c r="I587" s="70">
        <v>361</v>
      </c>
      <c r="J587" s="70">
        <v>895</v>
      </c>
      <c r="K587" s="71">
        <v>0.05</v>
      </c>
      <c r="L587" s="10" t="s">
        <v>30</v>
      </c>
      <c r="M587" s="72">
        <v>323095</v>
      </c>
      <c r="N587" s="72">
        <v>306940.25</v>
      </c>
      <c r="O587" s="12" t="s">
        <v>267</v>
      </c>
    </row>
    <row r="588" spans="1:15" x14ac:dyDescent="0.3">
      <c r="A588" s="20" t="s">
        <v>352</v>
      </c>
      <c r="B588" s="11" t="s">
        <v>44</v>
      </c>
      <c r="C588" s="30" t="s">
        <v>254</v>
      </c>
      <c r="D588" s="30" t="s">
        <v>39</v>
      </c>
      <c r="E588" s="30" t="s">
        <v>45</v>
      </c>
      <c r="F588" s="30" t="s">
        <v>52</v>
      </c>
      <c r="G588" s="30" t="s">
        <v>29</v>
      </c>
      <c r="H588" s="39">
        <v>45688</v>
      </c>
      <c r="I588" s="64">
        <v>147</v>
      </c>
      <c r="J588" s="64">
        <v>200</v>
      </c>
      <c r="K588" s="65">
        <v>0</v>
      </c>
      <c r="L588" s="11" t="s">
        <v>36</v>
      </c>
      <c r="M588" s="66">
        <v>29400</v>
      </c>
      <c r="N588" s="66">
        <v>29400</v>
      </c>
      <c r="O588" s="13" t="s">
        <v>265</v>
      </c>
    </row>
    <row r="589" spans="1:15" x14ac:dyDescent="0.3">
      <c r="A589" s="20" t="s">
        <v>353</v>
      </c>
      <c r="B589" s="10" t="s">
        <v>16</v>
      </c>
      <c r="C589" s="32" t="s">
        <v>250</v>
      </c>
      <c r="D589" s="32" t="s">
        <v>39</v>
      </c>
      <c r="E589" s="32" t="s">
        <v>33</v>
      </c>
      <c r="F589" s="32" t="s">
        <v>28</v>
      </c>
      <c r="G589" s="32" t="s">
        <v>47</v>
      </c>
      <c r="H589" s="41">
        <v>45688</v>
      </c>
      <c r="I589" s="70">
        <v>250</v>
      </c>
      <c r="J589" s="70">
        <v>990</v>
      </c>
      <c r="K589" s="71">
        <v>0</v>
      </c>
      <c r="L589" s="10" t="s">
        <v>30</v>
      </c>
      <c r="M589" s="72">
        <v>247500</v>
      </c>
      <c r="N589" s="72">
        <v>247500</v>
      </c>
      <c r="O589" s="12" t="s">
        <v>267</v>
      </c>
    </row>
    <row r="590" spans="1:15" x14ac:dyDescent="0.3">
      <c r="A590" s="20" t="s">
        <v>354</v>
      </c>
      <c r="B590" s="11" t="s">
        <v>49</v>
      </c>
      <c r="C590" s="30" t="s">
        <v>251</v>
      </c>
      <c r="D590" s="30" t="s">
        <v>50</v>
      </c>
      <c r="E590" s="30" t="s">
        <v>40</v>
      </c>
      <c r="F590" s="30" t="s">
        <v>52</v>
      </c>
      <c r="G590" s="30" t="s">
        <v>29</v>
      </c>
      <c r="H590" s="39">
        <v>45689</v>
      </c>
      <c r="I590" s="64">
        <v>331</v>
      </c>
      <c r="J590" s="64">
        <v>895</v>
      </c>
      <c r="K590" s="65">
        <v>0.03</v>
      </c>
      <c r="L590" s="11" t="s">
        <v>30</v>
      </c>
      <c r="M590" s="66">
        <v>296245</v>
      </c>
      <c r="N590" s="66">
        <v>287357.65000000002</v>
      </c>
      <c r="O590" s="13" t="s">
        <v>267</v>
      </c>
    </row>
    <row r="591" spans="1:15" x14ac:dyDescent="0.3">
      <c r="A591" s="20" t="s">
        <v>355</v>
      </c>
      <c r="B591" s="10" t="s">
        <v>25</v>
      </c>
      <c r="C591" s="32" t="s">
        <v>257</v>
      </c>
      <c r="D591" s="32" t="s">
        <v>26</v>
      </c>
      <c r="E591" s="32" t="s">
        <v>45</v>
      </c>
      <c r="F591" s="32" t="s">
        <v>52</v>
      </c>
      <c r="G591" s="32" t="s">
        <v>35</v>
      </c>
      <c r="H591" s="41">
        <v>45689</v>
      </c>
      <c r="I591" s="70">
        <v>307</v>
      </c>
      <c r="J591" s="70">
        <v>350</v>
      </c>
      <c r="K591" s="71">
        <v>0</v>
      </c>
      <c r="L591" s="10" t="s">
        <v>30</v>
      </c>
      <c r="M591" s="72">
        <v>107450</v>
      </c>
      <c r="N591" s="72">
        <v>107450</v>
      </c>
      <c r="O591" s="12" t="s">
        <v>267</v>
      </c>
    </row>
    <row r="592" spans="1:15" x14ac:dyDescent="0.3">
      <c r="A592" s="20" t="s">
        <v>356</v>
      </c>
      <c r="B592" s="11" t="s">
        <v>49</v>
      </c>
      <c r="C592" s="30" t="s">
        <v>251</v>
      </c>
      <c r="D592" s="30" t="s">
        <v>50</v>
      </c>
      <c r="E592" s="30" t="s">
        <v>27</v>
      </c>
      <c r="F592" s="30" t="s">
        <v>52</v>
      </c>
      <c r="G592" s="30" t="s">
        <v>42</v>
      </c>
      <c r="H592" s="39">
        <v>45689</v>
      </c>
      <c r="I592" s="64">
        <v>343</v>
      </c>
      <c r="J592" s="64">
        <v>895</v>
      </c>
      <c r="K592" s="65">
        <v>0.03</v>
      </c>
      <c r="L592" s="11" t="s">
        <v>36</v>
      </c>
      <c r="M592" s="66">
        <v>306985</v>
      </c>
      <c r="N592" s="66">
        <v>297775.45</v>
      </c>
      <c r="O592" s="13" t="s">
        <v>267</v>
      </c>
    </row>
    <row r="593" spans="1:15" x14ac:dyDescent="0.3">
      <c r="A593" s="20" t="s">
        <v>357</v>
      </c>
      <c r="B593" s="10" t="s">
        <v>44</v>
      </c>
      <c r="C593" s="32" t="s">
        <v>254</v>
      </c>
      <c r="D593" s="32" t="s">
        <v>39</v>
      </c>
      <c r="E593" s="32" t="s">
        <v>27</v>
      </c>
      <c r="F593" s="32" t="s">
        <v>28</v>
      </c>
      <c r="G593" s="32" t="s">
        <v>53</v>
      </c>
      <c r="H593" s="41">
        <v>45690</v>
      </c>
      <c r="I593" s="70">
        <v>211</v>
      </c>
      <c r="J593" s="70">
        <v>200</v>
      </c>
      <c r="K593" s="71">
        <v>0</v>
      </c>
      <c r="L593" s="10" t="s">
        <v>36</v>
      </c>
      <c r="M593" s="72">
        <v>42200</v>
      </c>
      <c r="N593" s="72">
        <v>42200</v>
      </c>
      <c r="O593" s="12" t="s">
        <v>265</v>
      </c>
    </row>
    <row r="594" spans="1:15" x14ac:dyDescent="0.3">
      <c r="A594" s="20" t="s">
        <v>358</v>
      </c>
      <c r="B594" s="11" t="s">
        <v>49</v>
      </c>
      <c r="C594" s="30" t="s">
        <v>251</v>
      </c>
      <c r="D594" s="30" t="s">
        <v>50</v>
      </c>
      <c r="E594" s="30" t="s">
        <v>45</v>
      </c>
      <c r="F594" s="30" t="s">
        <v>52</v>
      </c>
      <c r="G594" s="30" t="s">
        <v>29</v>
      </c>
      <c r="H594" s="39">
        <v>45691</v>
      </c>
      <c r="I594" s="64">
        <v>153</v>
      </c>
      <c r="J594" s="64">
        <v>895</v>
      </c>
      <c r="K594" s="65">
        <v>0.11</v>
      </c>
      <c r="L594" s="11" t="s">
        <v>30</v>
      </c>
      <c r="M594" s="66">
        <v>136935</v>
      </c>
      <c r="N594" s="66">
        <v>121872.15</v>
      </c>
      <c r="O594" s="13" t="s">
        <v>267</v>
      </c>
    </row>
    <row r="595" spans="1:15" x14ac:dyDescent="0.3">
      <c r="A595" s="20" t="s">
        <v>359</v>
      </c>
      <c r="B595" s="10" t="s">
        <v>58</v>
      </c>
      <c r="C595" s="32" t="s">
        <v>255</v>
      </c>
      <c r="D595" s="32" t="s">
        <v>59</v>
      </c>
      <c r="E595" s="32" t="s">
        <v>40</v>
      </c>
      <c r="F595" s="32" t="s">
        <v>46</v>
      </c>
      <c r="G595" s="32" t="s">
        <v>47</v>
      </c>
      <c r="H595" s="41">
        <v>45691</v>
      </c>
      <c r="I595" s="70">
        <v>52</v>
      </c>
      <c r="J595" s="70">
        <v>2800</v>
      </c>
      <c r="K595" s="71">
        <v>0.03</v>
      </c>
      <c r="L595" s="10" t="s">
        <v>30</v>
      </c>
      <c r="M595" s="72">
        <v>145600</v>
      </c>
      <c r="N595" s="72">
        <v>141232</v>
      </c>
      <c r="O595" s="12" t="s">
        <v>267</v>
      </c>
    </row>
    <row r="596" spans="1:15" x14ac:dyDescent="0.3">
      <c r="A596" s="20" t="s">
        <v>360</v>
      </c>
      <c r="B596" s="11" t="s">
        <v>58</v>
      </c>
      <c r="C596" s="30" t="s">
        <v>255</v>
      </c>
      <c r="D596" s="30" t="s">
        <v>59</v>
      </c>
      <c r="E596" s="30" t="s">
        <v>33</v>
      </c>
      <c r="F596" s="30" t="s">
        <v>41</v>
      </c>
      <c r="G596" s="30" t="s">
        <v>29</v>
      </c>
      <c r="H596" s="39">
        <v>45691</v>
      </c>
      <c r="I596" s="64">
        <v>64</v>
      </c>
      <c r="J596" s="64">
        <v>2800</v>
      </c>
      <c r="K596" s="65">
        <v>0.15</v>
      </c>
      <c r="L596" s="11" t="s">
        <v>36</v>
      </c>
      <c r="M596" s="66">
        <v>179200</v>
      </c>
      <c r="N596" s="66">
        <v>152320</v>
      </c>
      <c r="O596" s="13" t="s">
        <v>267</v>
      </c>
    </row>
    <row r="597" spans="1:15" x14ac:dyDescent="0.3">
      <c r="A597" s="20" t="s">
        <v>361</v>
      </c>
      <c r="B597" s="10" t="s">
        <v>44</v>
      </c>
      <c r="C597" s="32" t="s">
        <v>254</v>
      </c>
      <c r="D597" s="32" t="s">
        <v>39</v>
      </c>
      <c r="E597" s="32" t="s">
        <v>33</v>
      </c>
      <c r="F597" s="32" t="s">
        <v>28</v>
      </c>
      <c r="G597" s="32" t="s">
        <v>56</v>
      </c>
      <c r="H597" s="41">
        <v>45692</v>
      </c>
      <c r="I597" s="70">
        <v>419</v>
      </c>
      <c r="J597" s="70">
        <v>200</v>
      </c>
      <c r="K597" s="71">
        <v>0.05</v>
      </c>
      <c r="L597" s="10" t="s">
        <v>30</v>
      </c>
      <c r="M597" s="72">
        <v>83800</v>
      </c>
      <c r="N597" s="72">
        <v>79610</v>
      </c>
      <c r="O597" s="12" t="s">
        <v>265</v>
      </c>
    </row>
    <row r="598" spans="1:15" x14ac:dyDescent="0.3">
      <c r="A598" s="20" t="s">
        <v>362</v>
      </c>
      <c r="B598" s="11" t="s">
        <v>63</v>
      </c>
      <c r="C598" s="30" t="s">
        <v>253</v>
      </c>
      <c r="D598" s="30" t="s">
        <v>50</v>
      </c>
      <c r="E598" s="30" t="s">
        <v>33</v>
      </c>
      <c r="F598" s="30" t="s">
        <v>52</v>
      </c>
      <c r="G598" s="30" t="s">
        <v>47</v>
      </c>
      <c r="H598" s="39">
        <v>45692</v>
      </c>
      <c r="I598" s="64">
        <v>301</v>
      </c>
      <c r="J598" s="64">
        <v>750</v>
      </c>
      <c r="K598" s="65">
        <v>0.05</v>
      </c>
      <c r="L598" s="11" t="s">
        <v>30</v>
      </c>
      <c r="M598" s="66">
        <v>225750</v>
      </c>
      <c r="N598" s="66">
        <v>214462.5</v>
      </c>
      <c r="O598" s="13" t="s">
        <v>267</v>
      </c>
    </row>
    <row r="599" spans="1:15" x14ac:dyDescent="0.3">
      <c r="A599" s="20" t="s">
        <v>363</v>
      </c>
      <c r="B599" s="10" t="s">
        <v>38</v>
      </c>
      <c r="C599" s="32" t="s">
        <v>247</v>
      </c>
      <c r="D599" s="32" t="s">
        <v>39</v>
      </c>
      <c r="E599" s="32" t="s">
        <v>27</v>
      </c>
      <c r="F599" s="32" t="s">
        <v>34</v>
      </c>
      <c r="G599" s="32" t="s">
        <v>42</v>
      </c>
      <c r="H599" s="41">
        <v>45692</v>
      </c>
      <c r="I599" s="70">
        <v>102</v>
      </c>
      <c r="J599" s="70">
        <v>1200</v>
      </c>
      <c r="K599" s="71">
        <v>0.14000000000000001</v>
      </c>
      <c r="L599" s="10" t="s">
        <v>30</v>
      </c>
      <c r="M599" s="72">
        <v>122400</v>
      </c>
      <c r="N599" s="72">
        <v>105264</v>
      </c>
      <c r="O599" s="12" t="s">
        <v>267</v>
      </c>
    </row>
    <row r="600" spans="1:15" x14ac:dyDescent="0.3">
      <c r="A600" s="20" t="s">
        <v>364</v>
      </c>
      <c r="B600" s="11" t="s">
        <v>63</v>
      </c>
      <c r="C600" s="30" t="s">
        <v>253</v>
      </c>
      <c r="D600" s="30" t="s">
        <v>50</v>
      </c>
      <c r="E600" s="30" t="s">
        <v>51</v>
      </c>
      <c r="F600" s="30" t="s">
        <v>34</v>
      </c>
      <c r="G600" s="30" t="s">
        <v>29</v>
      </c>
      <c r="H600" s="39">
        <v>45694</v>
      </c>
      <c r="I600" s="64">
        <v>102</v>
      </c>
      <c r="J600" s="64">
        <v>750</v>
      </c>
      <c r="K600" s="65">
        <v>0.12</v>
      </c>
      <c r="L600" s="11" t="s">
        <v>30</v>
      </c>
      <c r="M600" s="66">
        <v>76500</v>
      </c>
      <c r="N600" s="66">
        <v>67320</v>
      </c>
      <c r="O600" s="13" t="s">
        <v>265</v>
      </c>
    </row>
    <row r="601" spans="1:15" x14ac:dyDescent="0.3">
      <c r="A601" s="20" t="s">
        <v>365</v>
      </c>
      <c r="B601" s="10" t="s">
        <v>16</v>
      </c>
      <c r="C601" s="32" t="s">
        <v>250</v>
      </c>
      <c r="D601" s="32" t="s">
        <v>39</v>
      </c>
      <c r="E601" s="32" t="s">
        <v>33</v>
      </c>
      <c r="F601" s="32" t="s">
        <v>41</v>
      </c>
      <c r="G601" s="32" t="s">
        <v>29</v>
      </c>
      <c r="H601" s="41">
        <v>45695</v>
      </c>
      <c r="I601" s="70">
        <v>305</v>
      </c>
      <c r="J601" s="70">
        <v>990</v>
      </c>
      <c r="K601" s="71">
        <v>0</v>
      </c>
      <c r="L601" s="10" t="s">
        <v>36</v>
      </c>
      <c r="M601" s="72">
        <v>301950</v>
      </c>
      <c r="N601" s="72">
        <v>301950</v>
      </c>
      <c r="O601" s="12" t="s">
        <v>267</v>
      </c>
    </row>
    <row r="602" spans="1:15" x14ac:dyDescent="0.3">
      <c r="A602" s="20" t="s">
        <v>366</v>
      </c>
      <c r="B602" s="11" t="s">
        <v>16</v>
      </c>
      <c r="C602" s="30" t="s">
        <v>250</v>
      </c>
      <c r="D602" s="30" t="s">
        <v>39</v>
      </c>
      <c r="E602" s="30" t="s">
        <v>27</v>
      </c>
      <c r="F602" s="30" t="s">
        <v>28</v>
      </c>
      <c r="G602" s="30" t="s">
        <v>29</v>
      </c>
      <c r="H602" s="39">
        <v>45695</v>
      </c>
      <c r="I602" s="64">
        <v>205</v>
      </c>
      <c r="J602" s="64">
        <v>990</v>
      </c>
      <c r="K602" s="65">
        <v>0.12</v>
      </c>
      <c r="L602" s="11" t="s">
        <v>30</v>
      </c>
      <c r="M602" s="66">
        <v>202950</v>
      </c>
      <c r="N602" s="66">
        <v>178596</v>
      </c>
      <c r="O602" s="13" t="s">
        <v>267</v>
      </c>
    </row>
    <row r="603" spans="1:15" x14ac:dyDescent="0.3">
      <c r="A603" s="20" t="s">
        <v>367</v>
      </c>
      <c r="B603" s="10" t="s">
        <v>63</v>
      </c>
      <c r="C603" s="32" t="s">
        <v>253</v>
      </c>
      <c r="D603" s="32" t="s">
        <v>50</v>
      </c>
      <c r="E603" s="32" t="s">
        <v>51</v>
      </c>
      <c r="F603" s="32" t="s">
        <v>41</v>
      </c>
      <c r="G603" s="32" t="s">
        <v>56</v>
      </c>
      <c r="H603" s="41">
        <v>45695</v>
      </c>
      <c r="I603" s="70">
        <v>366</v>
      </c>
      <c r="J603" s="70">
        <v>750</v>
      </c>
      <c r="K603" s="71">
        <v>0.08</v>
      </c>
      <c r="L603" s="10" t="s">
        <v>30</v>
      </c>
      <c r="M603" s="72">
        <v>274500</v>
      </c>
      <c r="N603" s="72">
        <v>252540</v>
      </c>
      <c r="O603" s="12" t="s">
        <v>267</v>
      </c>
    </row>
    <row r="604" spans="1:15" x14ac:dyDescent="0.3">
      <c r="A604" s="20" t="s">
        <v>368</v>
      </c>
      <c r="B604" s="11" t="s">
        <v>58</v>
      </c>
      <c r="C604" s="30" t="s">
        <v>255</v>
      </c>
      <c r="D604" s="30" t="s">
        <v>59</v>
      </c>
      <c r="E604" s="30" t="s">
        <v>40</v>
      </c>
      <c r="F604" s="30" t="s">
        <v>41</v>
      </c>
      <c r="G604" s="30" t="s">
        <v>47</v>
      </c>
      <c r="H604" s="39">
        <v>45696</v>
      </c>
      <c r="I604" s="64">
        <v>207</v>
      </c>
      <c r="J604" s="64">
        <v>2800</v>
      </c>
      <c r="K604" s="65">
        <v>0.15</v>
      </c>
      <c r="L604" s="11" t="s">
        <v>36</v>
      </c>
      <c r="M604" s="66">
        <v>579600</v>
      </c>
      <c r="N604" s="66">
        <v>492660</v>
      </c>
      <c r="O604" s="13" t="s">
        <v>277</v>
      </c>
    </row>
    <row r="605" spans="1:15" x14ac:dyDescent="0.3">
      <c r="A605" s="20" t="s">
        <v>369</v>
      </c>
      <c r="B605" s="10" t="s">
        <v>55</v>
      </c>
      <c r="C605" s="32" t="s">
        <v>249</v>
      </c>
      <c r="D605" s="32" t="s">
        <v>39</v>
      </c>
      <c r="E605" s="32" t="s">
        <v>33</v>
      </c>
      <c r="F605" s="32" t="s">
        <v>34</v>
      </c>
      <c r="G605" s="32" t="s">
        <v>56</v>
      </c>
      <c r="H605" s="41">
        <v>45696</v>
      </c>
      <c r="I605" s="70">
        <v>189</v>
      </c>
      <c r="J605" s="70">
        <v>650</v>
      </c>
      <c r="K605" s="71">
        <v>0.11</v>
      </c>
      <c r="L605" s="10" t="s">
        <v>30</v>
      </c>
      <c r="M605" s="72">
        <v>122850</v>
      </c>
      <c r="N605" s="72">
        <v>109336.5</v>
      </c>
      <c r="O605" s="12" t="s">
        <v>267</v>
      </c>
    </row>
    <row r="606" spans="1:15" x14ac:dyDescent="0.3">
      <c r="A606" s="20" t="s">
        <v>370</v>
      </c>
      <c r="B606" s="11" t="s">
        <v>63</v>
      </c>
      <c r="C606" s="30" t="s">
        <v>253</v>
      </c>
      <c r="D606" s="30" t="s">
        <v>50</v>
      </c>
      <c r="E606" s="30" t="s">
        <v>27</v>
      </c>
      <c r="F606" s="30" t="s">
        <v>34</v>
      </c>
      <c r="G606" s="30" t="s">
        <v>35</v>
      </c>
      <c r="H606" s="39">
        <v>45696</v>
      </c>
      <c r="I606" s="64">
        <v>347</v>
      </c>
      <c r="J606" s="64">
        <v>750</v>
      </c>
      <c r="K606" s="65">
        <v>0</v>
      </c>
      <c r="L606" s="11" t="s">
        <v>30</v>
      </c>
      <c r="M606" s="66">
        <v>260250</v>
      </c>
      <c r="N606" s="66">
        <v>260250</v>
      </c>
      <c r="O606" s="13" t="s">
        <v>267</v>
      </c>
    </row>
    <row r="607" spans="1:15" x14ac:dyDescent="0.3">
      <c r="A607" s="20" t="s">
        <v>371</v>
      </c>
      <c r="B607" s="10" t="s">
        <v>55</v>
      </c>
      <c r="C607" s="32" t="s">
        <v>249</v>
      </c>
      <c r="D607" s="32" t="s">
        <v>39</v>
      </c>
      <c r="E607" s="32" t="s">
        <v>27</v>
      </c>
      <c r="F607" s="32" t="s">
        <v>41</v>
      </c>
      <c r="G607" s="32" t="s">
        <v>53</v>
      </c>
      <c r="H607" s="41">
        <v>45697</v>
      </c>
      <c r="I607" s="70">
        <v>277</v>
      </c>
      <c r="J607" s="70">
        <v>650</v>
      </c>
      <c r="K607" s="71">
        <v>0.11</v>
      </c>
      <c r="L607" s="10" t="s">
        <v>30</v>
      </c>
      <c r="M607" s="72">
        <v>180050</v>
      </c>
      <c r="N607" s="72">
        <v>160244.5</v>
      </c>
      <c r="O607" s="12" t="s">
        <v>267</v>
      </c>
    </row>
    <row r="608" spans="1:15" x14ac:dyDescent="0.3">
      <c r="A608" s="20" t="s">
        <v>372</v>
      </c>
      <c r="B608" s="11" t="s">
        <v>58</v>
      </c>
      <c r="C608" s="30" t="s">
        <v>255</v>
      </c>
      <c r="D608" s="30" t="s">
        <v>59</v>
      </c>
      <c r="E608" s="30" t="s">
        <v>51</v>
      </c>
      <c r="F608" s="30" t="s">
        <v>41</v>
      </c>
      <c r="G608" s="30" t="s">
        <v>56</v>
      </c>
      <c r="H608" s="39">
        <v>45697</v>
      </c>
      <c r="I608" s="64">
        <v>24</v>
      </c>
      <c r="J608" s="64">
        <v>2800</v>
      </c>
      <c r="K608" s="65">
        <v>0.05</v>
      </c>
      <c r="L608" s="11" t="s">
        <v>36</v>
      </c>
      <c r="M608" s="66">
        <v>67200</v>
      </c>
      <c r="N608" s="66">
        <v>63840</v>
      </c>
      <c r="O608" s="13" t="s">
        <v>265</v>
      </c>
    </row>
    <row r="609" spans="1:15" x14ac:dyDescent="0.3">
      <c r="A609" s="20" t="s">
        <v>373</v>
      </c>
      <c r="B609" s="10" t="s">
        <v>61</v>
      </c>
      <c r="C609" s="32" t="s">
        <v>244</v>
      </c>
      <c r="D609" s="32" t="s">
        <v>26</v>
      </c>
      <c r="E609" s="32" t="s">
        <v>40</v>
      </c>
      <c r="F609" s="32" t="s">
        <v>41</v>
      </c>
      <c r="G609" s="32" t="s">
        <v>35</v>
      </c>
      <c r="H609" s="41">
        <v>45698</v>
      </c>
      <c r="I609" s="70">
        <v>340</v>
      </c>
      <c r="J609" s="70">
        <v>280</v>
      </c>
      <c r="K609" s="71">
        <v>0.03</v>
      </c>
      <c r="L609" s="10" t="s">
        <v>36</v>
      </c>
      <c r="M609" s="72">
        <v>95200</v>
      </c>
      <c r="N609" s="72">
        <v>92344</v>
      </c>
      <c r="O609" s="12" t="s">
        <v>265</v>
      </c>
    </row>
    <row r="610" spans="1:15" x14ac:dyDescent="0.3">
      <c r="A610" s="20" t="s">
        <v>374</v>
      </c>
      <c r="B610" s="11" t="s">
        <v>49</v>
      </c>
      <c r="C610" s="30" t="s">
        <v>251</v>
      </c>
      <c r="D610" s="30" t="s">
        <v>50</v>
      </c>
      <c r="E610" s="30" t="s">
        <v>51</v>
      </c>
      <c r="F610" s="30" t="s">
        <v>34</v>
      </c>
      <c r="G610" s="30" t="s">
        <v>42</v>
      </c>
      <c r="H610" s="39">
        <v>45698</v>
      </c>
      <c r="I610" s="64">
        <v>136</v>
      </c>
      <c r="J610" s="64">
        <v>895</v>
      </c>
      <c r="K610" s="65">
        <v>0</v>
      </c>
      <c r="L610" s="11" t="s">
        <v>36</v>
      </c>
      <c r="M610" s="66">
        <v>121720</v>
      </c>
      <c r="N610" s="66">
        <v>121720</v>
      </c>
      <c r="O610" s="13" t="s">
        <v>267</v>
      </c>
    </row>
    <row r="611" spans="1:15" x14ac:dyDescent="0.3">
      <c r="A611" s="20" t="s">
        <v>375</v>
      </c>
      <c r="B611" s="10" t="s">
        <v>32</v>
      </c>
      <c r="C611" s="32" t="s">
        <v>246</v>
      </c>
      <c r="D611" s="32" t="s">
        <v>26</v>
      </c>
      <c r="E611" s="32" t="s">
        <v>40</v>
      </c>
      <c r="F611" s="32" t="s">
        <v>34</v>
      </c>
      <c r="G611" s="32" t="s">
        <v>47</v>
      </c>
      <c r="H611" s="41">
        <v>45698</v>
      </c>
      <c r="I611" s="70">
        <v>93</v>
      </c>
      <c r="J611" s="70">
        <v>420</v>
      </c>
      <c r="K611" s="71">
        <v>0.14000000000000001</v>
      </c>
      <c r="L611" s="10" t="s">
        <v>30</v>
      </c>
      <c r="M611" s="72">
        <v>39060</v>
      </c>
      <c r="N611" s="72">
        <v>33591.599999999999</v>
      </c>
      <c r="O611" s="12" t="s">
        <v>265</v>
      </c>
    </row>
    <row r="612" spans="1:15" x14ac:dyDescent="0.3">
      <c r="A612" s="20" t="s">
        <v>376</v>
      </c>
      <c r="B612" s="11" t="s">
        <v>55</v>
      </c>
      <c r="C612" s="30" t="s">
        <v>249</v>
      </c>
      <c r="D612" s="30" t="s">
        <v>39</v>
      </c>
      <c r="E612" s="30" t="s">
        <v>40</v>
      </c>
      <c r="F612" s="30" t="s">
        <v>28</v>
      </c>
      <c r="G612" s="30" t="s">
        <v>42</v>
      </c>
      <c r="H612" s="39">
        <v>45699</v>
      </c>
      <c r="I612" s="64">
        <v>389</v>
      </c>
      <c r="J612" s="64">
        <v>650</v>
      </c>
      <c r="K612" s="65">
        <v>0.13</v>
      </c>
      <c r="L612" s="11" t="s">
        <v>36</v>
      </c>
      <c r="M612" s="66">
        <v>252850</v>
      </c>
      <c r="N612" s="66">
        <v>219979.5</v>
      </c>
      <c r="O612" s="13" t="s">
        <v>267</v>
      </c>
    </row>
    <row r="613" spans="1:15" x14ac:dyDescent="0.3">
      <c r="A613" s="20" t="s">
        <v>377</v>
      </c>
      <c r="B613" s="10" t="s">
        <v>16</v>
      </c>
      <c r="C613" s="32" t="s">
        <v>250</v>
      </c>
      <c r="D613" s="32" t="s">
        <v>39</v>
      </c>
      <c r="E613" s="32" t="s">
        <v>51</v>
      </c>
      <c r="F613" s="32" t="s">
        <v>34</v>
      </c>
      <c r="G613" s="32" t="s">
        <v>29</v>
      </c>
      <c r="H613" s="41">
        <v>45699</v>
      </c>
      <c r="I613" s="70">
        <v>134</v>
      </c>
      <c r="J613" s="70">
        <v>990</v>
      </c>
      <c r="K613" s="71">
        <v>0.13</v>
      </c>
      <c r="L613" s="10" t="s">
        <v>36</v>
      </c>
      <c r="M613" s="72">
        <v>132660</v>
      </c>
      <c r="N613" s="72">
        <v>115414.2</v>
      </c>
      <c r="O613" s="12" t="s">
        <v>267</v>
      </c>
    </row>
    <row r="614" spans="1:15" x14ac:dyDescent="0.3">
      <c r="A614" s="20" t="s">
        <v>378</v>
      </c>
      <c r="B614" s="11" t="s">
        <v>61</v>
      </c>
      <c r="C614" s="30" t="s">
        <v>244</v>
      </c>
      <c r="D614" s="30" t="s">
        <v>26</v>
      </c>
      <c r="E614" s="30" t="s">
        <v>33</v>
      </c>
      <c r="F614" s="30" t="s">
        <v>28</v>
      </c>
      <c r="G614" s="30" t="s">
        <v>29</v>
      </c>
      <c r="H614" s="39">
        <v>45701</v>
      </c>
      <c r="I614" s="64">
        <v>499</v>
      </c>
      <c r="J614" s="64">
        <v>280</v>
      </c>
      <c r="K614" s="65">
        <v>0.15</v>
      </c>
      <c r="L614" s="11" t="s">
        <v>36</v>
      </c>
      <c r="M614" s="66">
        <v>139720</v>
      </c>
      <c r="N614" s="66">
        <v>118762</v>
      </c>
      <c r="O614" s="13" t="s">
        <v>267</v>
      </c>
    </row>
    <row r="615" spans="1:15" x14ac:dyDescent="0.3">
      <c r="A615" s="20" t="s">
        <v>379</v>
      </c>
      <c r="B615" s="10" t="s">
        <v>63</v>
      </c>
      <c r="C615" s="32" t="s">
        <v>253</v>
      </c>
      <c r="D615" s="32" t="s">
        <v>50</v>
      </c>
      <c r="E615" s="32" t="s">
        <v>40</v>
      </c>
      <c r="F615" s="32" t="s">
        <v>52</v>
      </c>
      <c r="G615" s="32" t="s">
        <v>35</v>
      </c>
      <c r="H615" s="41">
        <v>45701</v>
      </c>
      <c r="I615" s="70">
        <v>124</v>
      </c>
      <c r="J615" s="70">
        <v>750</v>
      </c>
      <c r="K615" s="71">
        <v>0.15</v>
      </c>
      <c r="L615" s="10" t="s">
        <v>36</v>
      </c>
      <c r="M615" s="72">
        <v>93000</v>
      </c>
      <c r="N615" s="72">
        <v>79050</v>
      </c>
      <c r="O615" s="12" t="s">
        <v>265</v>
      </c>
    </row>
    <row r="616" spans="1:15" x14ac:dyDescent="0.3">
      <c r="A616" s="20" t="s">
        <v>380</v>
      </c>
      <c r="B616" s="11" t="s">
        <v>55</v>
      </c>
      <c r="C616" s="30" t="s">
        <v>249</v>
      </c>
      <c r="D616" s="30" t="s">
        <v>39</v>
      </c>
      <c r="E616" s="30" t="s">
        <v>51</v>
      </c>
      <c r="F616" s="30" t="s">
        <v>34</v>
      </c>
      <c r="G616" s="30" t="s">
        <v>47</v>
      </c>
      <c r="H616" s="39">
        <v>45701</v>
      </c>
      <c r="I616" s="64">
        <v>205</v>
      </c>
      <c r="J616" s="64">
        <v>650</v>
      </c>
      <c r="K616" s="65">
        <v>0.05</v>
      </c>
      <c r="L616" s="11" t="s">
        <v>36</v>
      </c>
      <c r="M616" s="66">
        <v>133250</v>
      </c>
      <c r="N616" s="66">
        <v>126587.5</v>
      </c>
      <c r="O616" s="13" t="s">
        <v>267</v>
      </c>
    </row>
    <row r="617" spans="1:15" x14ac:dyDescent="0.3">
      <c r="A617" s="20" t="s">
        <v>381</v>
      </c>
      <c r="B617" s="10" t="s">
        <v>58</v>
      </c>
      <c r="C617" s="32" t="s">
        <v>255</v>
      </c>
      <c r="D617" s="32" t="s">
        <v>59</v>
      </c>
      <c r="E617" s="32" t="s">
        <v>51</v>
      </c>
      <c r="F617" s="32" t="s">
        <v>52</v>
      </c>
      <c r="G617" s="32" t="s">
        <v>53</v>
      </c>
      <c r="H617" s="41">
        <v>45702</v>
      </c>
      <c r="I617" s="70">
        <v>324</v>
      </c>
      <c r="J617" s="70">
        <v>2800</v>
      </c>
      <c r="K617" s="71">
        <v>0</v>
      </c>
      <c r="L617" s="10" t="s">
        <v>30</v>
      </c>
      <c r="M617" s="72">
        <v>907200</v>
      </c>
      <c r="N617" s="72">
        <v>907200</v>
      </c>
      <c r="O617" s="12" t="s">
        <v>277</v>
      </c>
    </row>
    <row r="618" spans="1:15" x14ac:dyDescent="0.3">
      <c r="A618" s="20" t="s">
        <v>382</v>
      </c>
      <c r="B618" s="11" t="s">
        <v>38</v>
      </c>
      <c r="C618" s="30" t="s">
        <v>247</v>
      </c>
      <c r="D618" s="30" t="s">
        <v>39</v>
      </c>
      <c r="E618" s="30" t="s">
        <v>33</v>
      </c>
      <c r="F618" s="30" t="s">
        <v>46</v>
      </c>
      <c r="G618" s="30" t="s">
        <v>42</v>
      </c>
      <c r="H618" s="39">
        <v>45702</v>
      </c>
      <c r="I618" s="64">
        <v>141</v>
      </c>
      <c r="J618" s="64">
        <v>1200</v>
      </c>
      <c r="K618" s="65">
        <v>0.15</v>
      </c>
      <c r="L618" s="11" t="s">
        <v>36</v>
      </c>
      <c r="M618" s="66">
        <v>169200</v>
      </c>
      <c r="N618" s="66">
        <v>143820</v>
      </c>
      <c r="O618" s="13" t="s">
        <v>267</v>
      </c>
    </row>
    <row r="619" spans="1:15" x14ac:dyDescent="0.3">
      <c r="A619" s="20" t="s">
        <v>383</v>
      </c>
      <c r="B619" s="10" t="s">
        <v>61</v>
      </c>
      <c r="C619" s="32" t="s">
        <v>244</v>
      </c>
      <c r="D619" s="32" t="s">
        <v>26</v>
      </c>
      <c r="E619" s="32" t="s">
        <v>33</v>
      </c>
      <c r="F619" s="32" t="s">
        <v>46</v>
      </c>
      <c r="G619" s="32" t="s">
        <v>35</v>
      </c>
      <c r="H619" s="41">
        <v>45702</v>
      </c>
      <c r="I619" s="70">
        <v>404</v>
      </c>
      <c r="J619" s="70">
        <v>280</v>
      </c>
      <c r="K619" s="71">
        <v>0</v>
      </c>
      <c r="L619" s="10" t="s">
        <v>36</v>
      </c>
      <c r="M619" s="72">
        <v>113120</v>
      </c>
      <c r="N619" s="72">
        <v>113120</v>
      </c>
      <c r="O619" s="12" t="s">
        <v>267</v>
      </c>
    </row>
    <row r="620" spans="1:15" x14ac:dyDescent="0.3">
      <c r="A620" s="20" t="s">
        <v>384</v>
      </c>
      <c r="B620" s="11" t="s">
        <v>25</v>
      </c>
      <c r="C620" s="30" t="s">
        <v>257</v>
      </c>
      <c r="D620" s="30" t="s">
        <v>26</v>
      </c>
      <c r="E620" s="30" t="s">
        <v>45</v>
      </c>
      <c r="F620" s="30" t="s">
        <v>28</v>
      </c>
      <c r="G620" s="30" t="s">
        <v>47</v>
      </c>
      <c r="H620" s="39">
        <v>45704</v>
      </c>
      <c r="I620" s="64">
        <v>231</v>
      </c>
      <c r="J620" s="64">
        <v>350</v>
      </c>
      <c r="K620" s="65">
        <v>0.12</v>
      </c>
      <c r="L620" s="11" t="s">
        <v>36</v>
      </c>
      <c r="M620" s="66">
        <v>80850</v>
      </c>
      <c r="N620" s="66">
        <v>71148</v>
      </c>
      <c r="O620" s="13" t="s">
        <v>265</v>
      </c>
    </row>
    <row r="621" spans="1:15" x14ac:dyDescent="0.3">
      <c r="A621" s="20" t="s">
        <v>385</v>
      </c>
      <c r="B621" s="10" t="s">
        <v>32</v>
      </c>
      <c r="C621" s="32" t="s">
        <v>246</v>
      </c>
      <c r="D621" s="32" t="s">
        <v>26</v>
      </c>
      <c r="E621" s="32" t="s">
        <v>40</v>
      </c>
      <c r="F621" s="32" t="s">
        <v>28</v>
      </c>
      <c r="G621" s="32" t="s">
        <v>47</v>
      </c>
      <c r="H621" s="41">
        <v>45704</v>
      </c>
      <c r="I621" s="70">
        <v>50</v>
      </c>
      <c r="J621" s="70">
        <v>420</v>
      </c>
      <c r="K621" s="71">
        <v>7.0000000000000007E-2</v>
      </c>
      <c r="L621" s="10" t="s">
        <v>36</v>
      </c>
      <c r="M621" s="72">
        <v>21000</v>
      </c>
      <c r="N621" s="72">
        <v>19530</v>
      </c>
      <c r="O621" s="12" t="s">
        <v>265</v>
      </c>
    </row>
    <row r="622" spans="1:15" x14ac:dyDescent="0.3">
      <c r="A622" s="20" t="s">
        <v>386</v>
      </c>
      <c r="B622" s="11" t="s">
        <v>49</v>
      </c>
      <c r="C622" s="30" t="s">
        <v>251</v>
      </c>
      <c r="D622" s="30" t="s">
        <v>50</v>
      </c>
      <c r="E622" s="30" t="s">
        <v>51</v>
      </c>
      <c r="F622" s="30" t="s">
        <v>52</v>
      </c>
      <c r="G622" s="30" t="s">
        <v>42</v>
      </c>
      <c r="H622" s="39">
        <v>45705</v>
      </c>
      <c r="I622" s="64">
        <v>75</v>
      </c>
      <c r="J622" s="64">
        <v>895</v>
      </c>
      <c r="K622" s="65">
        <v>0.08</v>
      </c>
      <c r="L622" s="11" t="s">
        <v>36</v>
      </c>
      <c r="M622" s="66">
        <v>67125</v>
      </c>
      <c r="N622" s="66">
        <v>61755</v>
      </c>
      <c r="O622" s="13" t="s">
        <v>265</v>
      </c>
    </row>
    <row r="623" spans="1:15" x14ac:dyDescent="0.3">
      <c r="A623" s="20" t="s">
        <v>387</v>
      </c>
      <c r="B623" s="10" t="s">
        <v>16</v>
      </c>
      <c r="C623" s="32" t="s">
        <v>250</v>
      </c>
      <c r="D623" s="32" t="s">
        <v>39</v>
      </c>
      <c r="E623" s="32" t="s">
        <v>27</v>
      </c>
      <c r="F623" s="32" t="s">
        <v>52</v>
      </c>
      <c r="G623" s="32" t="s">
        <v>29</v>
      </c>
      <c r="H623" s="41">
        <v>45705</v>
      </c>
      <c r="I623" s="70">
        <v>182</v>
      </c>
      <c r="J623" s="70">
        <v>990</v>
      </c>
      <c r="K623" s="71">
        <v>0.03</v>
      </c>
      <c r="L623" s="10" t="s">
        <v>30</v>
      </c>
      <c r="M623" s="72">
        <v>180180</v>
      </c>
      <c r="N623" s="72">
        <v>174774.6</v>
      </c>
      <c r="O623" s="12" t="s">
        <v>267</v>
      </c>
    </row>
    <row r="624" spans="1:15" x14ac:dyDescent="0.3">
      <c r="A624" s="20" t="s">
        <v>388</v>
      </c>
      <c r="B624" s="11" t="s">
        <v>58</v>
      </c>
      <c r="C624" s="30" t="s">
        <v>255</v>
      </c>
      <c r="D624" s="30" t="s">
        <v>59</v>
      </c>
      <c r="E624" s="30" t="s">
        <v>33</v>
      </c>
      <c r="F624" s="30" t="s">
        <v>28</v>
      </c>
      <c r="G624" s="30" t="s">
        <v>47</v>
      </c>
      <c r="H624" s="39">
        <v>45705</v>
      </c>
      <c r="I624" s="64">
        <v>361</v>
      </c>
      <c r="J624" s="64">
        <v>2800</v>
      </c>
      <c r="K624" s="65">
        <v>0.13</v>
      </c>
      <c r="L624" s="11" t="s">
        <v>30</v>
      </c>
      <c r="M624" s="66">
        <v>1010800</v>
      </c>
      <c r="N624" s="66">
        <v>879396</v>
      </c>
      <c r="O624" s="13" t="s">
        <v>277</v>
      </c>
    </row>
    <row r="625" spans="1:15" x14ac:dyDescent="0.3">
      <c r="A625" s="20" t="s">
        <v>389</v>
      </c>
      <c r="B625" s="10" t="s">
        <v>38</v>
      </c>
      <c r="C625" s="32" t="s">
        <v>247</v>
      </c>
      <c r="D625" s="32" t="s">
        <v>39</v>
      </c>
      <c r="E625" s="32" t="s">
        <v>27</v>
      </c>
      <c r="F625" s="32" t="s">
        <v>34</v>
      </c>
      <c r="G625" s="32" t="s">
        <v>42</v>
      </c>
      <c r="H625" s="41">
        <v>45706</v>
      </c>
      <c r="I625" s="70">
        <v>201</v>
      </c>
      <c r="J625" s="70">
        <v>1200</v>
      </c>
      <c r="K625" s="71">
        <v>0.11</v>
      </c>
      <c r="L625" s="10" t="s">
        <v>30</v>
      </c>
      <c r="M625" s="72">
        <v>241200</v>
      </c>
      <c r="N625" s="72">
        <v>214668</v>
      </c>
      <c r="O625" s="12" t="s">
        <v>267</v>
      </c>
    </row>
    <row r="626" spans="1:15" x14ac:dyDescent="0.3">
      <c r="A626" s="20" t="s">
        <v>390</v>
      </c>
      <c r="B626" s="11" t="s">
        <v>55</v>
      </c>
      <c r="C626" s="30" t="s">
        <v>249</v>
      </c>
      <c r="D626" s="30" t="s">
        <v>39</v>
      </c>
      <c r="E626" s="30" t="s">
        <v>33</v>
      </c>
      <c r="F626" s="30" t="s">
        <v>41</v>
      </c>
      <c r="G626" s="30" t="s">
        <v>47</v>
      </c>
      <c r="H626" s="39">
        <v>45706</v>
      </c>
      <c r="I626" s="64">
        <v>365</v>
      </c>
      <c r="J626" s="64">
        <v>650</v>
      </c>
      <c r="K626" s="65">
        <v>7.0000000000000007E-2</v>
      </c>
      <c r="L626" s="11" t="s">
        <v>30</v>
      </c>
      <c r="M626" s="66">
        <v>237250</v>
      </c>
      <c r="N626" s="66">
        <v>220642.5</v>
      </c>
      <c r="O626" s="13" t="s">
        <v>267</v>
      </c>
    </row>
    <row r="627" spans="1:15" x14ac:dyDescent="0.3">
      <c r="A627" s="20" t="s">
        <v>391</v>
      </c>
      <c r="B627" s="10" t="s">
        <v>55</v>
      </c>
      <c r="C627" s="32" t="s">
        <v>249</v>
      </c>
      <c r="D627" s="32" t="s">
        <v>39</v>
      </c>
      <c r="E627" s="32" t="s">
        <v>45</v>
      </c>
      <c r="F627" s="32" t="s">
        <v>28</v>
      </c>
      <c r="G627" s="32" t="s">
        <v>29</v>
      </c>
      <c r="H627" s="41">
        <v>45708</v>
      </c>
      <c r="I627" s="70">
        <v>371</v>
      </c>
      <c r="J627" s="70">
        <v>650</v>
      </c>
      <c r="K627" s="71">
        <v>0.11</v>
      </c>
      <c r="L627" s="10" t="s">
        <v>36</v>
      </c>
      <c r="M627" s="72">
        <v>241150</v>
      </c>
      <c r="N627" s="72">
        <v>214623.5</v>
      </c>
      <c r="O627" s="12" t="s">
        <v>267</v>
      </c>
    </row>
    <row r="628" spans="1:15" x14ac:dyDescent="0.3">
      <c r="A628" s="20" t="s">
        <v>392</v>
      </c>
      <c r="B628" s="11" t="s">
        <v>58</v>
      </c>
      <c r="C628" s="30" t="s">
        <v>255</v>
      </c>
      <c r="D628" s="30" t="s">
        <v>59</v>
      </c>
      <c r="E628" s="30" t="s">
        <v>27</v>
      </c>
      <c r="F628" s="30" t="s">
        <v>46</v>
      </c>
      <c r="G628" s="30" t="s">
        <v>35</v>
      </c>
      <c r="H628" s="39">
        <v>45708</v>
      </c>
      <c r="I628" s="64">
        <v>300</v>
      </c>
      <c r="J628" s="64">
        <v>2800</v>
      </c>
      <c r="K628" s="65">
        <v>0</v>
      </c>
      <c r="L628" s="11" t="s">
        <v>36</v>
      </c>
      <c r="M628" s="66">
        <v>840000</v>
      </c>
      <c r="N628" s="66">
        <v>840000</v>
      </c>
      <c r="O628" s="13" t="s">
        <v>277</v>
      </c>
    </row>
    <row r="629" spans="1:15" x14ac:dyDescent="0.3">
      <c r="A629" s="20" t="s">
        <v>393</v>
      </c>
      <c r="B629" s="10" t="s">
        <v>61</v>
      </c>
      <c r="C629" s="32" t="s">
        <v>244</v>
      </c>
      <c r="D629" s="32" t="s">
        <v>26</v>
      </c>
      <c r="E629" s="32" t="s">
        <v>45</v>
      </c>
      <c r="F629" s="32" t="s">
        <v>34</v>
      </c>
      <c r="G629" s="32" t="s">
        <v>56</v>
      </c>
      <c r="H629" s="41">
        <v>45708</v>
      </c>
      <c r="I629" s="70">
        <v>88</v>
      </c>
      <c r="J629" s="70">
        <v>280</v>
      </c>
      <c r="K629" s="71">
        <v>0.12</v>
      </c>
      <c r="L629" s="10" t="s">
        <v>36</v>
      </c>
      <c r="M629" s="72">
        <v>24640</v>
      </c>
      <c r="N629" s="72">
        <v>21683.200000000001</v>
      </c>
      <c r="O629" s="12" t="s">
        <v>265</v>
      </c>
    </row>
    <row r="630" spans="1:15" x14ac:dyDescent="0.3">
      <c r="A630" s="20" t="s">
        <v>394</v>
      </c>
      <c r="B630" s="11" t="s">
        <v>16</v>
      </c>
      <c r="C630" s="30" t="s">
        <v>250</v>
      </c>
      <c r="D630" s="30" t="s">
        <v>39</v>
      </c>
      <c r="E630" s="30" t="s">
        <v>33</v>
      </c>
      <c r="F630" s="30" t="s">
        <v>46</v>
      </c>
      <c r="G630" s="30" t="s">
        <v>35</v>
      </c>
      <c r="H630" s="39">
        <v>45710</v>
      </c>
      <c r="I630" s="64">
        <v>215</v>
      </c>
      <c r="J630" s="64">
        <v>990</v>
      </c>
      <c r="K630" s="65">
        <v>0</v>
      </c>
      <c r="L630" s="11" t="s">
        <v>36</v>
      </c>
      <c r="M630" s="66">
        <v>212850</v>
      </c>
      <c r="N630" s="66">
        <v>212850</v>
      </c>
      <c r="O630" s="13" t="s">
        <v>267</v>
      </c>
    </row>
    <row r="631" spans="1:15" x14ac:dyDescent="0.3">
      <c r="A631" s="20" t="s">
        <v>395</v>
      </c>
      <c r="B631" s="10" t="s">
        <v>55</v>
      </c>
      <c r="C631" s="32" t="s">
        <v>249</v>
      </c>
      <c r="D631" s="32" t="s">
        <v>39</v>
      </c>
      <c r="E631" s="32" t="s">
        <v>51</v>
      </c>
      <c r="F631" s="32" t="s">
        <v>46</v>
      </c>
      <c r="G631" s="32" t="s">
        <v>35</v>
      </c>
      <c r="H631" s="41">
        <v>45710</v>
      </c>
      <c r="I631" s="70">
        <v>66</v>
      </c>
      <c r="J631" s="70">
        <v>650</v>
      </c>
      <c r="K631" s="71">
        <v>0.13</v>
      </c>
      <c r="L631" s="10" t="s">
        <v>36</v>
      </c>
      <c r="M631" s="72">
        <v>42900</v>
      </c>
      <c r="N631" s="72">
        <v>37323</v>
      </c>
      <c r="O631" s="12" t="s">
        <v>265</v>
      </c>
    </row>
    <row r="632" spans="1:15" x14ac:dyDescent="0.3">
      <c r="A632" s="20" t="s">
        <v>396</v>
      </c>
      <c r="B632" s="11" t="s">
        <v>44</v>
      </c>
      <c r="C632" s="30" t="s">
        <v>254</v>
      </c>
      <c r="D632" s="30" t="s">
        <v>39</v>
      </c>
      <c r="E632" s="30" t="s">
        <v>27</v>
      </c>
      <c r="F632" s="30" t="s">
        <v>52</v>
      </c>
      <c r="G632" s="30" t="s">
        <v>29</v>
      </c>
      <c r="H632" s="39">
        <v>45710</v>
      </c>
      <c r="I632" s="64">
        <v>401</v>
      </c>
      <c r="J632" s="64">
        <v>200</v>
      </c>
      <c r="K632" s="65">
        <v>0</v>
      </c>
      <c r="L632" s="11" t="s">
        <v>36</v>
      </c>
      <c r="M632" s="66">
        <v>80200</v>
      </c>
      <c r="N632" s="66">
        <v>80200</v>
      </c>
      <c r="O632" s="13" t="s">
        <v>265</v>
      </c>
    </row>
    <row r="633" spans="1:15" x14ac:dyDescent="0.3">
      <c r="A633" s="20" t="s">
        <v>397</v>
      </c>
      <c r="B633" s="10" t="s">
        <v>49</v>
      </c>
      <c r="C633" s="32" t="s">
        <v>251</v>
      </c>
      <c r="D633" s="32" t="s">
        <v>50</v>
      </c>
      <c r="E633" s="32" t="s">
        <v>40</v>
      </c>
      <c r="F633" s="32" t="s">
        <v>34</v>
      </c>
      <c r="G633" s="32" t="s">
        <v>47</v>
      </c>
      <c r="H633" s="41">
        <v>45711</v>
      </c>
      <c r="I633" s="70">
        <v>358</v>
      </c>
      <c r="J633" s="70">
        <v>895</v>
      </c>
      <c r="K633" s="71">
        <v>0.08</v>
      </c>
      <c r="L633" s="10" t="s">
        <v>30</v>
      </c>
      <c r="M633" s="72">
        <v>320410</v>
      </c>
      <c r="N633" s="72">
        <v>294777.2</v>
      </c>
      <c r="O633" s="12" t="s">
        <v>267</v>
      </c>
    </row>
    <row r="634" spans="1:15" x14ac:dyDescent="0.3">
      <c r="A634" s="20" t="s">
        <v>398</v>
      </c>
      <c r="B634" s="11" t="s">
        <v>63</v>
      </c>
      <c r="C634" s="30" t="s">
        <v>253</v>
      </c>
      <c r="D634" s="30" t="s">
        <v>50</v>
      </c>
      <c r="E634" s="30" t="s">
        <v>33</v>
      </c>
      <c r="F634" s="30" t="s">
        <v>28</v>
      </c>
      <c r="G634" s="30" t="s">
        <v>56</v>
      </c>
      <c r="H634" s="39">
        <v>45711</v>
      </c>
      <c r="I634" s="64">
        <v>164</v>
      </c>
      <c r="J634" s="64">
        <v>750</v>
      </c>
      <c r="K634" s="65">
        <v>0.13</v>
      </c>
      <c r="L634" s="11" t="s">
        <v>30</v>
      </c>
      <c r="M634" s="66">
        <v>123000</v>
      </c>
      <c r="N634" s="66">
        <v>107010</v>
      </c>
      <c r="O634" s="13" t="s">
        <v>267</v>
      </c>
    </row>
    <row r="635" spans="1:15" x14ac:dyDescent="0.3">
      <c r="A635" s="20" t="s">
        <v>399</v>
      </c>
      <c r="B635" s="10" t="s">
        <v>16</v>
      </c>
      <c r="C635" s="32" t="s">
        <v>250</v>
      </c>
      <c r="D635" s="32" t="s">
        <v>39</v>
      </c>
      <c r="E635" s="32" t="s">
        <v>40</v>
      </c>
      <c r="F635" s="32" t="s">
        <v>34</v>
      </c>
      <c r="G635" s="32" t="s">
        <v>47</v>
      </c>
      <c r="H635" s="41">
        <v>45711</v>
      </c>
      <c r="I635" s="70">
        <v>151</v>
      </c>
      <c r="J635" s="70">
        <v>990</v>
      </c>
      <c r="K635" s="71">
        <v>0.12</v>
      </c>
      <c r="L635" s="10" t="s">
        <v>30</v>
      </c>
      <c r="M635" s="72">
        <v>149490</v>
      </c>
      <c r="N635" s="72">
        <v>131551.20000000001</v>
      </c>
      <c r="O635" s="12" t="s">
        <v>267</v>
      </c>
    </row>
    <row r="636" spans="1:15" x14ac:dyDescent="0.3">
      <c r="A636" s="20" t="s">
        <v>400</v>
      </c>
      <c r="B636" s="11" t="s">
        <v>32</v>
      </c>
      <c r="C636" s="30" t="s">
        <v>246</v>
      </c>
      <c r="D636" s="30" t="s">
        <v>26</v>
      </c>
      <c r="E636" s="30" t="s">
        <v>33</v>
      </c>
      <c r="F636" s="30" t="s">
        <v>41</v>
      </c>
      <c r="G636" s="30" t="s">
        <v>29</v>
      </c>
      <c r="H636" s="39">
        <v>45712</v>
      </c>
      <c r="I636" s="64">
        <v>119</v>
      </c>
      <c r="J636" s="64">
        <v>420</v>
      </c>
      <c r="K636" s="65">
        <v>0.13</v>
      </c>
      <c r="L636" s="11" t="s">
        <v>36</v>
      </c>
      <c r="M636" s="66">
        <v>49980</v>
      </c>
      <c r="N636" s="66">
        <v>43482.6</v>
      </c>
      <c r="O636" s="13" t="s">
        <v>265</v>
      </c>
    </row>
    <row r="637" spans="1:15" x14ac:dyDescent="0.3">
      <c r="A637" s="20" t="s">
        <v>401</v>
      </c>
      <c r="B637" s="10" t="s">
        <v>61</v>
      </c>
      <c r="C637" s="32" t="s">
        <v>244</v>
      </c>
      <c r="D637" s="32" t="s">
        <v>26</v>
      </c>
      <c r="E637" s="32" t="s">
        <v>33</v>
      </c>
      <c r="F637" s="32" t="s">
        <v>52</v>
      </c>
      <c r="G637" s="32" t="s">
        <v>47</v>
      </c>
      <c r="H637" s="41">
        <v>45712</v>
      </c>
      <c r="I637" s="70">
        <v>340</v>
      </c>
      <c r="J637" s="70">
        <v>280</v>
      </c>
      <c r="K637" s="71">
        <v>0.11</v>
      </c>
      <c r="L637" s="10" t="s">
        <v>30</v>
      </c>
      <c r="M637" s="72">
        <v>95200</v>
      </c>
      <c r="N637" s="72">
        <v>84728</v>
      </c>
      <c r="O637" s="12" t="s">
        <v>265</v>
      </c>
    </row>
    <row r="638" spans="1:15" x14ac:dyDescent="0.3">
      <c r="A638" s="20" t="s">
        <v>402</v>
      </c>
      <c r="B638" s="11" t="s">
        <v>32</v>
      </c>
      <c r="C638" s="30" t="s">
        <v>246</v>
      </c>
      <c r="D638" s="30" t="s">
        <v>26</v>
      </c>
      <c r="E638" s="30" t="s">
        <v>45</v>
      </c>
      <c r="F638" s="30" t="s">
        <v>46</v>
      </c>
      <c r="G638" s="30" t="s">
        <v>29</v>
      </c>
      <c r="H638" s="39">
        <v>45712</v>
      </c>
      <c r="I638" s="64">
        <v>185</v>
      </c>
      <c r="J638" s="64">
        <v>420</v>
      </c>
      <c r="K638" s="65">
        <v>0.05</v>
      </c>
      <c r="L638" s="11" t="s">
        <v>36</v>
      </c>
      <c r="M638" s="66">
        <v>77700</v>
      </c>
      <c r="N638" s="66">
        <v>73815</v>
      </c>
      <c r="O638" s="13" t="s">
        <v>265</v>
      </c>
    </row>
    <row r="639" spans="1:15" x14ac:dyDescent="0.3">
      <c r="A639" s="20" t="s">
        <v>403</v>
      </c>
      <c r="B639" s="10" t="s">
        <v>61</v>
      </c>
      <c r="C639" s="32" t="s">
        <v>244</v>
      </c>
      <c r="D639" s="32" t="s">
        <v>26</v>
      </c>
      <c r="E639" s="32" t="s">
        <v>33</v>
      </c>
      <c r="F639" s="32" t="s">
        <v>52</v>
      </c>
      <c r="G639" s="32" t="s">
        <v>42</v>
      </c>
      <c r="H639" s="41">
        <v>45713</v>
      </c>
      <c r="I639" s="70">
        <v>196</v>
      </c>
      <c r="J639" s="70">
        <v>280</v>
      </c>
      <c r="K639" s="71">
        <v>0.1</v>
      </c>
      <c r="L639" s="10" t="s">
        <v>36</v>
      </c>
      <c r="M639" s="72">
        <v>54880</v>
      </c>
      <c r="N639" s="72">
        <v>49392</v>
      </c>
      <c r="O639" s="12" t="s">
        <v>265</v>
      </c>
    </row>
    <row r="640" spans="1:15" x14ac:dyDescent="0.3">
      <c r="A640" s="20" t="s">
        <v>404</v>
      </c>
      <c r="B640" s="11" t="s">
        <v>38</v>
      </c>
      <c r="C640" s="30" t="s">
        <v>247</v>
      </c>
      <c r="D640" s="30" t="s">
        <v>39</v>
      </c>
      <c r="E640" s="30" t="s">
        <v>45</v>
      </c>
      <c r="F640" s="30" t="s">
        <v>52</v>
      </c>
      <c r="G640" s="30" t="s">
        <v>29</v>
      </c>
      <c r="H640" s="39">
        <v>45714</v>
      </c>
      <c r="I640" s="64">
        <v>262</v>
      </c>
      <c r="J640" s="64">
        <v>1200</v>
      </c>
      <c r="K640" s="65">
        <v>0.15</v>
      </c>
      <c r="L640" s="11" t="s">
        <v>36</v>
      </c>
      <c r="M640" s="66">
        <v>314400</v>
      </c>
      <c r="N640" s="66">
        <v>267240</v>
      </c>
      <c r="O640" s="13" t="s">
        <v>267</v>
      </c>
    </row>
    <row r="641" spans="1:15" x14ac:dyDescent="0.3">
      <c r="A641" s="20" t="s">
        <v>405</v>
      </c>
      <c r="B641" s="10" t="s">
        <v>63</v>
      </c>
      <c r="C641" s="32" t="s">
        <v>253</v>
      </c>
      <c r="D641" s="32" t="s">
        <v>50</v>
      </c>
      <c r="E641" s="32" t="s">
        <v>45</v>
      </c>
      <c r="F641" s="32" t="s">
        <v>28</v>
      </c>
      <c r="G641" s="32" t="s">
        <v>53</v>
      </c>
      <c r="H641" s="41">
        <v>45714</v>
      </c>
      <c r="I641" s="70">
        <v>211</v>
      </c>
      <c r="J641" s="70">
        <v>750</v>
      </c>
      <c r="K641" s="71">
        <v>0.15</v>
      </c>
      <c r="L641" s="10" t="s">
        <v>36</v>
      </c>
      <c r="M641" s="72">
        <v>158250</v>
      </c>
      <c r="N641" s="72">
        <v>134512.5</v>
      </c>
      <c r="O641" s="12" t="s">
        <v>267</v>
      </c>
    </row>
    <row r="642" spans="1:15" x14ac:dyDescent="0.3">
      <c r="A642" s="20" t="s">
        <v>406</v>
      </c>
      <c r="B642" s="11" t="s">
        <v>16</v>
      </c>
      <c r="C642" s="30" t="s">
        <v>250</v>
      </c>
      <c r="D642" s="30" t="s">
        <v>39</v>
      </c>
      <c r="E642" s="30" t="s">
        <v>27</v>
      </c>
      <c r="F642" s="30" t="s">
        <v>52</v>
      </c>
      <c r="G642" s="30" t="s">
        <v>42</v>
      </c>
      <c r="H642" s="39">
        <v>45715</v>
      </c>
      <c r="I642" s="64">
        <v>133</v>
      </c>
      <c r="J642" s="64">
        <v>990</v>
      </c>
      <c r="K642" s="65">
        <v>0.13</v>
      </c>
      <c r="L642" s="11" t="s">
        <v>36</v>
      </c>
      <c r="M642" s="66">
        <v>131670</v>
      </c>
      <c r="N642" s="66">
        <v>114552.9</v>
      </c>
      <c r="O642" s="13" t="s">
        <v>267</v>
      </c>
    </row>
    <row r="643" spans="1:15" x14ac:dyDescent="0.3">
      <c r="A643" s="20" t="s">
        <v>407</v>
      </c>
      <c r="B643" s="10" t="s">
        <v>44</v>
      </c>
      <c r="C643" s="32" t="s">
        <v>254</v>
      </c>
      <c r="D643" s="32" t="s">
        <v>39</v>
      </c>
      <c r="E643" s="32" t="s">
        <v>51</v>
      </c>
      <c r="F643" s="32" t="s">
        <v>28</v>
      </c>
      <c r="G643" s="32" t="s">
        <v>53</v>
      </c>
      <c r="H643" s="41">
        <v>45715</v>
      </c>
      <c r="I643" s="70">
        <v>102</v>
      </c>
      <c r="J643" s="70">
        <v>200</v>
      </c>
      <c r="K643" s="71">
        <v>0.12</v>
      </c>
      <c r="L643" s="10" t="s">
        <v>30</v>
      </c>
      <c r="M643" s="72">
        <v>20400</v>
      </c>
      <c r="N643" s="72">
        <v>17952</v>
      </c>
      <c r="O643" s="12" t="s">
        <v>265</v>
      </c>
    </row>
    <row r="644" spans="1:15" x14ac:dyDescent="0.3">
      <c r="A644" s="20" t="s">
        <v>408</v>
      </c>
      <c r="B644" s="11" t="s">
        <v>63</v>
      </c>
      <c r="C644" s="30" t="s">
        <v>253</v>
      </c>
      <c r="D644" s="30" t="s">
        <v>50</v>
      </c>
      <c r="E644" s="30" t="s">
        <v>40</v>
      </c>
      <c r="F644" s="30" t="s">
        <v>28</v>
      </c>
      <c r="G644" s="30" t="s">
        <v>29</v>
      </c>
      <c r="H644" s="39">
        <v>45715</v>
      </c>
      <c r="I644" s="64">
        <v>311</v>
      </c>
      <c r="J644" s="64">
        <v>750</v>
      </c>
      <c r="K644" s="65">
        <v>0.1</v>
      </c>
      <c r="L644" s="11" t="s">
        <v>30</v>
      </c>
      <c r="M644" s="66">
        <v>233250</v>
      </c>
      <c r="N644" s="66">
        <v>209925</v>
      </c>
      <c r="O644" s="13" t="s">
        <v>267</v>
      </c>
    </row>
    <row r="645" spans="1:15" x14ac:dyDescent="0.3">
      <c r="A645" s="20" t="s">
        <v>409</v>
      </c>
      <c r="B645" s="10" t="s">
        <v>58</v>
      </c>
      <c r="C645" s="32" t="s">
        <v>255</v>
      </c>
      <c r="D645" s="32" t="s">
        <v>59</v>
      </c>
      <c r="E645" s="32" t="s">
        <v>51</v>
      </c>
      <c r="F645" s="32" t="s">
        <v>34</v>
      </c>
      <c r="G645" s="32" t="s">
        <v>56</v>
      </c>
      <c r="H645" s="41">
        <v>45716</v>
      </c>
      <c r="I645" s="70">
        <v>335</v>
      </c>
      <c r="J645" s="70">
        <v>2800</v>
      </c>
      <c r="K645" s="71">
        <v>0</v>
      </c>
      <c r="L645" s="10" t="s">
        <v>36</v>
      </c>
      <c r="M645" s="72">
        <v>938000</v>
      </c>
      <c r="N645" s="72">
        <v>938000</v>
      </c>
      <c r="O645" s="12" t="s">
        <v>277</v>
      </c>
    </row>
    <row r="646" spans="1:15" x14ac:dyDescent="0.3">
      <c r="A646" s="20" t="s">
        <v>410</v>
      </c>
      <c r="B646" s="11" t="s">
        <v>49</v>
      </c>
      <c r="C646" s="30" t="s">
        <v>251</v>
      </c>
      <c r="D646" s="30" t="s">
        <v>50</v>
      </c>
      <c r="E646" s="30" t="s">
        <v>33</v>
      </c>
      <c r="F646" s="30" t="s">
        <v>41</v>
      </c>
      <c r="G646" s="30" t="s">
        <v>29</v>
      </c>
      <c r="H646" s="39">
        <v>45716</v>
      </c>
      <c r="I646" s="64">
        <v>175</v>
      </c>
      <c r="J646" s="64">
        <v>895</v>
      </c>
      <c r="K646" s="65">
        <v>0.12</v>
      </c>
      <c r="L646" s="11" t="s">
        <v>30</v>
      </c>
      <c r="M646" s="66">
        <v>156625</v>
      </c>
      <c r="N646" s="66">
        <v>137830</v>
      </c>
      <c r="O646" s="13" t="s">
        <v>267</v>
      </c>
    </row>
    <row r="647" spans="1:15" x14ac:dyDescent="0.3">
      <c r="A647" s="20" t="s">
        <v>411</v>
      </c>
      <c r="B647" s="10" t="s">
        <v>55</v>
      </c>
      <c r="C647" s="32" t="s">
        <v>249</v>
      </c>
      <c r="D647" s="32" t="s">
        <v>39</v>
      </c>
      <c r="E647" s="32" t="s">
        <v>51</v>
      </c>
      <c r="F647" s="32" t="s">
        <v>34</v>
      </c>
      <c r="G647" s="32" t="s">
        <v>47</v>
      </c>
      <c r="H647" s="41">
        <v>45717</v>
      </c>
      <c r="I647" s="70">
        <v>240</v>
      </c>
      <c r="J647" s="70">
        <v>650</v>
      </c>
      <c r="K647" s="71">
        <v>0.11</v>
      </c>
      <c r="L647" s="10" t="s">
        <v>36</v>
      </c>
      <c r="M647" s="72">
        <v>156000</v>
      </c>
      <c r="N647" s="72">
        <v>138840</v>
      </c>
      <c r="O647" s="12" t="s">
        <v>267</v>
      </c>
    </row>
    <row r="648" spans="1:15" x14ac:dyDescent="0.3">
      <c r="A648" s="20" t="s">
        <v>412</v>
      </c>
      <c r="B648" s="11" t="s">
        <v>55</v>
      </c>
      <c r="C648" s="30" t="s">
        <v>249</v>
      </c>
      <c r="D648" s="30" t="s">
        <v>39</v>
      </c>
      <c r="E648" s="30" t="s">
        <v>33</v>
      </c>
      <c r="F648" s="30" t="s">
        <v>28</v>
      </c>
      <c r="G648" s="30" t="s">
        <v>47</v>
      </c>
      <c r="H648" s="39">
        <v>45717</v>
      </c>
      <c r="I648" s="64">
        <v>180</v>
      </c>
      <c r="J648" s="64">
        <v>650</v>
      </c>
      <c r="K648" s="65">
        <v>0.1</v>
      </c>
      <c r="L648" s="11" t="s">
        <v>36</v>
      </c>
      <c r="M648" s="66">
        <v>117000</v>
      </c>
      <c r="N648" s="66">
        <v>105300</v>
      </c>
      <c r="O648" s="13" t="s">
        <v>267</v>
      </c>
    </row>
    <row r="649" spans="1:15" x14ac:dyDescent="0.3">
      <c r="A649" s="20" t="s">
        <v>413</v>
      </c>
      <c r="B649" s="10" t="s">
        <v>38</v>
      </c>
      <c r="C649" s="32" t="s">
        <v>247</v>
      </c>
      <c r="D649" s="32" t="s">
        <v>39</v>
      </c>
      <c r="E649" s="32" t="s">
        <v>40</v>
      </c>
      <c r="F649" s="32" t="s">
        <v>34</v>
      </c>
      <c r="G649" s="32" t="s">
        <v>47</v>
      </c>
      <c r="H649" s="41">
        <v>45717</v>
      </c>
      <c r="I649" s="70">
        <v>185</v>
      </c>
      <c r="J649" s="70">
        <v>1200</v>
      </c>
      <c r="K649" s="71">
        <v>0.1</v>
      </c>
      <c r="L649" s="10" t="s">
        <v>30</v>
      </c>
      <c r="M649" s="72">
        <v>222000</v>
      </c>
      <c r="N649" s="72">
        <v>199800</v>
      </c>
      <c r="O649" s="12" t="s">
        <v>267</v>
      </c>
    </row>
    <row r="650" spans="1:15" x14ac:dyDescent="0.3">
      <c r="A650" s="20" t="s">
        <v>414</v>
      </c>
      <c r="B650" s="11" t="s">
        <v>58</v>
      </c>
      <c r="C650" s="30" t="s">
        <v>255</v>
      </c>
      <c r="D650" s="30" t="s">
        <v>59</v>
      </c>
      <c r="E650" s="30" t="s">
        <v>27</v>
      </c>
      <c r="F650" s="30" t="s">
        <v>28</v>
      </c>
      <c r="G650" s="30" t="s">
        <v>53</v>
      </c>
      <c r="H650" s="39">
        <v>45719</v>
      </c>
      <c r="I650" s="64">
        <v>379</v>
      </c>
      <c r="J650" s="64">
        <v>2800</v>
      </c>
      <c r="K650" s="65">
        <v>0</v>
      </c>
      <c r="L650" s="11" t="s">
        <v>30</v>
      </c>
      <c r="M650" s="66">
        <v>1061200</v>
      </c>
      <c r="N650" s="66">
        <v>1061200</v>
      </c>
      <c r="O650" s="13" t="s">
        <v>277</v>
      </c>
    </row>
    <row r="651" spans="1:15" x14ac:dyDescent="0.3">
      <c r="A651" s="20" t="s">
        <v>415</v>
      </c>
      <c r="B651" s="10" t="s">
        <v>61</v>
      </c>
      <c r="C651" s="32" t="s">
        <v>244</v>
      </c>
      <c r="D651" s="32" t="s">
        <v>26</v>
      </c>
      <c r="E651" s="32" t="s">
        <v>33</v>
      </c>
      <c r="F651" s="32" t="s">
        <v>34</v>
      </c>
      <c r="G651" s="32" t="s">
        <v>35</v>
      </c>
      <c r="H651" s="41">
        <v>45719</v>
      </c>
      <c r="I651" s="70">
        <v>281</v>
      </c>
      <c r="J651" s="70">
        <v>280</v>
      </c>
      <c r="K651" s="71">
        <v>7.0000000000000007E-2</v>
      </c>
      <c r="L651" s="10" t="s">
        <v>36</v>
      </c>
      <c r="M651" s="72">
        <v>78680</v>
      </c>
      <c r="N651" s="72">
        <v>73172.399999999994</v>
      </c>
      <c r="O651" s="12" t="s">
        <v>265</v>
      </c>
    </row>
    <row r="652" spans="1:15" x14ac:dyDescent="0.3">
      <c r="A652" s="20" t="s">
        <v>416</v>
      </c>
      <c r="B652" s="11" t="s">
        <v>61</v>
      </c>
      <c r="C652" s="30" t="s">
        <v>244</v>
      </c>
      <c r="D652" s="30" t="s">
        <v>26</v>
      </c>
      <c r="E652" s="30" t="s">
        <v>33</v>
      </c>
      <c r="F652" s="30" t="s">
        <v>28</v>
      </c>
      <c r="G652" s="30" t="s">
        <v>56</v>
      </c>
      <c r="H652" s="39">
        <v>45719</v>
      </c>
      <c r="I652" s="64">
        <v>159</v>
      </c>
      <c r="J652" s="64">
        <v>280</v>
      </c>
      <c r="K652" s="65">
        <v>0.11</v>
      </c>
      <c r="L652" s="11" t="s">
        <v>36</v>
      </c>
      <c r="M652" s="66">
        <v>44520</v>
      </c>
      <c r="N652" s="66">
        <v>39622.800000000003</v>
      </c>
      <c r="O652" s="13" t="s">
        <v>265</v>
      </c>
    </row>
    <row r="653" spans="1:15" x14ac:dyDescent="0.3">
      <c r="A653" s="20" t="s">
        <v>417</v>
      </c>
      <c r="B653" s="10" t="s">
        <v>55</v>
      </c>
      <c r="C653" s="32" t="s">
        <v>249</v>
      </c>
      <c r="D653" s="32" t="s">
        <v>39</v>
      </c>
      <c r="E653" s="32" t="s">
        <v>27</v>
      </c>
      <c r="F653" s="32" t="s">
        <v>34</v>
      </c>
      <c r="G653" s="32" t="s">
        <v>47</v>
      </c>
      <c r="H653" s="41">
        <v>45721</v>
      </c>
      <c r="I653" s="70">
        <v>122</v>
      </c>
      <c r="J653" s="70">
        <v>650</v>
      </c>
      <c r="K653" s="71">
        <v>0.14000000000000001</v>
      </c>
      <c r="L653" s="10" t="s">
        <v>36</v>
      </c>
      <c r="M653" s="72">
        <v>79300</v>
      </c>
      <c r="N653" s="72">
        <v>68198</v>
      </c>
      <c r="O653" s="12" t="s">
        <v>265</v>
      </c>
    </row>
    <row r="654" spans="1:15" x14ac:dyDescent="0.3">
      <c r="A654" s="20" t="s">
        <v>418</v>
      </c>
      <c r="B654" s="11" t="s">
        <v>49</v>
      </c>
      <c r="C654" s="30" t="s">
        <v>251</v>
      </c>
      <c r="D654" s="30" t="s">
        <v>50</v>
      </c>
      <c r="E654" s="30" t="s">
        <v>45</v>
      </c>
      <c r="F654" s="30" t="s">
        <v>46</v>
      </c>
      <c r="G654" s="30" t="s">
        <v>29</v>
      </c>
      <c r="H654" s="39">
        <v>45721</v>
      </c>
      <c r="I654" s="64">
        <v>269</v>
      </c>
      <c r="J654" s="64">
        <v>895</v>
      </c>
      <c r="K654" s="65">
        <v>0.03</v>
      </c>
      <c r="L654" s="11" t="s">
        <v>36</v>
      </c>
      <c r="M654" s="66">
        <v>240755</v>
      </c>
      <c r="N654" s="66">
        <v>233532.35</v>
      </c>
      <c r="O654" s="13" t="s">
        <v>267</v>
      </c>
    </row>
    <row r="655" spans="1:15" x14ac:dyDescent="0.3">
      <c r="A655" s="20" t="s">
        <v>419</v>
      </c>
      <c r="B655" s="10" t="s">
        <v>58</v>
      </c>
      <c r="C655" s="32" t="s">
        <v>255</v>
      </c>
      <c r="D655" s="32" t="s">
        <v>59</v>
      </c>
      <c r="E655" s="32" t="s">
        <v>40</v>
      </c>
      <c r="F655" s="32" t="s">
        <v>34</v>
      </c>
      <c r="G655" s="32" t="s">
        <v>42</v>
      </c>
      <c r="H655" s="41">
        <v>45721</v>
      </c>
      <c r="I655" s="70">
        <v>287</v>
      </c>
      <c r="J655" s="70">
        <v>2800</v>
      </c>
      <c r="K655" s="71">
        <v>7.0000000000000007E-2</v>
      </c>
      <c r="L655" s="10" t="s">
        <v>30</v>
      </c>
      <c r="M655" s="72">
        <v>803600</v>
      </c>
      <c r="N655" s="72">
        <v>747348</v>
      </c>
      <c r="O655" s="12" t="s">
        <v>277</v>
      </c>
    </row>
    <row r="656" spans="1:15" x14ac:dyDescent="0.3">
      <c r="A656" s="20" t="s">
        <v>420</v>
      </c>
      <c r="B656" s="11" t="s">
        <v>55</v>
      </c>
      <c r="C656" s="30" t="s">
        <v>249</v>
      </c>
      <c r="D656" s="30" t="s">
        <v>39</v>
      </c>
      <c r="E656" s="30" t="s">
        <v>27</v>
      </c>
      <c r="F656" s="30" t="s">
        <v>41</v>
      </c>
      <c r="G656" s="30" t="s">
        <v>29</v>
      </c>
      <c r="H656" s="39">
        <v>45724</v>
      </c>
      <c r="I656" s="64">
        <v>175</v>
      </c>
      <c r="J656" s="64">
        <v>650</v>
      </c>
      <c r="K656" s="65">
        <v>0.14000000000000001</v>
      </c>
      <c r="L656" s="11" t="s">
        <v>36</v>
      </c>
      <c r="M656" s="66">
        <v>113750</v>
      </c>
      <c r="N656" s="66">
        <v>97825</v>
      </c>
      <c r="O656" s="13" t="s">
        <v>265</v>
      </c>
    </row>
    <row r="657" spans="1:15" x14ac:dyDescent="0.3">
      <c r="A657" s="20" t="s">
        <v>421</v>
      </c>
      <c r="B657" s="10" t="s">
        <v>38</v>
      </c>
      <c r="C657" s="32" t="s">
        <v>247</v>
      </c>
      <c r="D657" s="32" t="s">
        <v>39</v>
      </c>
      <c r="E657" s="32" t="s">
        <v>27</v>
      </c>
      <c r="F657" s="32" t="s">
        <v>52</v>
      </c>
      <c r="G657" s="32" t="s">
        <v>53</v>
      </c>
      <c r="H657" s="41">
        <v>45725</v>
      </c>
      <c r="I657" s="70">
        <v>58</v>
      </c>
      <c r="J657" s="70">
        <v>1200</v>
      </c>
      <c r="K657" s="71">
        <v>0</v>
      </c>
      <c r="L657" s="10" t="s">
        <v>36</v>
      </c>
      <c r="M657" s="72">
        <v>69600</v>
      </c>
      <c r="N657" s="72">
        <v>69600</v>
      </c>
      <c r="O657" s="12" t="s">
        <v>265</v>
      </c>
    </row>
    <row r="658" spans="1:15" x14ac:dyDescent="0.3">
      <c r="A658" s="20" t="s">
        <v>422</v>
      </c>
      <c r="B658" s="11" t="s">
        <v>38</v>
      </c>
      <c r="C658" s="30" t="s">
        <v>247</v>
      </c>
      <c r="D658" s="30" t="s">
        <v>39</v>
      </c>
      <c r="E658" s="30" t="s">
        <v>33</v>
      </c>
      <c r="F658" s="30" t="s">
        <v>41</v>
      </c>
      <c r="G658" s="30" t="s">
        <v>35</v>
      </c>
      <c r="H658" s="39">
        <v>45725</v>
      </c>
      <c r="I658" s="64">
        <v>288</v>
      </c>
      <c r="J658" s="64">
        <v>1200</v>
      </c>
      <c r="K658" s="65">
        <v>0</v>
      </c>
      <c r="L658" s="11" t="s">
        <v>36</v>
      </c>
      <c r="M658" s="66">
        <v>345600</v>
      </c>
      <c r="N658" s="66">
        <v>345600</v>
      </c>
      <c r="O658" s="13" t="s">
        <v>267</v>
      </c>
    </row>
    <row r="659" spans="1:15" x14ac:dyDescent="0.3">
      <c r="A659" s="20" t="s">
        <v>423</v>
      </c>
      <c r="B659" s="10" t="s">
        <v>55</v>
      </c>
      <c r="C659" s="32" t="s">
        <v>249</v>
      </c>
      <c r="D659" s="32" t="s">
        <v>39</v>
      </c>
      <c r="E659" s="32" t="s">
        <v>40</v>
      </c>
      <c r="F659" s="32" t="s">
        <v>46</v>
      </c>
      <c r="G659" s="32" t="s">
        <v>53</v>
      </c>
      <c r="H659" s="41">
        <v>45725</v>
      </c>
      <c r="I659" s="70">
        <v>272</v>
      </c>
      <c r="J659" s="70">
        <v>650</v>
      </c>
      <c r="K659" s="71">
        <v>7.0000000000000007E-2</v>
      </c>
      <c r="L659" s="10" t="s">
        <v>30</v>
      </c>
      <c r="M659" s="72">
        <v>176800</v>
      </c>
      <c r="N659" s="72">
        <v>164424</v>
      </c>
      <c r="O659" s="12" t="s">
        <v>267</v>
      </c>
    </row>
    <row r="660" spans="1:15" x14ac:dyDescent="0.3">
      <c r="A660" s="20" t="s">
        <v>424</v>
      </c>
      <c r="B660" s="11" t="s">
        <v>55</v>
      </c>
      <c r="C660" s="30" t="s">
        <v>249</v>
      </c>
      <c r="D660" s="30" t="s">
        <v>39</v>
      </c>
      <c r="E660" s="30" t="s">
        <v>27</v>
      </c>
      <c r="F660" s="30" t="s">
        <v>41</v>
      </c>
      <c r="G660" s="30" t="s">
        <v>47</v>
      </c>
      <c r="H660" s="39">
        <v>45726</v>
      </c>
      <c r="I660" s="64">
        <v>241</v>
      </c>
      <c r="J660" s="64">
        <v>650</v>
      </c>
      <c r="K660" s="65">
        <v>0.14000000000000001</v>
      </c>
      <c r="L660" s="11" t="s">
        <v>36</v>
      </c>
      <c r="M660" s="66">
        <v>156650</v>
      </c>
      <c r="N660" s="66">
        <v>134719</v>
      </c>
      <c r="O660" s="13" t="s">
        <v>267</v>
      </c>
    </row>
    <row r="661" spans="1:15" x14ac:dyDescent="0.3">
      <c r="A661" s="20" t="s">
        <v>425</v>
      </c>
      <c r="B661" s="10" t="s">
        <v>63</v>
      </c>
      <c r="C661" s="32" t="s">
        <v>253</v>
      </c>
      <c r="D661" s="32" t="s">
        <v>50</v>
      </c>
      <c r="E661" s="32" t="s">
        <v>40</v>
      </c>
      <c r="F661" s="32" t="s">
        <v>41</v>
      </c>
      <c r="G661" s="32" t="s">
        <v>29</v>
      </c>
      <c r="H661" s="41">
        <v>45726</v>
      </c>
      <c r="I661" s="70">
        <v>262</v>
      </c>
      <c r="J661" s="70">
        <v>750</v>
      </c>
      <c r="K661" s="71">
        <v>0.13</v>
      </c>
      <c r="L661" s="10" t="s">
        <v>36</v>
      </c>
      <c r="M661" s="72">
        <v>196500</v>
      </c>
      <c r="N661" s="72">
        <v>170955</v>
      </c>
      <c r="O661" s="12" t="s">
        <v>267</v>
      </c>
    </row>
    <row r="662" spans="1:15" x14ac:dyDescent="0.3">
      <c r="A662" s="20" t="s">
        <v>426</v>
      </c>
      <c r="B662" s="11" t="s">
        <v>49</v>
      </c>
      <c r="C662" s="30" t="s">
        <v>251</v>
      </c>
      <c r="D662" s="30" t="s">
        <v>50</v>
      </c>
      <c r="E662" s="30" t="s">
        <v>33</v>
      </c>
      <c r="F662" s="30" t="s">
        <v>46</v>
      </c>
      <c r="G662" s="30" t="s">
        <v>42</v>
      </c>
      <c r="H662" s="39">
        <v>45726</v>
      </c>
      <c r="I662" s="64">
        <v>344</v>
      </c>
      <c r="J662" s="64">
        <v>895</v>
      </c>
      <c r="K662" s="65">
        <v>0.1</v>
      </c>
      <c r="L662" s="11" t="s">
        <v>36</v>
      </c>
      <c r="M662" s="66">
        <v>307880</v>
      </c>
      <c r="N662" s="66">
        <v>277092</v>
      </c>
      <c r="O662" s="13" t="s">
        <v>267</v>
      </c>
    </row>
    <row r="663" spans="1:15" x14ac:dyDescent="0.3">
      <c r="A663" s="20" t="s">
        <v>427</v>
      </c>
      <c r="B663" s="10" t="s">
        <v>63</v>
      </c>
      <c r="C663" s="32" t="s">
        <v>253</v>
      </c>
      <c r="D663" s="32" t="s">
        <v>50</v>
      </c>
      <c r="E663" s="32" t="s">
        <v>40</v>
      </c>
      <c r="F663" s="32" t="s">
        <v>28</v>
      </c>
      <c r="G663" s="32" t="s">
        <v>56</v>
      </c>
      <c r="H663" s="41">
        <v>45727</v>
      </c>
      <c r="I663" s="70">
        <v>206</v>
      </c>
      <c r="J663" s="70">
        <v>750</v>
      </c>
      <c r="K663" s="71">
        <v>0.1</v>
      </c>
      <c r="L663" s="10" t="s">
        <v>30</v>
      </c>
      <c r="M663" s="72">
        <v>154500</v>
      </c>
      <c r="N663" s="72">
        <v>139050</v>
      </c>
      <c r="O663" s="12" t="s">
        <v>267</v>
      </c>
    </row>
    <row r="664" spans="1:15" x14ac:dyDescent="0.3">
      <c r="A664" s="20" t="s">
        <v>428</v>
      </c>
      <c r="B664" s="11" t="s">
        <v>63</v>
      </c>
      <c r="C664" s="30" t="s">
        <v>253</v>
      </c>
      <c r="D664" s="30" t="s">
        <v>50</v>
      </c>
      <c r="E664" s="30" t="s">
        <v>51</v>
      </c>
      <c r="F664" s="30" t="s">
        <v>28</v>
      </c>
      <c r="G664" s="30" t="s">
        <v>29</v>
      </c>
      <c r="H664" s="39">
        <v>45728</v>
      </c>
      <c r="I664" s="64">
        <v>92</v>
      </c>
      <c r="J664" s="64">
        <v>750</v>
      </c>
      <c r="K664" s="65">
        <v>0.11</v>
      </c>
      <c r="L664" s="11" t="s">
        <v>36</v>
      </c>
      <c r="M664" s="66">
        <v>69000</v>
      </c>
      <c r="N664" s="66">
        <v>61410</v>
      </c>
      <c r="O664" s="13" t="s">
        <v>265</v>
      </c>
    </row>
    <row r="665" spans="1:15" x14ac:dyDescent="0.3">
      <c r="A665" s="20" t="s">
        <v>429</v>
      </c>
      <c r="B665" s="10" t="s">
        <v>58</v>
      </c>
      <c r="C665" s="32" t="s">
        <v>255</v>
      </c>
      <c r="D665" s="32" t="s">
        <v>59</v>
      </c>
      <c r="E665" s="32" t="s">
        <v>51</v>
      </c>
      <c r="F665" s="32" t="s">
        <v>52</v>
      </c>
      <c r="G665" s="32" t="s">
        <v>29</v>
      </c>
      <c r="H665" s="41">
        <v>45729</v>
      </c>
      <c r="I665" s="70">
        <v>316</v>
      </c>
      <c r="J665" s="70">
        <v>2800</v>
      </c>
      <c r="K665" s="71">
        <v>0.14000000000000001</v>
      </c>
      <c r="L665" s="10" t="s">
        <v>30</v>
      </c>
      <c r="M665" s="72">
        <v>884800</v>
      </c>
      <c r="N665" s="72">
        <v>760928</v>
      </c>
      <c r="O665" s="12" t="s">
        <v>277</v>
      </c>
    </row>
    <row r="666" spans="1:15" x14ac:dyDescent="0.3">
      <c r="A666" s="20" t="s">
        <v>430</v>
      </c>
      <c r="B666" s="11" t="s">
        <v>58</v>
      </c>
      <c r="C666" s="30" t="s">
        <v>255</v>
      </c>
      <c r="D666" s="30" t="s">
        <v>59</v>
      </c>
      <c r="E666" s="30" t="s">
        <v>33</v>
      </c>
      <c r="F666" s="30" t="s">
        <v>52</v>
      </c>
      <c r="G666" s="30" t="s">
        <v>35</v>
      </c>
      <c r="H666" s="39">
        <v>45730</v>
      </c>
      <c r="I666" s="64">
        <v>376</v>
      </c>
      <c r="J666" s="64">
        <v>2800</v>
      </c>
      <c r="K666" s="65">
        <v>0</v>
      </c>
      <c r="L666" s="11" t="s">
        <v>36</v>
      </c>
      <c r="M666" s="66">
        <v>1052800</v>
      </c>
      <c r="N666" s="66">
        <v>1052800</v>
      </c>
      <c r="O666" s="13" t="s">
        <v>277</v>
      </c>
    </row>
    <row r="667" spans="1:15" x14ac:dyDescent="0.3">
      <c r="A667" s="20" t="s">
        <v>431</v>
      </c>
      <c r="B667" s="10" t="s">
        <v>58</v>
      </c>
      <c r="C667" s="32" t="s">
        <v>255</v>
      </c>
      <c r="D667" s="32" t="s">
        <v>59</v>
      </c>
      <c r="E667" s="32" t="s">
        <v>51</v>
      </c>
      <c r="F667" s="32" t="s">
        <v>28</v>
      </c>
      <c r="G667" s="32" t="s">
        <v>29</v>
      </c>
      <c r="H667" s="41">
        <v>45730</v>
      </c>
      <c r="I667" s="70">
        <v>323</v>
      </c>
      <c r="J667" s="70">
        <v>2800</v>
      </c>
      <c r="K667" s="71">
        <v>0.03</v>
      </c>
      <c r="L667" s="10" t="s">
        <v>30</v>
      </c>
      <c r="M667" s="72">
        <v>904400</v>
      </c>
      <c r="N667" s="72">
        <v>877268</v>
      </c>
      <c r="O667" s="12" t="s">
        <v>277</v>
      </c>
    </row>
    <row r="668" spans="1:15" x14ac:dyDescent="0.3">
      <c r="A668" s="20" t="s">
        <v>432</v>
      </c>
      <c r="B668" s="11" t="s">
        <v>58</v>
      </c>
      <c r="C668" s="30" t="s">
        <v>255</v>
      </c>
      <c r="D668" s="30" t="s">
        <v>59</v>
      </c>
      <c r="E668" s="30" t="s">
        <v>27</v>
      </c>
      <c r="F668" s="30" t="s">
        <v>41</v>
      </c>
      <c r="G668" s="30" t="s">
        <v>35</v>
      </c>
      <c r="H668" s="39">
        <v>45730</v>
      </c>
      <c r="I668" s="64">
        <v>258</v>
      </c>
      <c r="J668" s="64">
        <v>2800</v>
      </c>
      <c r="K668" s="65">
        <v>7.0000000000000007E-2</v>
      </c>
      <c r="L668" s="11" t="s">
        <v>36</v>
      </c>
      <c r="M668" s="66">
        <v>722400</v>
      </c>
      <c r="N668" s="66">
        <v>671832</v>
      </c>
      <c r="O668" s="13" t="s">
        <v>277</v>
      </c>
    </row>
    <row r="669" spans="1:15" x14ac:dyDescent="0.3">
      <c r="A669" s="20" t="s">
        <v>433</v>
      </c>
      <c r="B669" s="10" t="s">
        <v>63</v>
      </c>
      <c r="C669" s="32" t="s">
        <v>253</v>
      </c>
      <c r="D669" s="32" t="s">
        <v>50</v>
      </c>
      <c r="E669" s="32" t="s">
        <v>27</v>
      </c>
      <c r="F669" s="32" t="s">
        <v>34</v>
      </c>
      <c r="G669" s="32" t="s">
        <v>56</v>
      </c>
      <c r="H669" s="41">
        <v>45731</v>
      </c>
      <c r="I669" s="70">
        <v>360</v>
      </c>
      <c r="J669" s="70">
        <v>750</v>
      </c>
      <c r="K669" s="71">
        <v>0.1</v>
      </c>
      <c r="L669" s="10" t="s">
        <v>30</v>
      </c>
      <c r="M669" s="72">
        <v>270000</v>
      </c>
      <c r="N669" s="72">
        <v>243000</v>
      </c>
      <c r="O669" s="12" t="s">
        <v>267</v>
      </c>
    </row>
    <row r="670" spans="1:15" x14ac:dyDescent="0.3">
      <c r="A670" s="20" t="s">
        <v>434</v>
      </c>
      <c r="B670" s="11" t="s">
        <v>49</v>
      </c>
      <c r="C670" s="30" t="s">
        <v>251</v>
      </c>
      <c r="D670" s="30" t="s">
        <v>50</v>
      </c>
      <c r="E670" s="30" t="s">
        <v>51</v>
      </c>
      <c r="F670" s="30" t="s">
        <v>28</v>
      </c>
      <c r="G670" s="30" t="s">
        <v>42</v>
      </c>
      <c r="H670" s="39">
        <v>45731</v>
      </c>
      <c r="I670" s="64">
        <v>174</v>
      </c>
      <c r="J670" s="64">
        <v>895</v>
      </c>
      <c r="K670" s="65">
        <v>0.15</v>
      </c>
      <c r="L670" s="11" t="s">
        <v>36</v>
      </c>
      <c r="M670" s="66">
        <v>155730</v>
      </c>
      <c r="N670" s="66">
        <v>132370.5</v>
      </c>
      <c r="O670" s="13" t="s">
        <v>267</v>
      </c>
    </row>
    <row r="671" spans="1:15" x14ac:dyDescent="0.3">
      <c r="A671" s="20" t="s">
        <v>435</v>
      </c>
      <c r="B671" s="10" t="s">
        <v>25</v>
      </c>
      <c r="C671" s="32" t="s">
        <v>257</v>
      </c>
      <c r="D671" s="32" t="s">
        <v>26</v>
      </c>
      <c r="E671" s="32" t="s">
        <v>40</v>
      </c>
      <c r="F671" s="32" t="s">
        <v>34</v>
      </c>
      <c r="G671" s="32" t="s">
        <v>53</v>
      </c>
      <c r="H671" s="41">
        <v>45732</v>
      </c>
      <c r="I671" s="70">
        <v>204</v>
      </c>
      <c r="J671" s="70">
        <v>350</v>
      </c>
      <c r="K671" s="71">
        <v>0.15</v>
      </c>
      <c r="L671" s="10" t="s">
        <v>36</v>
      </c>
      <c r="M671" s="72">
        <v>71400</v>
      </c>
      <c r="N671" s="72">
        <v>60690</v>
      </c>
      <c r="O671" s="12" t="s">
        <v>265</v>
      </c>
    </row>
    <row r="672" spans="1:15" x14ac:dyDescent="0.3">
      <c r="A672" s="20" t="s">
        <v>436</v>
      </c>
      <c r="B672" s="11" t="s">
        <v>55</v>
      </c>
      <c r="C672" s="30" t="s">
        <v>249</v>
      </c>
      <c r="D672" s="30" t="s">
        <v>39</v>
      </c>
      <c r="E672" s="30" t="s">
        <v>51</v>
      </c>
      <c r="F672" s="30" t="s">
        <v>41</v>
      </c>
      <c r="G672" s="30" t="s">
        <v>56</v>
      </c>
      <c r="H672" s="39">
        <v>45732</v>
      </c>
      <c r="I672" s="64">
        <v>180</v>
      </c>
      <c r="J672" s="64">
        <v>650</v>
      </c>
      <c r="K672" s="65">
        <v>0.11</v>
      </c>
      <c r="L672" s="11" t="s">
        <v>36</v>
      </c>
      <c r="M672" s="66">
        <v>117000</v>
      </c>
      <c r="N672" s="66">
        <v>104130</v>
      </c>
      <c r="O672" s="13" t="s">
        <v>267</v>
      </c>
    </row>
    <row r="673" spans="1:15" x14ac:dyDescent="0.3">
      <c r="A673" s="20" t="s">
        <v>437</v>
      </c>
      <c r="B673" s="10" t="s">
        <v>63</v>
      </c>
      <c r="C673" s="32" t="s">
        <v>253</v>
      </c>
      <c r="D673" s="32" t="s">
        <v>50</v>
      </c>
      <c r="E673" s="32" t="s">
        <v>51</v>
      </c>
      <c r="F673" s="32" t="s">
        <v>41</v>
      </c>
      <c r="G673" s="32" t="s">
        <v>53</v>
      </c>
      <c r="H673" s="41">
        <v>45733</v>
      </c>
      <c r="I673" s="70">
        <v>221</v>
      </c>
      <c r="J673" s="70">
        <v>750</v>
      </c>
      <c r="K673" s="71">
        <v>0.14000000000000001</v>
      </c>
      <c r="L673" s="10" t="s">
        <v>36</v>
      </c>
      <c r="M673" s="72">
        <v>165750</v>
      </c>
      <c r="N673" s="72">
        <v>142545</v>
      </c>
      <c r="O673" s="12" t="s">
        <v>267</v>
      </c>
    </row>
    <row r="674" spans="1:15" x14ac:dyDescent="0.3">
      <c r="A674" s="20" t="s">
        <v>438</v>
      </c>
      <c r="B674" s="11" t="s">
        <v>25</v>
      </c>
      <c r="C674" s="30" t="s">
        <v>257</v>
      </c>
      <c r="D674" s="30" t="s">
        <v>26</v>
      </c>
      <c r="E674" s="30" t="s">
        <v>33</v>
      </c>
      <c r="F674" s="30" t="s">
        <v>34</v>
      </c>
      <c r="G674" s="30" t="s">
        <v>47</v>
      </c>
      <c r="H674" s="39">
        <v>45734</v>
      </c>
      <c r="I674" s="64">
        <v>223</v>
      </c>
      <c r="J674" s="64">
        <v>350</v>
      </c>
      <c r="K674" s="65">
        <v>0.13</v>
      </c>
      <c r="L674" s="11" t="s">
        <v>30</v>
      </c>
      <c r="M674" s="66">
        <v>78050</v>
      </c>
      <c r="N674" s="66">
        <v>67903.5</v>
      </c>
      <c r="O674" s="13" t="s">
        <v>265</v>
      </c>
    </row>
    <row r="675" spans="1:15" x14ac:dyDescent="0.3">
      <c r="A675" s="20" t="s">
        <v>439</v>
      </c>
      <c r="B675" s="10" t="s">
        <v>38</v>
      </c>
      <c r="C675" s="32" t="s">
        <v>247</v>
      </c>
      <c r="D675" s="32" t="s">
        <v>39</v>
      </c>
      <c r="E675" s="32" t="s">
        <v>33</v>
      </c>
      <c r="F675" s="32" t="s">
        <v>41</v>
      </c>
      <c r="G675" s="32" t="s">
        <v>29</v>
      </c>
      <c r="H675" s="41">
        <v>45734</v>
      </c>
      <c r="I675" s="70">
        <v>338</v>
      </c>
      <c r="J675" s="70">
        <v>1200</v>
      </c>
      <c r="K675" s="71">
        <v>0.03</v>
      </c>
      <c r="L675" s="10" t="s">
        <v>36</v>
      </c>
      <c r="M675" s="72">
        <v>405600</v>
      </c>
      <c r="N675" s="72">
        <v>393432</v>
      </c>
      <c r="O675" s="12" t="s">
        <v>277</v>
      </c>
    </row>
    <row r="676" spans="1:15" x14ac:dyDescent="0.3">
      <c r="A676" s="20" t="s">
        <v>440</v>
      </c>
      <c r="B676" s="11" t="s">
        <v>63</v>
      </c>
      <c r="C676" s="30" t="s">
        <v>253</v>
      </c>
      <c r="D676" s="30" t="s">
        <v>50</v>
      </c>
      <c r="E676" s="30" t="s">
        <v>51</v>
      </c>
      <c r="F676" s="30" t="s">
        <v>52</v>
      </c>
      <c r="G676" s="30" t="s">
        <v>53</v>
      </c>
      <c r="H676" s="39">
        <v>45735</v>
      </c>
      <c r="I676" s="64">
        <v>276</v>
      </c>
      <c r="J676" s="64">
        <v>750</v>
      </c>
      <c r="K676" s="65">
        <v>0</v>
      </c>
      <c r="L676" s="11" t="s">
        <v>36</v>
      </c>
      <c r="M676" s="66">
        <v>207000</v>
      </c>
      <c r="N676" s="66">
        <v>207000</v>
      </c>
      <c r="O676" s="13" t="s">
        <v>267</v>
      </c>
    </row>
    <row r="677" spans="1:15" x14ac:dyDescent="0.3">
      <c r="A677" s="20" t="s">
        <v>441</v>
      </c>
      <c r="B677" s="10" t="s">
        <v>55</v>
      </c>
      <c r="C677" s="32" t="s">
        <v>249</v>
      </c>
      <c r="D677" s="32" t="s">
        <v>39</v>
      </c>
      <c r="E677" s="32" t="s">
        <v>51</v>
      </c>
      <c r="F677" s="32" t="s">
        <v>34</v>
      </c>
      <c r="G677" s="32" t="s">
        <v>42</v>
      </c>
      <c r="H677" s="41">
        <v>45735</v>
      </c>
      <c r="I677" s="70">
        <v>214</v>
      </c>
      <c r="J677" s="70">
        <v>650</v>
      </c>
      <c r="K677" s="71">
        <v>0.03</v>
      </c>
      <c r="L677" s="10" t="s">
        <v>36</v>
      </c>
      <c r="M677" s="72">
        <v>139100</v>
      </c>
      <c r="N677" s="72">
        <v>134927</v>
      </c>
      <c r="O677" s="12" t="s">
        <v>267</v>
      </c>
    </row>
    <row r="678" spans="1:15" x14ac:dyDescent="0.3">
      <c r="A678" s="20" t="s">
        <v>442</v>
      </c>
      <c r="B678" s="11" t="s">
        <v>16</v>
      </c>
      <c r="C678" s="30" t="s">
        <v>250</v>
      </c>
      <c r="D678" s="30" t="s">
        <v>39</v>
      </c>
      <c r="E678" s="30" t="s">
        <v>27</v>
      </c>
      <c r="F678" s="30" t="s">
        <v>46</v>
      </c>
      <c r="G678" s="30" t="s">
        <v>35</v>
      </c>
      <c r="H678" s="39">
        <v>45735</v>
      </c>
      <c r="I678" s="64">
        <v>317</v>
      </c>
      <c r="J678" s="64">
        <v>990</v>
      </c>
      <c r="K678" s="65">
        <v>0.08</v>
      </c>
      <c r="L678" s="11" t="s">
        <v>30</v>
      </c>
      <c r="M678" s="66">
        <v>313830</v>
      </c>
      <c r="N678" s="66">
        <v>288723.59999999998</v>
      </c>
      <c r="O678" s="13" t="s">
        <v>267</v>
      </c>
    </row>
    <row r="679" spans="1:15" x14ac:dyDescent="0.3">
      <c r="A679" s="20" t="s">
        <v>443</v>
      </c>
      <c r="B679" s="10" t="s">
        <v>61</v>
      </c>
      <c r="C679" s="32" t="s">
        <v>244</v>
      </c>
      <c r="D679" s="32" t="s">
        <v>26</v>
      </c>
      <c r="E679" s="32" t="s">
        <v>33</v>
      </c>
      <c r="F679" s="32" t="s">
        <v>28</v>
      </c>
      <c r="G679" s="32" t="s">
        <v>42</v>
      </c>
      <c r="H679" s="41">
        <v>45736</v>
      </c>
      <c r="I679" s="70">
        <v>217</v>
      </c>
      <c r="J679" s="70">
        <v>280</v>
      </c>
      <c r="K679" s="71">
        <v>0.1</v>
      </c>
      <c r="L679" s="10" t="s">
        <v>36</v>
      </c>
      <c r="M679" s="72">
        <v>60760</v>
      </c>
      <c r="N679" s="72">
        <v>54684</v>
      </c>
      <c r="O679" s="12" t="s">
        <v>265</v>
      </c>
    </row>
    <row r="680" spans="1:15" x14ac:dyDescent="0.3">
      <c r="A680" s="20" t="s">
        <v>444</v>
      </c>
      <c r="B680" s="11" t="s">
        <v>25</v>
      </c>
      <c r="C680" s="30" t="s">
        <v>257</v>
      </c>
      <c r="D680" s="30" t="s">
        <v>26</v>
      </c>
      <c r="E680" s="30" t="s">
        <v>45</v>
      </c>
      <c r="F680" s="30" t="s">
        <v>52</v>
      </c>
      <c r="G680" s="30" t="s">
        <v>53</v>
      </c>
      <c r="H680" s="39">
        <v>45736</v>
      </c>
      <c r="I680" s="64">
        <v>81</v>
      </c>
      <c r="J680" s="64">
        <v>350</v>
      </c>
      <c r="K680" s="65">
        <v>0</v>
      </c>
      <c r="L680" s="11" t="s">
        <v>30</v>
      </c>
      <c r="M680" s="66">
        <v>28350</v>
      </c>
      <c r="N680" s="66">
        <v>28350</v>
      </c>
      <c r="O680" s="13" t="s">
        <v>265</v>
      </c>
    </row>
    <row r="681" spans="1:15" x14ac:dyDescent="0.3">
      <c r="A681" s="20" t="s">
        <v>445</v>
      </c>
      <c r="B681" s="10" t="s">
        <v>44</v>
      </c>
      <c r="C681" s="32" t="s">
        <v>254</v>
      </c>
      <c r="D681" s="32" t="s">
        <v>39</v>
      </c>
      <c r="E681" s="32" t="s">
        <v>51</v>
      </c>
      <c r="F681" s="32" t="s">
        <v>28</v>
      </c>
      <c r="G681" s="32" t="s">
        <v>35</v>
      </c>
      <c r="H681" s="41">
        <v>45737</v>
      </c>
      <c r="I681" s="70">
        <v>413</v>
      </c>
      <c r="J681" s="70">
        <v>200</v>
      </c>
      <c r="K681" s="71">
        <v>7.0000000000000007E-2</v>
      </c>
      <c r="L681" s="10" t="s">
        <v>36</v>
      </c>
      <c r="M681" s="72">
        <v>82600</v>
      </c>
      <c r="N681" s="72">
        <v>76818</v>
      </c>
      <c r="O681" s="12" t="s">
        <v>265</v>
      </c>
    </row>
    <row r="682" spans="1:15" x14ac:dyDescent="0.3">
      <c r="A682" s="20" t="s">
        <v>446</v>
      </c>
      <c r="B682" s="11" t="s">
        <v>32</v>
      </c>
      <c r="C682" s="30" t="s">
        <v>246</v>
      </c>
      <c r="D682" s="30" t="s">
        <v>26</v>
      </c>
      <c r="E682" s="30" t="s">
        <v>27</v>
      </c>
      <c r="F682" s="30" t="s">
        <v>52</v>
      </c>
      <c r="G682" s="30" t="s">
        <v>29</v>
      </c>
      <c r="H682" s="39">
        <v>45737</v>
      </c>
      <c r="I682" s="64">
        <v>179</v>
      </c>
      <c r="J682" s="64">
        <v>420</v>
      </c>
      <c r="K682" s="65">
        <v>0.08</v>
      </c>
      <c r="L682" s="11" t="s">
        <v>36</v>
      </c>
      <c r="M682" s="66">
        <v>75180</v>
      </c>
      <c r="N682" s="66">
        <v>69165.600000000006</v>
      </c>
      <c r="O682" s="13" t="s">
        <v>265</v>
      </c>
    </row>
    <row r="683" spans="1:15" x14ac:dyDescent="0.3">
      <c r="A683" s="20" t="s">
        <v>447</v>
      </c>
      <c r="B683" s="10" t="s">
        <v>61</v>
      </c>
      <c r="C683" s="32" t="s">
        <v>244</v>
      </c>
      <c r="D683" s="32" t="s">
        <v>26</v>
      </c>
      <c r="E683" s="32" t="s">
        <v>51</v>
      </c>
      <c r="F683" s="32" t="s">
        <v>46</v>
      </c>
      <c r="G683" s="32" t="s">
        <v>29</v>
      </c>
      <c r="H683" s="41">
        <v>45737</v>
      </c>
      <c r="I683" s="70">
        <v>80</v>
      </c>
      <c r="J683" s="70">
        <v>280</v>
      </c>
      <c r="K683" s="71">
        <v>0.13</v>
      </c>
      <c r="L683" s="10" t="s">
        <v>36</v>
      </c>
      <c r="M683" s="72">
        <v>22400</v>
      </c>
      <c r="N683" s="72">
        <v>19488</v>
      </c>
      <c r="O683" s="12" t="s">
        <v>265</v>
      </c>
    </row>
    <row r="684" spans="1:15" x14ac:dyDescent="0.3">
      <c r="A684" s="20" t="s">
        <v>448</v>
      </c>
      <c r="B684" s="11" t="s">
        <v>44</v>
      </c>
      <c r="C684" s="30" t="s">
        <v>254</v>
      </c>
      <c r="D684" s="30" t="s">
        <v>39</v>
      </c>
      <c r="E684" s="30" t="s">
        <v>33</v>
      </c>
      <c r="F684" s="30" t="s">
        <v>28</v>
      </c>
      <c r="G684" s="30" t="s">
        <v>47</v>
      </c>
      <c r="H684" s="39">
        <v>45738</v>
      </c>
      <c r="I684" s="64">
        <v>477</v>
      </c>
      <c r="J684" s="64">
        <v>200</v>
      </c>
      <c r="K684" s="65">
        <v>0.03</v>
      </c>
      <c r="L684" s="11" t="s">
        <v>30</v>
      </c>
      <c r="M684" s="66">
        <v>95400</v>
      </c>
      <c r="N684" s="66">
        <v>92538</v>
      </c>
      <c r="O684" s="13" t="s">
        <v>265</v>
      </c>
    </row>
    <row r="685" spans="1:15" x14ac:dyDescent="0.3">
      <c r="A685" s="20" t="s">
        <v>449</v>
      </c>
      <c r="B685" s="10" t="s">
        <v>49</v>
      </c>
      <c r="C685" s="32" t="s">
        <v>251</v>
      </c>
      <c r="D685" s="32" t="s">
        <v>50</v>
      </c>
      <c r="E685" s="32" t="s">
        <v>33</v>
      </c>
      <c r="F685" s="32" t="s">
        <v>41</v>
      </c>
      <c r="G685" s="32" t="s">
        <v>29</v>
      </c>
      <c r="H685" s="41">
        <v>45739</v>
      </c>
      <c r="I685" s="70">
        <v>258</v>
      </c>
      <c r="J685" s="70">
        <v>895</v>
      </c>
      <c r="K685" s="71">
        <v>0.03</v>
      </c>
      <c r="L685" s="10" t="s">
        <v>36</v>
      </c>
      <c r="M685" s="72">
        <v>230910</v>
      </c>
      <c r="N685" s="72">
        <v>223982.7</v>
      </c>
      <c r="O685" s="12" t="s">
        <v>267</v>
      </c>
    </row>
    <row r="686" spans="1:15" x14ac:dyDescent="0.3">
      <c r="A686" s="20" t="s">
        <v>450</v>
      </c>
      <c r="B686" s="11" t="s">
        <v>32</v>
      </c>
      <c r="C686" s="30" t="s">
        <v>246</v>
      </c>
      <c r="D686" s="30" t="s">
        <v>26</v>
      </c>
      <c r="E686" s="30" t="s">
        <v>51</v>
      </c>
      <c r="F686" s="30" t="s">
        <v>28</v>
      </c>
      <c r="G686" s="30" t="s">
        <v>35</v>
      </c>
      <c r="H686" s="39">
        <v>45739</v>
      </c>
      <c r="I686" s="64">
        <v>289</v>
      </c>
      <c r="J686" s="64">
        <v>420</v>
      </c>
      <c r="K686" s="65">
        <v>0.15</v>
      </c>
      <c r="L686" s="11" t="s">
        <v>36</v>
      </c>
      <c r="M686" s="66">
        <v>121380</v>
      </c>
      <c r="N686" s="66">
        <v>103173</v>
      </c>
      <c r="O686" s="13" t="s">
        <v>267</v>
      </c>
    </row>
    <row r="687" spans="1:15" x14ac:dyDescent="0.3">
      <c r="A687" s="20" t="s">
        <v>451</v>
      </c>
      <c r="B687" s="10" t="s">
        <v>16</v>
      </c>
      <c r="C687" s="32" t="s">
        <v>250</v>
      </c>
      <c r="D687" s="32" t="s">
        <v>39</v>
      </c>
      <c r="E687" s="32" t="s">
        <v>51</v>
      </c>
      <c r="F687" s="32" t="s">
        <v>28</v>
      </c>
      <c r="G687" s="32" t="s">
        <v>35</v>
      </c>
      <c r="H687" s="41">
        <v>45741</v>
      </c>
      <c r="I687" s="70">
        <v>253</v>
      </c>
      <c r="J687" s="70">
        <v>990</v>
      </c>
      <c r="K687" s="71">
        <v>0</v>
      </c>
      <c r="L687" s="10" t="s">
        <v>30</v>
      </c>
      <c r="M687" s="72">
        <v>250470</v>
      </c>
      <c r="N687" s="72">
        <v>250470</v>
      </c>
      <c r="O687" s="12" t="s">
        <v>267</v>
      </c>
    </row>
    <row r="688" spans="1:15" x14ac:dyDescent="0.3">
      <c r="A688" s="20" t="s">
        <v>452</v>
      </c>
      <c r="B688" s="11" t="s">
        <v>25</v>
      </c>
      <c r="C688" s="30" t="s">
        <v>257</v>
      </c>
      <c r="D688" s="30" t="s">
        <v>26</v>
      </c>
      <c r="E688" s="30" t="s">
        <v>27</v>
      </c>
      <c r="F688" s="30" t="s">
        <v>52</v>
      </c>
      <c r="G688" s="30" t="s">
        <v>56</v>
      </c>
      <c r="H688" s="39">
        <v>45741</v>
      </c>
      <c r="I688" s="64">
        <v>88</v>
      </c>
      <c r="J688" s="64">
        <v>350</v>
      </c>
      <c r="K688" s="65">
        <v>0</v>
      </c>
      <c r="L688" s="11" t="s">
        <v>30</v>
      </c>
      <c r="M688" s="66">
        <v>30800</v>
      </c>
      <c r="N688" s="66">
        <v>30800</v>
      </c>
      <c r="O688" s="13" t="s">
        <v>265</v>
      </c>
    </row>
    <row r="689" spans="1:15" x14ac:dyDescent="0.3">
      <c r="A689" s="20" t="s">
        <v>453</v>
      </c>
      <c r="B689" s="10" t="s">
        <v>63</v>
      </c>
      <c r="C689" s="32" t="s">
        <v>253</v>
      </c>
      <c r="D689" s="32" t="s">
        <v>50</v>
      </c>
      <c r="E689" s="32" t="s">
        <v>33</v>
      </c>
      <c r="F689" s="32" t="s">
        <v>34</v>
      </c>
      <c r="G689" s="32" t="s">
        <v>29</v>
      </c>
      <c r="H689" s="41">
        <v>45742</v>
      </c>
      <c r="I689" s="70">
        <v>257</v>
      </c>
      <c r="J689" s="70">
        <v>750</v>
      </c>
      <c r="K689" s="71">
        <v>0.08</v>
      </c>
      <c r="L689" s="10" t="s">
        <v>36</v>
      </c>
      <c r="M689" s="72">
        <v>192750</v>
      </c>
      <c r="N689" s="72">
        <v>177330</v>
      </c>
      <c r="O689" s="12" t="s">
        <v>267</v>
      </c>
    </row>
    <row r="690" spans="1:15" x14ac:dyDescent="0.3">
      <c r="A690" s="20" t="s">
        <v>454</v>
      </c>
      <c r="B690" s="11" t="s">
        <v>44</v>
      </c>
      <c r="C690" s="30" t="s">
        <v>254</v>
      </c>
      <c r="D690" s="30" t="s">
        <v>39</v>
      </c>
      <c r="E690" s="30" t="s">
        <v>40</v>
      </c>
      <c r="F690" s="30" t="s">
        <v>28</v>
      </c>
      <c r="G690" s="30" t="s">
        <v>47</v>
      </c>
      <c r="H690" s="39">
        <v>45742</v>
      </c>
      <c r="I690" s="64">
        <v>317</v>
      </c>
      <c r="J690" s="64">
        <v>200</v>
      </c>
      <c r="K690" s="65">
        <v>7.0000000000000007E-2</v>
      </c>
      <c r="L690" s="11" t="s">
        <v>36</v>
      </c>
      <c r="M690" s="66">
        <v>63400</v>
      </c>
      <c r="N690" s="66">
        <v>58962</v>
      </c>
      <c r="O690" s="13" t="s">
        <v>265</v>
      </c>
    </row>
    <row r="691" spans="1:15" x14ac:dyDescent="0.3">
      <c r="A691" s="20" t="s">
        <v>455</v>
      </c>
      <c r="B691" s="10" t="s">
        <v>38</v>
      </c>
      <c r="C691" s="32" t="s">
        <v>247</v>
      </c>
      <c r="D691" s="32" t="s">
        <v>39</v>
      </c>
      <c r="E691" s="32" t="s">
        <v>33</v>
      </c>
      <c r="F691" s="32" t="s">
        <v>34</v>
      </c>
      <c r="G691" s="32" t="s">
        <v>47</v>
      </c>
      <c r="H691" s="41">
        <v>45742</v>
      </c>
      <c r="I691" s="70">
        <v>51</v>
      </c>
      <c r="J691" s="70">
        <v>1200</v>
      </c>
      <c r="K691" s="71">
        <v>0.13</v>
      </c>
      <c r="L691" s="10" t="s">
        <v>30</v>
      </c>
      <c r="M691" s="72">
        <v>61200</v>
      </c>
      <c r="N691" s="72">
        <v>53244</v>
      </c>
      <c r="O691" s="12" t="s">
        <v>265</v>
      </c>
    </row>
    <row r="692" spans="1:15" x14ac:dyDescent="0.3">
      <c r="A692" s="20" t="s">
        <v>456</v>
      </c>
      <c r="B692" s="11" t="s">
        <v>38</v>
      </c>
      <c r="C692" s="30" t="s">
        <v>247</v>
      </c>
      <c r="D692" s="30" t="s">
        <v>39</v>
      </c>
      <c r="E692" s="30" t="s">
        <v>27</v>
      </c>
      <c r="F692" s="30" t="s">
        <v>46</v>
      </c>
      <c r="G692" s="30" t="s">
        <v>42</v>
      </c>
      <c r="H692" s="39">
        <v>45744</v>
      </c>
      <c r="I692" s="64">
        <v>86</v>
      </c>
      <c r="J692" s="64">
        <v>1200</v>
      </c>
      <c r="K692" s="65">
        <v>0.05</v>
      </c>
      <c r="L692" s="11" t="s">
        <v>36</v>
      </c>
      <c r="M692" s="66">
        <v>103200</v>
      </c>
      <c r="N692" s="66">
        <v>98040</v>
      </c>
      <c r="O692" s="13" t="s">
        <v>265</v>
      </c>
    </row>
    <row r="693" spans="1:15" x14ac:dyDescent="0.3">
      <c r="A693" s="20" t="s">
        <v>457</v>
      </c>
      <c r="B693" s="10" t="s">
        <v>32</v>
      </c>
      <c r="C693" s="32" t="s">
        <v>246</v>
      </c>
      <c r="D693" s="32" t="s">
        <v>26</v>
      </c>
      <c r="E693" s="32" t="s">
        <v>51</v>
      </c>
      <c r="F693" s="32" t="s">
        <v>28</v>
      </c>
      <c r="G693" s="32" t="s">
        <v>42</v>
      </c>
      <c r="H693" s="41">
        <v>45745</v>
      </c>
      <c r="I693" s="70">
        <v>111</v>
      </c>
      <c r="J693" s="70">
        <v>420</v>
      </c>
      <c r="K693" s="71">
        <v>0.15</v>
      </c>
      <c r="L693" s="10" t="s">
        <v>36</v>
      </c>
      <c r="M693" s="72">
        <v>46620</v>
      </c>
      <c r="N693" s="72">
        <v>39627</v>
      </c>
      <c r="O693" s="12" t="s">
        <v>265</v>
      </c>
    </row>
    <row r="694" spans="1:15" x14ac:dyDescent="0.3">
      <c r="A694" s="20" t="s">
        <v>458</v>
      </c>
      <c r="B694" s="11" t="s">
        <v>32</v>
      </c>
      <c r="C694" s="30" t="s">
        <v>246</v>
      </c>
      <c r="D694" s="30" t="s">
        <v>26</v>
      </c>
      <c r="E694" s="30" t="s">
        <v>27</v>
      </c>
      <c r="F694" s="30" t="s">
        <v>41</v>
      </c>
      <c r="G694" s="30" t="s">
        <v>56</v>
      </c>
      <c r="H694" s="39">
        <v>45745</v>
      </c>
      <c r="I694" s="64">
        <v>351</v>
      </c>
      <c r="J694" s="64">
        <v>420</v>
      </c>
      <c r="K694" s="65">
        <v>0.05</v>
      </c>
      <c r="L694" s="11" t="s">
        <v>30</v>
      </c>
      <c r="M694" s="66">
        <v>147420</v>
      </c>
      <c r="N694" s="66">
        <v>140049</v>
      </c>
      <c r="O694" s="13" t="s">
        <v>267</v>
      </c>
    </row>
    <row r="695" spans="1:15" x14ac:dyDescent="0.3">
      <c r="A695" s="20" t="s">
        <v>459</v>
      </c>
      <c r="B695" s="10" t="s">
        <v>61</v>
      </c>
      <c r="C695" s="32" t="s">
        <v>244</v>
      </c>
      <c r="D695" s="32" t="s">
        <v>26</v>
      </c>
      <c r="E695" s="32" t="s">
        <v>45</v>
      </c>
      <c r="F695" s="32" t="s">
        <v>52</v>
      </c>
      <c r="G695" s="32" t="s">
        <v>53</v>
      </c>
      <c r="H695" s="41">
        <v>45746</v>
      </c>
      <c r="I695" s="70">
        <v>395</v>
      </c>
      <c r="J695" s="70">
        <v>280</v>
      </c>
      <c r="K695" s="71">
        <v>0.1</v>
      </c>
      <c r="L695" s="10" t="s">
        <v>36</v>
      </c>
      <c r="M695" s="72">
        <v>110600</v>
      </c>
      <c r="N695" s="72">
        <v>99540</v>
      </c>
      <c r="O695" s="12" t="s">
        <v>265</v>
      </c>
    </row>
    <row r="696" spans="1:15" x14ac:dyDescent="0.3">
      <c r="A696" s="20" t="s">
        <v>460</v>
      </c>
      <c r="B696" s="11" t="s">
        <v>32</v>
      </c>
      <c r="C696" s="30" t="s">
        <v>246</v>
      </c>
      <c r="D696" s="30" t="s">
        <v>26</v>
      </c>
      <c r="E696" s="30" t="s">
        <v>45</v>
      </c>
      <c r="F696" s="30" t="s">
        <v>34</v>
      </c>
      <c r="G696" s="30" t="s">
        <v>47</v>
      </c>
      <c r="H696" s="39">
        <v>45747</v>
      </c>
      <c r="I696" s="64">
        <v>275</v>
      </c>
      <c r="J696" s="64">
        <v>420</v>
      </c>
      <c r="K696" s="65">
        <v>0</v>
      </c>
      <c r="L696" s="11" t="s">
        <v>36</v>
      </c>
      <c r="M696" s="66">
        <v>115500</v>
      </c>
      <c r="N696" s="66">
        <v>115500</v>
      </c>
      <c r="O696" s="13" t="s">
        <v>267</v>
      </c>
    </row>
    <row r="697" spans="1:15" x14ac:dyDescent="0.3">
      <c r="A697" s="20" t="s">
        <v>461</v>
      </c>
      <c r="B697" s="10" t="s">
        <v>44</v>
      </c>
      <c r="C697" s="32" t="s">
        <v>254</v>
      </c>
      <c r="D697" s="32" t="s">
        <v>39</v>
      </c>
      <c r="E697" s="32" t="s">
        <v>33</v>
      </c>
      <c r="F697" s="32" t="s">
        <v>41</v>
      </c>
      <c r="G697" s="32" t="s">
        <v>29</v>
      </c>
      <c r="H697" s="41">
        <v>45748</v>
      </c>
      <c r="I697" s="70">
        <v>485</v>
      </c>
      <c r="J697" s="70">
        <v>200</v>
      </c>
      <c r="K697" s="71">
        <v>0.11</v>
      </c>
      <c r="L697" s="10" t="s">
        <v>36</v>
      </c>
      <c r="M697" s="72">
        <v>97000</v>
      </c>
      <c r="N697" s="72">
        <v>86330</v>
      </c>
      <c r="O697" s="12" t="s">
        <v>265</v>
      </c>
    </row>
    <row r="698" spans="1:15" x14ac:dyDescent="0.3">
      <c r="A698" s="20" t="s">
        <v>462</v>
      </c>
      <c r="B698" s="11" t="s">
        <v>25</v>
      </c>
      <c r="C698" s="30" t="s">
        <v>257</v>
      </c>
      <c r="D698" s="30" t="s">
        <v>26</v>
      </c>
      <c r="E698" s="30" t="s">
        <v>27</v>
      </c>
      <c r="F698" s="30" t="s">
        <v>52</v>
      </c>
      <c r="G698" s="30" t="s">
        <v>53</v>
      </c>
      <c r="H698" s="39">
        <v>45748</v>
      </c>
      <c r="I698" s="64">
        <v>85</v>
      </c>
      <c r="J698" s="64">
        <v>350</v>
      </c>
      <c r="K698" s="65">
        <v>0</v>
      </c>
      <c r="L698" s="11" t="s">
        <v>36</v>
      </c>
      <c r="M698" s="66">
        <v>29750</v>
      </c>
      <c r="N698" s="66">
        <v>29750</v>
      </c>
      <c r="O698" s="13" t="s">
        <v>265</v>
      </c>
    </row>
    <row r="699" spans="1:15" x14ac:dyDescent="0.3">
      <c r="A699" s="20" t="s">
        <v>463</v>
      </c>
      <c r="B699" s="10" t="s">
        <v>49</v>
      </c>
      <c r="C699" s="32" t="s">
        <v>251</v>
      </c>
      <c r="D699" s="32" t="s">
        <v>50</v>
      </c>
      <c r="E699" s="32" t="s">
        <v>45</v>
      </c>
      <c r="F699" s="32" t="s">
        <v>46</v>
      </c>
      <c r="G699" s="32" t="s">
        <v>42</v>
      </c>
      <c r="H699" s="41">
        <v>45749</v>
      </c>
      <c r="I699" s="70">
        <v>367</v>
      </c>
      <c r="J699" s="70">
        <v>895</v>
      </c>
      <c r="K699" s="71">
        <v>0.05</v>
      </c>
      <c r="L699" s="10" t="s">
        <v>36</v>
      </c>
      <c r="M699" s="72">
        <v>328465</v>
      </c>
      <c r="N699" s="72">
        <v>312041.75</v>
      </c>
      <c r="O699" s="12" t="s">
        <v>267</v>
      </c>
    </row>
    <row r="700" spans="1:15" x14ac:dyDescent="0.3">
      <c r="A700" s="20" t="s">
        <v>464</v>
      </c>
      <c r="B700" s="11" t="s">
        <v>32</v>
      </c>
      <c r="C700" s="30" t="s">
        <v>246</v>
      </c>
      <c r="D700" s="30" t="s">
        <v>26</v>
      </c>
      <c r="E700" s="30" t="s">
        <v>27</v>
      </c>
      <c r="F700" s="30" t="s">
        <v>34</v>
      </c>
      <c r="G700" s="30" t="s">
        <v>47</v>
      </c>
      <c r="H700" s="39">
        <v>45749</v>
      </c>
      <c r="I700" s="64">
        <v>76</v>
      </c>
      <c r="J700" s="64">
        <v>420</v>
      </c>
      <c r="K700" s="65">
        <v>0</v>
      </c>
      <c r="L700" s="11" t="s">
        <v>36</v>
      </c>
      <c r="M700" s="66">
        <v>31920</v>
      </c>
      <c r="N700" s="66">
        <v>31920</v>
      </c>
      <c r="O700" s="13" t="s">
        <v>265</v>
      </c>
    </row>
    <row r="701" spans="1:15" x14ac:dyDescent="0.3">
      <c r="A701" s="20" t="s">
        <v>465</v>
      </c>
      <c r="B701" s="10" t="s">
        <v>58</v>
      </c>
      <c r="C701" s="32" t="s">
        <v>255</v>
      </c>
      <c r="D701" s="32" t="s">
        <v>59</v>
      </c>
      <c r="E701" s="32" t="s">
        <v>33</v>
      </c>
      <c r="F701" s="32" t="s">
        <v>34</v>
      </c>
      <c r="G701" s="32" t="s">
        <v>29</v>
      </c>
      <c r="H701" s="41">
        <v>45749</v>
      </c>
      <c r="I701" s="70">
        <v>94</v>
      </c>
      <c r="J701" s="70">
        <v>2800</v>
      </c>
      <c r="K701" s="71">
        <v>0.13</v>
      </c>
      <c r="L701" s="10" t="s">
        <v>36</v>
      </c>
      <c r="M701" s="72">
        <v>263200</v>
      </c>
      <c r="N701" s="72">
        <v>228984</v>
      </c>
      <c r="O701" s="12" t="s">
        <v>267</v>
      </c>
    </row>
    <row r="702" spans="1:15" x14ac:dyDescent="0.3">
      <c r="A702" s="20" t="s">
        <v>466</v>
      </c>
      <c r="B702" s="11" t="s">
        <v>61</v>
      </c>
      <c r="C702" s="30" t="s">
        <v>244</v>
      </c>
      <c r="D702" s="30" t="s">
        <v>26</v>
      </c>
      <c r="E702" s="30" t="s">
        <v>27</v>
      </c>
      <c r="F702" s="30" t="s">
        <v>34</v>
      </c>
      <c r="G702" s="30" t="s">
        <v>35</v>
      </c>
      <c r="H702" s="39">
        <v>45750</v>
      </c>
      <c r="I702" s="64">
        <v>424</v>
      </c>
      <c r="J702" s="64">
        <v>280</v>
      </c>
      <c r="K702" s="65">
        <v>0.03</v>
      </c>
      <c r="L702" s="11" t="s">
        <v>30</v>
      </c>
      <c r="M702" s="66">
        <v>118720</v>
      </c>
      <c r="N702" s="66">
        <v>115158.39999999999</v>
      </c>
      <c r="O702" s="13" t="s">
        <v>267</v>
      </c>
    </row>
    <row r="703" spans="1:15" x14ac:dyDescent="0.3">
      <c r="A703" s="20" t="s">
        <v>467</v>
      </c>
      <c r="B703" s="10" t="s">
        <v>49</v>
      </c>
      <c r="C703" s="32" t="s">
        <v>251</v>
      </c>
      <c r="D703" s="32" t="s">
        <v>50</v>
      </c>
      <c r="E703" s="32" t="s">
        <v>51</v>
      </c>
      <c r="F703" s="32" t="s">
        <v>41</v>
      </c>
      <c r="G703" s="32" t="s">
        <v>53</v>
      </c>
      <c r="H703" s="41">
        <v>45752</v>
      </c>
      <c r="I703" s="70">
        <v>323</v>
      </c>
      <c r="J703" s="70">
        <v>895</v>
      </c>
      <c r="K703" s="71">
        <v>0</v>
      </c>
      <c r="L703" s="10" t="s">
        <v>36</v>
      </c>
      <c r="M703" s="72">
        <v>289085</v>
      </c>
      <c r="N703" s="72">
        <v>289085</v>
      </c>
      <c r="O703" s="12" t="s">
        <v>267</v>
      </c>
    </row>
    <row r="704" spans="1:15" x14ac:dyDescent="0.3">
      <c r="A704" s="20" t="s">
        <v>468</v>
      </c>
      <c r="B704" s="11" t="s">
        <v>44</v>
      </c>
      <c r="C704" s="30" t="s">
        <v>254</v>
      </c>
      <c r="D704" s="30" t="s">
        <v>39</v>
      </c>
      <c r="E704" s="30" t="s">
        <v>27</v>
      </c>
      <c r="F704" s="30" t="s">
        <v>28</v>
      </c>
      <c r="G704" s="30" t="s">
        <v>47</v>
      </c>
      <c r="H704" s="39">
        <v>45753</v>
      </c>
      <c r="I704" s="64">
        <v>235</v>
      </c>
      <c r="J704" s="64">
        <v>200</v>
      </c>
      <c r="K704" s="65">
        <v>0.15</v>
      </c>
      <c r="L704" s="11" t="s">
        <v>30</v>
      </c>
      <c r="M704" s="66">
        <v>47000</v>
      </c>
      <c r="N704" s="66">
        <v>39950</v>
      </c>
      <c r="O704" s="13" t="s">
        <v>265</v>
      </c>
    </row>
    <row r="705" spans="1:15" x14ac:dyDescent="0.3">
      <c r="A705" s="20" t="s">
        <v>469</v>
      </c>
      <c r="B705" s="10" t="s">
        <v>44</v>
      </c>
      <c r="C705" s="32" t="s">
        <v>254</v>
      </c>
      <c r="D705" s="32" t="s">
        <v>39</v>
      </c>
      <c r="E705" s="32" t="s">
        <v>51</v>
      </c>
      <c r="F705" s="32" t="s">
        <v>34</v>
      </c>
      <c r="G705" s="32" t="s">
        <v>56</v>
      </c>
      <c r="H705" s="41">
        <v>45753</v>
      </c>
      <c r="I705" s="70">
        <v>474</v>
      </c>
      <c r="J705" s="70">
        <v>200</v>
      </c>
      <c r="K705" s="71">
        <v>0.08</v>
      </c>
      <c r="L705" s="10" t="s">
        <v>36</v>
      </c>
      <c r="M705" s="72">
        <v>94800</v>
      </c>
      <c r="N705" s="72">
        <v>87216</v>
      </c>
      <c r="O705" s="12" t="s">
        <v>265</v>
      </c>
    </row>
    <row r="706" spans="1:15" x14ac:dyDescent="0.3">
      <c r="A706" s="20" t="s">
        <v>470</v>
      </c>
      <c r="B706" s="11" t="s">
        <v>55</v>
      </c>
      <c r="C706" s="30" t="s">
        <v>249</v>
      </c>
      <c r="D706" s="30" t="s">
        <v>39</v>
      </c>
      <c r="E706" s="30" t="s">
        <v>33</v>
      </c>
      <c r="F706" s="30" t="s">
        <v>46</v>
      </c>
      <c r="G706" s="30" t="s">
        <v>56</v>
      </c>
      <c r="H706" s="39">
        <v>45753</v>
      </c>
      <c r="I706" s="64">
        <v>121</v>
      </c>
      <c r="J706" s="64">
        <v>650</v>
      </c>
      <c r="K706" s="65">
        <v>0.08</v>
      </c>
      <c r="L706" s="11" t="s">
        <v>36</v>
      </c>
      <c r="M706" s="66">
        <v>78650</v>
      </c>
      <c r="N706" s="66">
        <v>72358</v>
      </c>
      <c r="O706" s="13" t="s">
        <v>265</v>
      </c>
    </row>
    <row r="707" spans="1:15" x14ac:dyDescent="0.3">
      <c r="A707" s="20" t="s">
        <v>471</v>
      </c>
      <c r="B707" s="10" t="s">
        <v>55</v>
      </c>
      <c r="C707" s="32" t="s">
        <v>249</v>
      </c>
      <c r="D707" s="32" t="s">
        <v>39</v>
      </c>
      <c r="E707" s="32" t="s">
        <v>45</v>
      </c>
      <c r="F707" s="32" t="s">
        <v>34</v>
      </c>
      <c r="G707" s="32" t="s">
        <v>29</v>
      </c>
      <c r="H707" s="41">
        <v>45754</v>
      </c>
      <c r="I707" s="70">
        <v>129</v>
      </c>
      <c r="J707" s="70">
        <v>650</v>
      </c>
      <c r="K707" s="71">
        <v>0</v>
      </c>
      <c r="L707" s="10" t="s">
        <v>36</v>
      </c>
      <c r="M707" s="72">
        <v>83850</v>
      </c>
      <c r="N707" s="72">
        <v>83850</v>
      </c>
      <c r="O707" s="12" t="s">
        <v>265</v>
      </c>
    </row>
    <row r="708" spans="1:15" x14ac:dyDescent="0.3">
      <c r="A708" s="20" t="s">
        <v>472</v>
      </c>
      <c r="B708" s="11" t="s">
        <v>25</v>
      </c>
      <c r="C708" s="30" t="s">
        <v>257</v>
      </c>
      <c r="D708" s="30" t="s">
        <v>26</v>
      </c>
      <c r="E708" s="30" t="s">
        <v>51</v>
      </c>
      <c r="F708" s="30" t="s">
        <v>46</v>
      </c>
      <c r="G708" s="30" t="s">
        <v>42</v>
      </c>
      <c r="H708" s="39">
        <v>45754</v>
      </c>
      <c r="I708" s="64">
        <v>206</v>
      </c>
      <c r="J708" s="64">
        <v>350</v>
      </c>
      <c r="K708" s="65">
        <v>0.13</v>
      </c>
      <c r="L708" s="11" t="s">
        <v>36</v>
      </c>
      <c r="M708" s="66">
        <v>72100</v>
      </c>
      <c r="N708" s="66">
        <v>62727</v>
      </c>
      <c r="O708" s="13" t="s">
        <v>265</v>
      </c>
    </row>
    <row r="709" spans="1:15" x14ac:dyDescent="0.3">
      <c r="A709" s="20" t="s">
        <v>473</v>
      </c>
      <c r="B709" s="10" t="s">
        <v>63</v>
      </c>
      <c r="C709" s="32" t="s">
        <v>253</v>
      </c>
      <c r="D709" s="32" t="s">
        <v>50</v>
      </c>
      <c r="E709" s="32" t="s">
        <v>45</v>
      </c>
      <c r="F709" s="32" t="s">
        <v>46</v>
      </c>
      <c r="G709" s="32" t="s">
        <v>53</v>
      </c>
      <c r="H709" s="41">
        <v>45754</v>
      </c>
      <c r="I709" s="70">
        <v>279</v>
      </c>
      <c r="J709" s="70">
        <v>750</v>
      </c>
      <c r="K709" s="71">
        <v>0</v>
      </c>
      <c r="L709" s="10" t="s">
        <v>36</v>
      </c>
      <c r="M709" s="72">
        <v>209250</v>
      </c>
      <c r="N709" s="72">
        <v>209250</v>
      </c>
      <c r="O709" s="12" t="s">
        <v>267</v>
      </c>
    </row>
    <row r="710" spans="1:15" x14ac:dyDescent="0.3">
      <c r="A710" s="20" t="s">
        <v>474</v>
      </c>
      <c r="B710" s="11" t="s">
        <v>61</v>
      </c>
      <c r="C710" s="30" t="s">
        <v>244</v>
      </c>
      <c r="D710" s="30" t="s">
        <v>26</v>
      </c>
      <c r="E710" s="30" t="s">
        <v>45</v>
      </c>
      <c r="F710" s="30" t="s">
        <v>34</v>
      </c>
      <c r="G710" s="30" t="s">
        <v>29</v>
      </c>
      <c r="H710" s="39">
        <v>45755</v>
      </c>
      <c r="I710" s="64">
        <v>256</v>
      </c>
      <c r="J710" s="64">
        <v>280</v>
      </c>
      <c r="K710" s="65">
        <v>7.0000000000000007E-2</v>
      </c>
      <c r="L710" s="11" t="s">
        <v>30</v>
      </c>
      <c r="M710" s="66">
        <v>71680</v>
      </c>
      <c r="N710" s="66">
        <v>66662.399999999994</v>
      </c>
      <c r="O710" s="13" t="s">
        <v>265</v>
      </c>
    </row>
    <row r="711" spans="1:15" x14ac:dyDescent="0.3">
      <c r="A711" s="20" t="s">
        <v>475</v>
      </c>
      <c r="B711" s="10" t="s">
        <v>55</v>
      </c>
      <c r="C711" s="32" t="s">
        <v>249</v>
      </c>
      <c r="D711" s="32" t="s">
        <v>39</v>
      </c>
      <c r="E711" s="32" t="s">
        <v>51</v>
      </c>
      <c r="F711" s="32" t="s">
        <v>28</v>
      </c>
      <c r="G711" s="32" t="s">
        <v>53</v>
      </c>
      <c r="H711" s="41">
        <v>45756</v>
      </c>
      <c r="I711" s="70">
        <v>174</v>
      </c>
      <c r="J711" s="70">
        <v>650</v>
      </c>
      <c r="K711" s="71">
        <v>0.14000000000000001</v>
      </c>
      <c r="L711" s="10" t="s">
        <v>30</v>
      </c>
      <c r="M711" s="72">
        <v>113100</v>
      </c>
      <c r="N711" s="72">
        <v>97266</v>
      </c>
      <c r="O711" s="12" t="s">
        <v>265</v>
      </c>
    </row>
    <row r="712" spans="1:15" x14ac:dyDescent="0.3">
      <c r="A712" s="20" t="s">
        <v>476</v>
      </c>
      <c r="B712" s="11" t="s">
        <v>49</v>
      </c>
      <c r="C712" s="30" t="s">
        <v>251</v>
      </c>
      <c r="D712" s="30" t="s">
        <v>50</v>
      </c>
      <c r="E712" s="30" t="s">
        <v>27</v>
      </c>
      <c r="F712" s="30" t="s">
        <v>46</v>
      </c>
      <c r="G712" s="30" t="s">
        <v>42</v>
      </c>
      <c r="H712" s="39">
        <v>45756</v>
      </c>
      <c r="I712" s="64">
        <v>52</v>
      </c>
      <c r="J712" s="64">
        <v>895</v>
      </c>
      <c r="K712" s="65">
        <v>0.05</v>
      </c>
      <c r="L712" s="11" t="s">
        <v>30</v>
      </c>
      <c r="M712" s="66">
        <v>46540</v>
      </c>
      <c r="N712" s="66">
        <v>44213</v>
      </c>
      <c r="O712" s="13" t="s">
        <v>265</v>
      </c>
    </row>
    <row r="713" spans="1:15" x14ac:dyDescent="0.3">
      <c r="A713" s="20" t="s">
        <v>477</v>
      </c>
      <c r="B713" s="10" t="s">
        <v>44</v>
      </c>
      <c r="C713" s="32" t="s">
        <v>254</v>
      </c>
      <c r="D713" s="32" t="s">
        <v>39</v>
      </c>
      <c r="E713" s="32" t="s">
        <v>33</v>
      </c>
      <c r="F713" s="32" t="s">
        <v>52</v>
      </c>
      <c r="G713" s="32" t="s">
        <v>29</v>
      </c>
      <c r="H713" s="41">
        <v>45757</v>
      </c>
      <c r="I713" s="70">
        <v>185</v>
      </c>
      <c r="J713" s="70">
        <v>200</v>
      </c>
      <c r="K713" s="71">
        <v>0.12</v>
      </c>
      <c r="L713" s="10" t="s">
        <v>30</v>
      </c>
      <c r="M713" s="72">
        <v>37000</v>
      </c>
      <c r="N713" s="72">
        <v>32560</v>
      </c>
      <c r="O713" s="12" t="s">
        <v>265</v>
      </c>
    </row>
    <row r="714" spans="1:15" x14ac:dyDescent="0.3">
      <c r="A714" s="20" t="s">
        <v>478</v>
      </c>
      <c r="B714" s="11" t="s">
        <v>38</v>
      </c>
      <c r="C714" s="30" t="s">
        <v>247</v>
      </c>
      <c r="D714" s="30" t="s">
        <v>39</v>
      </c>
      <c r="E714" s="30" t="s">
        <v>45</v>
      </c>
      <c r="F714" s="30" t="s">
        <v>41</v>
      </c>
      <c r="G714" s="30" t="s">
        <v>53</v>
      </c>
      <c r="H714" s="39">
        <v>45757</v>
      </c>
      <c r="I714" s="64">
        <v>349</v>
      </c>
      <c r="J714" s="64">
        <v>1200</v>
      </c>
      <c r="K714" s="65">
        <v>0</v>
      </c>
      <c r="L714" s="11" t="s">
        <v>30</v>
      </c>
      <c r="M714" s="66">
        <v>418800</v>
      </c>
      <c r="N714" s="66">
        <v>418800</v>
      </c>
      <c r="O714" s="13" t="s">
        <v>277</v>
      </c>
    </row>
    <row r="715" spans="1:15" x14ac:dyDescent="0.3">
      <c r="A715" s="20" t="s">
        <v>479</v>
      </c>
      <c r="B715" s="10" t="s">
        <v>44</v>
      </c>
      <c r="C715" s="32" t="s">
        <v>254</v>
      </c>
      <c r="D715" s="32" t="s">
        <v>39</v>
      </c>
      <c r="E715" s="32" t="s">
        <v>33</v>
      </c>
      <c r="F715" s="32" t="s">
        <v>52</v>
      </c>
      <c r="G715" s="32" t="s">
        <v>56</v>
      </c>
      <c r="H715" s="41">
        <v>45757</v>
      </c>
      <c r="I715" s="70">
        <v>115</v>
      </c>
      <c r="J715" s="70">
        <v>200</v>
      </c>
      <c r="K715" s="71">
        <v>7.0000000000000007E-2</v>
      </c>
      <c r="L715" s="10" t="s">
        <v>36</v>
      </c>
      <c r="M715" s="72">
        <v>23000</v>
      </c>
      <c r="N715" s="72">
        <v>21390</v>
      </c>
      <c r="O715" s="12" t="s">
        <v>265</v>
      </c>
    </row>
    <row r="716" spans="1:15" x14ac:dyDescent="0.3">
      <c r="A716" s="20" t="s">
        <v>480</v>
      </c>
      <c r="B716" s="11" t="s">
        <v>63</v>
      </c>
      <c r="C716" s="30" t="s">
        <v>253</v>
      </c>
      <c r="D716" s="30" t="s">
        <v>50</v>
      </c>
      <c r="E716" s="30" t="s">
        <v>51</v>
      </c>
      <c r="F716" s="30" t="s">
        <v>41</v>
      </c>
      <c r="G716" s="30" t="s">
        <v>29</v>
      </c>
      <c r="H716" s="39">
        <v>45759</v>
      </c>
      <c r="I716" s="64">
        <v>292</v>
      </c>
      <c r="J716" s="64">
        <v>750</v>
      </c>
      <c r="K716" s="65">
        <v>0.05</v>
      </c>
      <c r="L716" s="11" t="s">
        <v>36</v>
      </c>
      <c r="M716" s="66">
        <v>219000</v>
      </c>
      <c r="N716" s="66">
        <v>208050</v>
      </c>
      <c r="O716" s="13" t="s">
        <v>267</v>
      </c>
    </row>
    <row r="717" spans="1:15" x14ac:dyDescent="0.3">
      <c r="A717" s="20" t="s">
        <v>481</v>
      </c>
      <c r="B717" s="10" t="s">
        <v>61</v>
      </c>
      <c r="C717" s="32" t="s">
        <v>244</v>
      </c>
      <c r="D717" s="32" t="s">
        <v>26</v>
      </c>
      <c r="E717" s="32" t="s">
        <v>33</v>
      </c>
      <c r="F717" s="32" t="s">
        <v>46</v>
      </c>
      <c r="G717" s="32" t="s">
        <v>42</v>
      </c>
      <c r="H717" s="41">
        <v>45759</v>
      </c>
      <c r="I717" s="70">
        <v>381</v>
      </c>
      <c r="J717" s="70">
        <v>280</v>
      </c>
      <c r="K717" s="71">
        <v>0.12</v>
      </c>
      <c r="L717" s="10" t="s">
        <v>30</v>
      </c>
      <c r="M717" s="72">
        <v>106680</v>
      </c>
      <c r="N717" s="72">
        <v>93878.399999999994</v>
      </c>
      <c r="O717" s="12" t="s">
        <v>265</v>
      </c>
    </row>
    <row r="718" spans="1:15" x14ac:dyDescent="0.3">
      <c r="A718" s="20" t="s">
        <v>482</v>
      </c>
      <c r="B718" s="11" t="s">
        <v>25</v>
      </c>
      <c r="C718" s="30" t="s">
        <v>257</v>
      </c>
      <c r="D718" s="30" t="s">
        <v>26</v>
      </c>
      <c r="E718" s="30" t="s">
        <v>27</v>
      </c>
      <c r="F718" s="30" t="s">
        <v>28</v>
      </c>
      <c r="G718" s="30" t="s">
        <v>29</v>
      </c>
      <c r="H718" s="39">
        <v>45759</v>
      </c>
      <c r="I718" s="64">
        <v>258</v>
      </c>
      <c r="J718" s="64">
        <v>350</v>
      </c>
      <c r="K718" s="65">
        <v>0.1</v>
      </c>
      <c r="L718" s="11" t="s">
        <v>36</v>
      </c>
      <c r="M718" s="66">
        <v>90300</v>
      </c>
      <c r="N718" s="66">
        <v>81270</v>
      </c>
      <c r="O718" s="13" t="s">
        <v>265</v>
      </c>
    </row>
    <row r="719" spans="1:15" x14ac:dyDescent="0.3">
      <c r="A719" s="20" t="s">
        <v>483</v>
      </c>
      <c r="B719" s="10" t="s">
        <v>55</v>
      </c>
      <c r="C719" s="32" t="s">
        <v>249</v>
      </c>
      <c r="D719" s="32" t="s">
        <v>39</v>
      </c>
      <c r="E719" s="32" t="s">
        <v>33</v>
      </c>
      <c r="F719" s="32" t="s">
        <v>52</v>
      </c>
      <c r="G719" s="32" t="s">
        <v>47</v>
      </c>
      <c r="H719" s="41">
        <v>45760</v>
      </c>
      <c r="I719" s="70">
        <v>313</v>
      </c>
      <c r="J719" s="70">
        <v>650</v>
      </c>
      <c r="K719" s="71">
        <v>0</v>
      </c>
      <c r="L719" s="10" t="s">
        <v>30</v>
      </c>
      <c r="M719" s="72">
        <v>203450</v>
      </c>
      <c r="N719" s="72">
        <v>203450</v>
      </c>
      <c r="O719" s="12" t="s">
        <v>267</v>
      </c>
    </row>
    <row r="720" spans="1:15" x14ac:dyDescent="0.3">
      <c r="A720" s="20" t="s">
        <v>484</v>
      </c>
      <c r="B720" s="11" t="s">
        <v>49</v>
      </c>
      <c r="C720" s="30" t="s">
        <v>251</v>
      </c>
      <c r="D720" s="30" t="s">
        <v>50</v>
      </c>
      <c r="E720" s="30" t="s">
        <v>45</v>
      </c>
      <c r="F720" s="30" t="s">
        <v>52</v>
      </c>
      <c r="G720" s="30" t="s">
        <v>42</v>
      </c>
      <c r="H720" s="39">
        <v>45760</v>
      </c>
      <c r="I720" s="64">
        <v>377</v>
      </c>
      <c r="J720" s="64">
        <v>895</v>
      </c>
      <c r="K720" s="65">
        <v>0.08</v>
      </c>
      <c r="L720" s="11" t="s">
        <v>36</v>
      </c>
      <c r="M720" s="66">
        <v>337415</v>
      </c>
      <c r="N720" s="66">
        <v>310421.8</v>
      </c>
      <c r="O720" s="13" t="s">
        <v>267</v>
      </c>
    </row>
    <row r="721" spans="1:15" x14ac:dyDescent="0.3">
      <c r="A721" s="20" t="s">
        <v>485</v>
      </c>
      <c r="B721" s="10" t="s">
        <v>55</v>
      </c>
      <c r="C721" s="32" t="s">
        <v>249</v>
      </c>
      <c r="D721" s="32" t="s">
        <v>39</v>
      </c>
      <c r="E721" s="32" t="s">
        <v>51</v>
      </c>
      <c r="F721" s="32" t="s">
        <v>41</v>
      </c>
      <c r="G721" s="32" t="s">
        <v>47</v>
      </c>
      <c r="H721" s="41">
        <v>45760</v>
      </c>
      <c r="I721" s="70">
        <v>370</v>
      </c>
      <c r="J721" s="70">
        <v>650</v>
      </c>
      <c r="K721" s="71">
        <v>0.08</v>
      </c>
      <c r="L721" s="10" t="s">
        <v>36</v>
      </c>
      <c r="M721" s="72">
        <v>240500</v>
      </c>
      <c r="N721" s="72">
        <v>221260</v>
      </c>
      <c r="O721" s="12" t="s">
        <v>267</v>
      </c>
    </row>
    <row r="722" spans="1:15" x14ac:dyDescent="0.3">
      <c r="A722" s="20" t="s">
        <v>486</v>
      </c>
      <c r="B722" s="11" t="s">
        <v>38</v>
      </c>
      <c r="C722" s="30" t="s">
        <v>247</v>
      </c>
      <c r="D722" s="30" t="s">
        <v>39</v>
      </c>
      <c r="E722" s="30" t="s">
        <v>27</v>
      </c>
      <c r="F722" s="30" t="s">
        <v>28</v>
      </c>
      <c r="G722" s="30" t="s">
        <v>35</v>
      </c>
      <c r="H722" s="39">
        <v>45763</v>
      </c>
      <c r="I722" s="64">
        <v>226</v>
      </c>
      <c r="J722" s="64">
        <v>1200</v>
      </c>
      <c r="K722" s="65">
        <v>0.13</v>
      </c>
      <c r="L722" s="11" t="s">
        <v>36</v>
      </c>
      <c r="M722" s="66">
        <v>271200</v>
      </c>
      <c r="N722" s="66">
        <v>235944</v>
      </c>
      <c r="O722" s="13" t="s">
        <v>267</v>
      </c>
    </row>
    <row r="723" spans="1:15" x14ac:dyDescent="0.3">
      <c r="A723" s="20" t="s">
        <v>487</v>
      </c>
      <c r="B723" s="10" t="s">
        <v>38</v>
      </c>
      <c r="C723" s="32" t="s">
        <v>247</v>
      </c>
      <c r="D723" s="32" t="s">
        <v>39</v>
      </c>
      <c r="E723" s="32" t="s">
        <v>51</v>
      </c>
      <c r="F723" s="32" t="s">
        <v>46</v>
      </c>
      <c r="G723" s="32" t="s">
        <v>47</v>
      </c>
      <c r="H723" s="41">
        <v>45764</v>
      </c>
      <c r="I723" s="70">
        <v>354</v>
      </c>
      <c r="J723" s="70">
        <v>1200</v>
      </c>
      <c r="K723" s="71">
        <v>0.1</v>
      </c>
      <c r="L723" s="10" t="s">
        <v>30</v>
      </c>
      <c r="M723" s="72">
        <v>424800</v>
      </c>
      <c r="N723" s="72">
        <v>382320</v>
      </c>
      <c r="O723" s="12" t="s">
        <v>277</v>
      </c>
    </row>
    <row r="724" spans="1:15" x14ac:dyDescent="0.3">
      <c r="A724" s="20" t="s">
        <v>488</v>
      </c>
      <c r="B724" s="11" t="s">
        <v>25</v>
      </c>
      <c r="C724" s="30" t="s">
        <v>257</v>
      </c>
      <c r="D724" s="30" t="s">
        <v>26</v>
      </c>
      <c r="E724" s="30" t="s">
        <v>45</v>
      </c>
      <c r="F724" s="30" t="s">
        <v>41</v>
      </c>
      <c r="G724" s="30" t="s">
        <v>53</v>
      </c>
      <c r="H724" s="39">
        <v>45764</v>
      </c>
      <c r="I724" s="64">
        <v>118</v>
      </c>
      <c r="J724" s="64">
        <v>350</v>
      </c>
      <c r="K724" s="65">
        <v>0</v>
      </c>
      <c r="L724" s="11" t="s">
        <v>36</v>
      </c>
      <c r="M724" s="66">
        <v>41300</v>
      </c>
      <c r="N724" s="66">
        <v>41300</v>
      </c>
      <c r="O724" s="13" t="s">
        <v>265</v>
      </c>
    </row>
    <row r="725" spans="1:15" x14ac:dyDescent="0.3">
      <c r="A725" s="20" t="s">
        <v>489</v>
      </c>
      <c r="B725" s="10" t="s">
        <v>25</v>
      </c>
      <c r="C725" s="32" t="s">
        <v>257</v>
      </c>
      <c r="D725" s="32" t="s">
        <v>26</v>
      </c>
      <c r="E725" s="32" t="s">
        <v>33</v>
      </c>
      <c r="F725" s="32" t="s">
        <v>52</v>
      </c>
      <c r="G725" s="32" t="s">
        <v>29</v>
      </c>
      <c r="H725" s="41">
        <v>45765</v>
      </c>
      <c r="I725" s="70">
        <v>291</v>
      </c>
      <c r="J725" s="70">
        <v>350</v>
      </c>
      <c r="K725" s="71">
        <v>0.05</v>
      </c>
      <c r="L725" s="10" t="s">
        <v>36</v>
      </c>
      <c r="M725" s="72">
        <v>101850</v>
      </c>
      <c r="N725" s="72">
        <v>96757.5</v>
      </c>
      <c r="O725" s="12" t="s">
        <v>265</v>
      </c>
    </row>
    <row r="726" spans="1:15" x14ac:dyDescent="0.3">
      <c r="A726" s="20" t="s">
        <v>490</v>
      </c>
      <c r="B726" s="11" t="s">
        <v>38</v>
      </c>
      <c r="C726" s="30" t="s">
        <v>247</v>
      </c>
      <c r="D726" s="30" t="s">
        <v>39</v>
      </c>
      <c r="E726" s="30" t="s">
        <v>27</v>
      </c>
      <c r="F726" s="30" t="s">
        <v>52</v>
      </c>
      <c r="G726" s="30" t="s">
        <v>56</v>
      </c>
      <c r="H726" s="39">
        <v>45766</v>
      </c>
      <c r="I726" s="64">
        <v>328</v>
      </c>
      <c r="J726" s="64">
        <v>1200</v>
      </c>
      <c r="K726" s="65">
        <v>0.11</v>
      </c>
      <c r="L726" s="11" t="s">
        <v>30</v>
      </c>
      <c r="M726" s="66">
        <v>393600</v>
      </c>
      <c r="N726" s="66">
        <v>350304</v>
      </c>
      <c r="O726" s="13" t="s">
        <v>277</v>
      </c>
    </row>
    <row r="727" spans="1:15" x14ac:dyDescent="0.3">
      <c r="A727" s="20" t="s">
        <v>491</v>
      </c>
      <c r="B727" s="10" t="s">
        <v>63</v>
      </c>
      <c r="C727" s="32" t="s">
        <v>253</v>
      </c>
      <c r="D727" s="32" t="s">
        <v>50</v>
      </c>
      <c r="E727" s="32" t="s">
        <v>33</v>
      </c>
      <c r="F727" s="32" t="s">
        <v>46</v>
      </c>
      <c r="G727" s="32" t="s">
        <v>35</v>
      </c>
      <c r="H727" s="41">
        <v>45766</v>
      </c>
      <c r="I727" s="70">
        <v>267</v>
      </c>
      <c r="J727" s="70">
        <v>750</v>
      </c>
      <c r="K727" s="71">
        <v>0</v>
      </c>
      <c r="L727" s="10" t="s">
        <v>36</v>
      </c>
      <c r="M727" s="72">
        <v>200250</v>
      </c>
      <c r="N727" s="72">
        <v>200250</v>
      </c>
      <c r="O727" s="12" t="s">
        <v>267</v>
      </c>
    </row>
    <row r="728" spans="1:15" x14ac:dyDescent="0.3">
      <c r="A728" s="20" t="s">
        <v>492</v>
      </c>
      <c r="B728" s="11" t="s">
        <v>58</v>
      </c>
      <c r="C728" s="30" t="s">
        <v>255</v>
      </c>
      <c r="D728" s="30" t="s">
        <v>59</v>
      </c>
      <c r="E728" s="30" t="s">
        <v>40</v>
      </c>
      <c r="F728" s="30" t="s">
        <v>28</v>
      </c>
      <c r="G728" s="30" t="s">
        <v>29</v>
      </c>
      <c r="H728" s="39">
        <v>45766</v>
      </c>
      <c r="I728" s="64">
        <v>162</v>
      </c>
      <c r="J728" s="64">
        <v>2800</v>
      </c>
      <c r="K728" s="65">
        <v>0.13</v>
      </c>
      <c r="L728" s="11" t="s">
        <v>36</v>
      </c>
      <c r="M728" s="66">
        <v>453600</v>
      </c>
      <c r="N728" s="66">
        <v>394632</v>
      </c>
      <c r="O728" s="13" t="s">
        <v>277</v>
      </c>
    </row>
    <row r="729" spans="1:15" x14ac:dyDescent="0.3">
      <c r="A729" s="20" t="s">
        <v>493</v>
      </c>
      <c r="B729" s="10" t="s">
        <v>49</v>
      </c>
      <c r="C729" s="32" t="s">
        <v>251</v>
      </c>
      <c r="D729" s="32" t="s">
        <v>50</v>
      </c>
      <c r="E729" s="32" t="s">
        <v>45</v>
      </c>
      <c r="F729" s="32" t="s">
        <v>46</v>
      </c>
      <c r="G729" s="32" t="s">
        <v>47</v>
      </c>
      <c r="H729" s="41">
        <v>45768</v>
      </c>
      <c r="I729" s="70">
        <v>232</v>
      </c>
      <c r="J729" s="70">
        <v>895</v>
      </c>
      <c r="K729" s="71">
        <v>0</v>
      </c>
      <c r="L729" s="10" t="s">
        <v>30</v>
      </c>
      <c r="M729" s="72">
        <v>207640</v>
      </c>
      <c r="N729" s="72">
        <v>207640</v>
      </c>
      <c r="O729" s="12" t="s">
        <v>267</v>
      </c>
    </row>
    <row r="730" spans="1:15" x14ac:dyDescent="0.3">
      <c r="A730" s="20" t="s">
        <v>494</v>
      </c>
      <c r="B730" s="11" t="s">
        <v>61</v>
      </c>
      <c r="C730" s="30" t="s">
        <v>244</v>
      </c>
      <c r="D730" s="30" t="s">
        <v>26</v>
      </c>
      <c r="E730" s="30" t="s">
        <v>40</v>
      </c>
      <c r="F730" s="30" t="s">
        <v>46</v>
      </c>
      <c r="G730" s="30" t="s">
        <v>29</v>
      </c>
      <c r="H730" s="39">
        <v>45768</v>
      </c>
      <c r="I730" s="64">
        <v>190</v>
      </c>
      <c r="J730" s="64">
        <v>280</v>
      </c>
      <c r="K730" s="65">
        <v>0</v>
      </c>
      <c r="L730" s="11" t="s">
        <v>36</v>
      </c>
      <c r="M730" s="66">
        <v>53200</v>
      </c>
      <c r="N730" s="66">
        <v>53200</v>
      </c>
      <c r="O730" s="13" t="s">
        <v>265</v>
      </c>
    </row>
    <row r="731" spans="1:15" x14ac:dyDescent="0.3">
      <c r="A731" s="20" t="s">
        <v>495</v>
      </c>
      <c r="B731" s="10" t="s">
        <v>25</v>
      </c>
      <c r="C731" s="32" t="s">
        <v>257</v>
      </c>
      <c r="D731" s="32" t="s">
        <v>26</v>
      </c>
      <c r="E731" s="32" t="s">
        <v>45</v>
      </c>
      <c r="F731" s="32" t="s">
        <v>52</v>
      </c>
      <c r="G731" s="32" t="s">
        <v>42</v>
      </c>
      <c r="H731" s="41">
        <v>45769</v>
      </c>
      <c r="I731" s="70">
        <v>414</v>
      </c>
      <c r="J731" s="70">
        <v>350</v>
      </c>
      <c r="K731" s="71">
        <v>0.12</v>
      </c>
      <c r="L731" s="10" t="s">
        <v>36</v>
      </c>
      <c r="M731" s="72">
        <v>144900</v>
      </c>
      <c r="N731" s="72">
        <v>127512</v>
      </c>
      <c r="O731" s="12" t="s">
        <v>267</v>
      </c>
    </row>
    <row r="732" spans="1:15" x14ac:dyDescent="0.3">
      <c r="A732" s="20" t="s">
        <v>496</v>
      </c>
      <c r="B732" s="11" t="s">
        <v>63</v>
      </c>
      <c r="C732" s="30" t="s">
        <v>253</v>
      </c>
      <c r="D732" s="30" t="s">
        <v>50</v>
      </c>
      <c r="E732" s="30" t="s">
        <v>51</v>
      </c>
      <c r="F732" s="30" t="s">
        <v>46</v>
      </c>
      <c r="G732" s="30" t="s">
        <v>29</v>
      </c>
      <c r="H732" s="39">
        <v>45770</v>
      </c>
      <c r="I732" s="64">
        <v>230</v>
      </c>
      <c r="J732" s="64">
        <v>750</v>
      </c>
      <c r="K732" s="65">
        <v>0.03</v>
      </c>
      <c r="L732" s="11" t="s">
        <v>36</v>
      </c>
      <c r="M732" s="66">
        <v>172500</v>
      </c>
      <c r="N732" s="66">
        <v>167325</v>
      </c>
      <c r="O732" s="13" t="s">
        <v>267</v>
      </c>
    </row>
    <row r="733" spans="1:15" x14ac:dyDescent="0.3">
      <c r="A733" s="20" t="s">
        <v>497</v>
      </c>
      <c r="B733" s="10" t="s">
        <v>32</v>
      </c>
      <c r="C733" s="32" t="s">
        <v>246</v>
      </c>
      <c r="D733" s="32" t="s">
        <v>26</v>
      </c>
      <c r="E733" s="32" t="s">
        <v>27</v>
      </c>
      <c r="F733" s="32" t="s">
        <v>28</v>
      </c>
      <c r="G733" s="32" t="s">
        <v>56</v>
      </c>
      <c r="H733" s="41">
        <v>45770</v>
      </c>
      <c r="I733" s="70">
        <v>181</v>
      </c>
      <c r="J733" s="70">
        <v>420</v>
      </c>
      <c r="K733" s="71">
        <v>0.05</v>
      </c>
      <c r="L733" s="10" t="s">
        <v>30</v>
      </c>
      <c r="M733" s="72">
        <v>76020</v>
      </c>
      <c r="N733" s="72">
        <v>72219</v>
      </c>
      <c r="O733" s="12" t="s">
        <v>265</v>
      </c>
    </row>
    <row r="734" spans="1:15" x14ac:dyDescent="0.3">
      <c r="A734" s="20" t="s">
        <v>498</v>
      </c>
      <c r="B734" s="11" t="s">
        <v>61</v>
      </c>
      <c r="C734" s="30" t="s">
        <v>244</v>
      </c>
      <c r="D734" s="30" t="s">
        <v>26</v>
      </c>
      <c r="E734" s="30" t="s">
        <v>40</v>
      </c>
      <c r="F734" s="30" t="s">
        <v>41</v>
      </c>
      <c r="G734" s="30" t="s">
        <v>47</v>
      </c>
      <c r="H734" s="39">
        <v>45770</v>
      </c>
      <c r="I734" s="64">
        <v>238</v>
      </c>
      <c r="J734" s="64">
        <v>280</v>
      </c>
      <c r="K734" s="65">
        <v>0</v>
      </c>
      <c r="L734" s="11" t="s">
        <v>36</v>
      </c>
      <c r="M734" s="66">
        <v>66640</v>
      </c>
      <c r="N734" s="66">
        <v>66640</v>
      </c>
      <c r="O734" s="13" t="s">
        <v>265</v>
      </c>
    </row>
    <row r="735" spans="1:15" x14ac:dyDescent="0.3">
      <c r="A735" s="20" t="s">
        <v>499</v>
      </c>
      <c r="B735" s="10" t="s">
        <v>63</v>
      </c>
      <c r="C735" s="32" t="s">
        <v>253</v>
      </c>
      <c r="D735" s="32" t="s">
        <v>50</v>
      </c>
      <c r="E735" s="32" t="s">
        <v>51</v>
      </c>
      <c r="F735" s="32" t="s">
        <v>34</v>
      </c>
      <c r="G735" s="32" t="s">
        <v>29</v>
      </c>
      <c r="H735" s="41">
        <v>45771</v>
      </c>
      <c r="I735" s="70">
        <v>360</v>
      </c>
      <c r="J735" s="70">
        <v>750</v>
      </c>
      <c r="K735" s="71">
        <v>0.15</v>
      </c>
      <c r="L735" s="10" t="s">
        <v>30</v>
      </c>
      <c r="M735" s="72">
        <v>270000</v>
      </c>
      <c r="N735" s="72">
        <v>229500</v>
      </c>
      <c r="O735" s="12" t="s">
        <v>267</v>
      </c>
    </row>
    <row r="736" spans="1:15" x14ac:dyDescent="0.3">
      <c r="A736" s="20" t="s">
        <v>500</v>
      </c>
      <c r="B736" s="11" t="s">
        <v>16</v>
      </c>
      <c r="C736" s="30" t="s">
        <v>250</v>
      </c>
      <c r="D736" s="30" t="s">
        <v>39</v>
      </c>
      <c r="E736" s="30" t="s">
        <v>27</v>
      </c>
      <c r="F736" s="30" t="s">
        <v>41</v>
      </c>
      <c r="G736" s="30" t="s">
        <v>47</v>
      </c>
      <c r="H736" s="39">
        <v>45771</v>
      </c>
      <c r="I736" s="64">
        <v>34</v>
      </c>
      <c r="J736" s="64">
        <v>990</v>
      </c>
      <c r="K736" s="65">
        <v>7.0000000000000007E-2</v>
      </c>
      <c r="L736" s="11" t="s">
        <v>36</v>
      </c>
      <c r="M736" s="66">
        <v>33660</v>
      </c>
      <c r="N736" s="66">
        <v>31303.8</v>
      </c>
      <c r="O736" s="13" t="s">
        <v>265</v>
      </c>
    </row>
    <row r="737" spans="1:15" x14ac:dyDescent="0.3">
      <c r="A737" s="20" t="s">
        <v>501</v>
      </c>
      <c r="B737" s="10" t="s">
        <v>58</v>
      </c>
      <c r="C737" s="32" t="s">
        <v>255</v>
      </c>
      <c r="D737" s="32" t="s">
        <v>59</v>
      </c>
      <c r="E737" s="32" t="s">
        <v>40</v>
      </c>
      <c r="F737" s="32" t="s">
        <v>34</v>
      </c>
      <c r="G737" s="32" t="s">
        <v>29</v>
      </c>
      <c r="H737" s="41">
        <v>45771</v>
      </c>
      <c r="I737" s="70">
        <v>49</v>
      </c>
      <c r="J737" s="70">
        <v>2800</v>
      </c>
      <c r="K737" s="71">
        <v>7.0000000000000007E-2</v>
      </c>
      <c r="L737" s="10" t="s">
        <v>36</v>
      </c>
      <c r="M737" s="72">
        <v>137200</v>
      </c>
      <c r="N737" s="72">
        <v>127596</v>
      </c>
      <c r="O737" s="12" t="s">
        <v>267</v>
      </c>
    </row>
    <row r="738" spans="1:15" x14ac:dyDescent="0.3">
      <c r="A738" s="20" t="s">
        <v>502</v>
      </c>
      <c r="B738" s="11" t="s">
        <v>58</v>
      </c>
      <c r="C738" s="30" t="s">
        <v>255</v>
      </c>
      <c r="D738" s="30" t="s">
        <v>59</v>
      </c>
      <c r="E738" s="30" t="s">
        <v>51</v>
      </c>
      <c r="F738" s="30" t="s">
        <v>46</v>
      </c>
      <c r="G738" s="30" t="s">
        <v>35</v>
      </c>
      <c r="H738" s="39">
        <v>45773</v>
      </c>
      <c r="I738" s="64">
        <v>220</v>
      </c>
      <c r="J738" s="64">
        <v>2800</v>
      </c>
      <c r="K738" s="65">
        <v>0</v>
      </c>
      <c r="L738" s="11" t="s">
        <v>30</v>
      </c>
      <c r="M738" s="66">
        <v>616000</v>
      </c>
      <c r="N738" s="66">
        <v>616000</v>
      </c>
      <c r="O738" s="13" t="s">
        <v>277</v>
      </c>
    </row>
    <row r="739" spans="1:15" x14ac:dyDescent="0.3">
      <c r="A739" s="20" t="s">
        <v>503</v>
      </c>
      <c r="B739" s="10" t="s">
        <v>63</v>
      </c>
      <c r="C739" s="32" t="s">
        <v>253</v>
      </c>
      <c r="D739" s="32" t="s">
        <v>50</v>
      </c>
      <c r="E739" s="32" t="s">
        <v>33</v>
      </c>
      <c r="F739" s="32" t="s">
        <v>28</v>
      </c>
      <c r="G739" s="32" t="s">
        <v>53</v>
      </c>
      <c r="H739" s="41">
        <v>45773</v>
      </c>
      <c r="I739" s="70">
        <v>69</v>
      </c>
      <c r="J739" s="70">
        <v>750</v>
      </c>
      <c r="K739" s="71">
        <v>0.03</v>
      </c>
      <c r="L739" s="10" t="s">
        <v>36</v>
      </c>
      <c r="M739" s="72">
        <v>51750</v>
      </c>
      <c r="N739" s="72">
        <v>50197.5</v>
      </c>
      <c r="O739" s="12" t="s">
        <v>265</v>
      </c>
    </row>
    <row r="740" spans="1:15" x14ac:dyDescent="0.3">
      <c r="A740" s="20" t="s">
        <v>504</v>
      </c>
      <c r="B740" s="11" t="s">
        <v>32</v>
      </c>
      <c r="C740" s="30" t="s">
        <v>246</v>
      </c>
      <c r="D740" s="30" t="s">
        <v>26</v>
      </c>
      <c r="E740" s="30" t="s">
        <v>45</v>
      </c>
      <c r="F740" s="30" t="s">
        <v>52</v>
      </c>
      <c r="G740" s="30" t="s">
        <v>47</v>
      </c>
      <c r="H740" s="39">
        <v>45773</v>
      </c>
      <c r="I740" s="64">
        <v>273</v>
      </c>
      <c r="J740" s="64">
        <v>420</v>
      </c>
      <c r="K740" s="65">
        <v>0.11</v>
      </c>
      <c r="L740" s="11" t="s">
        <v>30</v>
      </c>
      <c r="M740" s="66">
        <v>114660</v>
      </c>
      <c r="N740" s="66">
        <v>102047.4</v>
      </c>
      <c r="O740" s="13" t="s">
        <v>267</v>
      </c>
    </row>
    <row r="741" spans="1:15" x14ac:dyDescent="0.3">
      <c r="A741" s="20" t="s">
        <v>505</v>
      </c>
      <c r="B741" s="10" t="s">
        <v>63</v>
      </c>
      <c r="C741" s="32" t="s">
        <v>253</v>
      </c>
      <c r="D741" s="32" t="s">
        <v>50</v>
      </c>
      <c r="E741" s="32" t="s">
        <v>40</v>
      </c>
      <c r="F741" s="32" t="s">
        <v>28</v>
      </c>
      <c r="G741" s="32" t="s">
        <v>29</v>
      </c>
      <c r="H741" s="41">
        <v>45774</v>
      </c>
      <c r="I741" s="70">
        <v>99</v>
      </c>
      <c r="J741" s="70">
        <v>750</v>
      </c>
      <c r="K741" s="71">
        <v>7.0000000000000007E-2</v>
      </c>
      <c r="L741" s="10" t="s">
        <v>36</v>
      </c>
      <c r="M741" s="72">
        <v>74250</v>
      </c>
      <c r="N741" s="72">
        <v>69052.5</v>
      </c>
      <c r="O741" s="12" t="s">
        <v>265</v>
      </c>
    </row>
    <row r="742" spans="1:15" x14ac:dyDescent="0.3">
      <c r="A742" s="20" t="s">
        <v>506</v>
      </c>
      <c r="B742" s="11" t="s">
        <v>38</v>
      </c>
      <c r="C742" s="30" t="s">
        <v>247</v>
      </c>
      <c r="D742" s="30" t="s">
        <v>39</v>
      </c>
      <c r="E742" s="30" t="s">
        <v>45</v>
      </c>
      <c r="F742" s="30" t="s">
        <v>34</v>
      </c>
      <c r="G742" s="30" t="s">
        <v>42</v>
      </c>
      <c r="H742" s="39">
        <v>45774</v>
      </c>
      <c r="I742" s="64">
        <v>66</v>
      </c>
      <c r="J742" s="64">
        <v>1200</v>
      </c>
      <c r="K742" s="65">
        <v>0.03</v>
      </c>
      <c r="L742" s="11" t="s">
        <v>36</v>
      </c>
      <c r="M742" s="66">
        <v>79200</v>
      </c>
      <c r="N742" s="66">
        <v>76824</v>
      </c>
      <c r="O742" s="13" t="s">
        <v>265</v>
      </c>
    </row>
    <row r="743" spans="1:15" x14ac:dyDescent="0.3">
      <c r="A743" s="20" t="s">
        <v>507</v>
      </c>
      <c r="B743" s="10" t="s">
        <v>63</v>
      </c>
      <c r="C743" s="32" t="s">
        <v>253</v>
      </c>
      <c r="D743" s="32" t="s">
        <v>50</v>
      </c>
      <c r="E743" s="32" t="s">
        <v>40</v>
      </c>
      <c r="F743" s="32" t="s">
        <v>28</v>
      </c>
      <c r="G743" s="32" t="s">
        <v>35</v>
      </c>
      <c r="H743" s="41">
        <v>45774</v>
      </c>
      <c r="I743" s="70">
        <v>358</v>
      </c>
      <c r="J743" s="70">
        <v>750</v>
      </c>
      <c r="K743" s="71">
        <v>0.14000000000000001</v>
      </c>
      <c r="L743" s="10" t="s">
        <v>36</v>
      </c>
      <c r="M743" s="72">
        <v>268500</v>
      </c>
      <c r="N743" s="72">
        <v>230910</v>
      </c>
      <c r="O743" s="12" t="s">
        <v>267</v>
      </c>
    </row>
    <row r="744" spans="1:15" x14ac:dyDescent="0.3">
      <c r="A744" s="20" t="s">
        <v>508</v>
      </c>
      <c r="B744" s="11" t="s">
        <v>44</v>
      </c>
      <c r="C744" s="30" t="s">
        <v>254</v>
      </c>
      <c r="D744" s="30" t="s">
        <v>39</v>
      </c>
      <c r="E744" s="30" t="s">
        <v>51</v>
      </c>
      <c r="F744" s="30" t="s">
        <v>46</v>
      </c>
      <c r="G744" s="30" t="s">
        <v>56</v>
      </c>
      <c r="H744" s="39">
        <v>45776</v>
      </c>
      <c r="I744" s="64">
        <v>162</v>
      </c>
      <c r="J744" s="64">
        <v>200</v>
      </c>
      <c r="K744" s="65">
        <v>0.12</v>
      </c>
      <c r="L744" s="11" t="s">
        <v>30</v>
      </c>
      <c r="M744" s="66">
        <v>32400</v>
      </c>
      <c r="N744" s="66">
        <v>28512</v>
      </c>
      <c r="O744" s="13" t="s">
        <v>265</v>
      </c>
    </row>
    <row r="745" spans="1:15" x14ac:dyDescent="0.3">
      <c r="A745" s="20" t="s">
        <v>509</v>
      </c>
      <c r="B745" s="10" t="s">
        <v>61</v>
      </c>
      <c r="C745" s="32" t="s">
        <v>244</v>
      </c>
      <c r="D745" s="32" t="s">
        <v>26</v>
      </c>
      <c r="E745" s="32" t="s">
        <v>33</v>
      </c>
      <c r="F745" s="32" t="s">
        <v>46</v>
      </c>
      <c r="G745" s="32" t="s">
        <v>42</v>
      </c>
      <c r="H745" s="41">
        <v>45776</v>
      </c>
      <c r="I745" s="70">
        <v>349</v>
      </c>
      <c r="J745" s="70">
        <v>280</v>
      </c>
      <c r="K745" s="71">
        <v>0.03</v>
      </c>
      <c r="L745" s="10" t="s">
        <v>36</v>
      </c>
      <c r="M745" s="72">
        <v>97720</v>
      </c>
      <c r="N745" s="72">
        <v>94788.4</v>
      </c>
      <c r="O745" s="12" t="s">
        <v>265</v>
      </c>
    </row>
    <row r="746" spans="1:15" x14ac:dyDescent="0.3">
      <c r="A746" s="20" t="s">
        <v>510</v>
      </c>
      <c r="B746" s="11" t="s">
        <v>55</v>
      </c>
      <c r="C746" s="30" t="s">
        <v>249</v>
      </c>
      <c r="D746" s="30" t="s">
        <v>39</v>
      </c>
      <c r="E746" s="30" t="s">
        <v>40</v>
      </c>
      <c r="F746" s="30" t="s">
        <v>41</v>
      </c>
      <c r="G746" s="30" t="s">
        <v>29</v>
      </c>
      <c r="H746" s="39">
        <v>45776</v>
      </c>
      <c r="I746" s="64">
        <v>151</v>
      </c>
      <c r="J746" s="64">
        <v>650</v>
      </c>
      <c r="K746" s="65">
        <v>0.1</v>
      </c>
      <c r="L746" s="11" t="s">
        <v>36</v>
      </c>
      <c r="M746" s="66">
        <v>98150</v>
      </c>
      <c r="N746" s="66">
        <v>88335</v>
      </c>
      <c r="O746" s="13" t="s">
        <v>265</v>
      </c>
    </row>
    <row r="747" spans="1:15" x14ac:dyDescent="0.3">
      <c r="A747" s="20" t="s">
        <v>511</v>
      </c>
      <c r="B747" s="10" t="s">
        <v>61</v>
      </c>
      <c r="C747" s="32" t="s">
        <v>244</v>
      </c>
      <c r="D747" s="32" t="s">
        <v>26</v>
      </c>
      <c r="E747" s="32" t="s">
        <v>51</v>
      </c>
      <c r="F747" s="32" t="s">
        <v>46</v>
      </c>
      <c r="G747" s="32" t="s">
        <v>56</v>
      </c>
      <c r="H747" s="41">
        <v>45778</v>
      </c>
      <c r="I747" s="70">
        <v>253</v>
      </c>
      <c r="J747" s="70">
        <v>280</v>
      </c>
      <c r="K747" s="71">
        <v>0.08</v>
      </c>
      <c r="L747" s="10" t="s">
        <v>30</v>
      </c>
      <c r="M747" s="72">
        <v>70840</v>
      </c>
      <c r="N747" s="72">
        <v>65172.800000000003</v>
      </c>
      <c r="O747" s="12" t="s">
        <v>265</v>
      </c>
    </row>
    <row r="748" spans="1:15" x14ac:dyDescent="0.3">
      <c r="A748" s="20" t="s">
        <v>512</v>
      </c>
      <c r="B748" s="11" t="s">
        <v>32</v>
      </c>
      <c r="C748" s="30" t="s">
        <v>246</v>
      </c>
      <c r="D748" s="30" t="s">
        <v>26</v>
      </c>
      <c r="E748" s="30" t="s">
        <v>33</v>
      </c>
      <c r="F748" s="30" t="s">
        <v>52</v>
      </c>
      <c r="G748" s="30" t="s">
        <v>29</v>
      </c>
      <c r="H748" s="39">
        <v>45778</v>
      </c>
      <c r="I748" s="64">
        <v>347</v>
      </c>
      <c r="J748" s="64">
        <v>420</v>
      </c>
      <c r="K748" s="65">
        <v>0</v>
      </c>
      <c r="L748" s="11" t="s">
        <v>30</v>
      </c>
      <c r="M748" s="66">
        <v>145740</v>
      </c>
      <c r="N748" s="66">
        <v>145740</v>
      </c>
      <c r="O748" s="13" t="s">
        <v>267</v>
      </c>
    </row>
    <row r="749" spans="1:15" x14ac:dyDescent="0.3">
      <c r="A749" s="20" t="s">
        <v>513</v>
      </c>
      <c r="B749" s="10" t="s">
        <v>58</v>
      </c>
      <c r="C749" s="32" t="s">
        <v>255</v>
      </c>
      <c r="D749" s="32" t="s">
        <v>59</v>
      </c>
      <c r="E749" s="32" t="s">
        <v>45</v>
      </c>
      <c r="F749" s="32" t="s">
        <v>34</v>
      </c>
      <c r="G749" s="32" t="s">
        <v>47</v>
      </c>
      <c r="H749" s="41">
        <v>45778</v>
      </c>
      <c r="I749" s="70">
        <v>114</v>
      </c>
      <c r="J749" s="70">
        <v>2800</v>
      </c>
      <c r="K749" s="71">
        <v>0</v>
      </c>
      <c r="L749" s="10" t="s">
        <v>30</v>
      </c>
      <c r="M749" s="72">
        <v>319200</v>
      </c>
      <c r="N749" s="72">
        <v>319200</v>
      </c>
      <c r="O749" s="12" t="s">
        <v>267</v>
      </c>
    </row>
    <row r="750" spans="1:15" x14ac:dyDescent="0.3">
      <c r="A750" s="20" t="s">
        <v>514</v>
      </c>
      <c r="B750" s="11" t="s">
        <v>25</v>
      </c>
      <c r="C750" s="30" t="s">
        <v>257</v>
      </c>
      <c r="D750" s="30" t="s">
        <v>26</v>
      </c>
      <c r="E750" s="30" t="s">
        <v>51</v>
      </c>
      <c r="F750" s="30" t="s">
        <v>46</v>
      </c>
      <c r="G750" s="30" t="s">
        <v>56</v>
      </c>
      <c r="H750" s="39">
        <v>45779</v>
      </c>
      <c r="I750" s="64">
        <v>421</v>
      </c>
      <c r="J750" s="64">
        <v>350</v>
      </c>
      <c r="K750" s="65">
        <v>0.15</v>
      </c>
      <c r="L750" s="11" t="s">
        <v>30</v>
      </c>
      <c r="M750" s="66">
        <v>147350</v>
      </c>
      <c r="N750" s="66">
        <v>125247.5</v>
      </c>
      <c r="O750" s="13" t="s">
        <v>267</v>
      </c>
    </row>
    <row r="751" spans="1:15" x14ac:dyDescent="0.3">
      <c r="A751" s="20" t="s">
        <v>515</v>
      </c>
      <c r="B751" s="10" t="s">
        <v>32</v>
      </c>
      <c r="C751" s="32" t="s">
        <v>246</v>
      </c>
      <c r="D751" s="32" t="s">
        <v>26</v>
      </c>
      <c r="E751" s="32" t="s">
        <v>33</v>
      </c>
      <c r="F751" s="32" t="s">
        <v>28</v>
      </c>
      <c r="G751" s="32" t="s">
        <v>47</v>
      </c>
      <c r="H751" s="41">
        <v>45781</v>
      </c>
      <c r="I751" s="70">
        <v>164</v>
      </c>
      <c r="J751" s="70">
        <v>420</v>
      </c>
      <c r="K751" s="71">
        <v>0.15</v>
      </c>
      <c r="L751" s="10" t="s">
        <v>36</v>
      </c>
      <c r="M751" s="72">
        <v>68880</v>
      </c>
      <c r="N751" s="72">
        <v>58548</v>
      </c>
      <c r="O751" s="12" t="s">
        <v>265</v>
      </c>
    </row>
    <row r="752" spans="1:15" x14ac:dyDescent="0.3">
      <c r="A752" s="20" t="s">
        <v>516</v>
      </c>
      <c r="B752" s="11" t="s">
        <v>58</v>
      </c>
      <c r="C752" s="30" t="s">
        <v>255</v>
      </c>
      <c r="D752" s="30" t="s">
        <v>59</v>
      </c>
      <c r="E752" s="30" t="s">
        <v>45</v>
      </c>
      <c r="F752" s="30" t="s">
        <v>34</v>
      </c>
      <c r="G752" s="30" t="s">
        <v>53</v>
      </c>
      <c r="H752" s="39">
        <v>45781</v>
      </c>
      <c r="I752" s="64">
        <v>134</v>
      </c>
      <c r="J752" s="64">
        <v>2800</v>
      </c>
      <c r="K752" s="65">
        <v>0</v>
      </c>
      <c r="L752" s="11" t="s">
        <v>30</v>
      </c>
      <c r="M752" s="66">
        <v>375200</v>
      </c>
      <c r="N752" s="66">
        <v>375200</v>
      </c>
      <c r="O752" s="13" t="s">
        <v>277</v>
      </c>
    </row>
    <row r="753" spans="1:15" x14ac:dyDescent="0.3">
      <c r="A753" s="20" t="s">
        <v>517</v>
      </c>
      <c r="B753" s="10" t="s">
        <v>16</v>
      </c>
      <c r="C753" s="32" t="s">
        <v>250</v>
      </c>
      <c r="D753" s="32" t="s">
        <v>39</v>
      </c>
      <c r="E753" s="32" t="s">
        <v>45</v>
      </c>
      <c r="F753" s="32" t="s">
        <v>52</v>
      </c>
      <c r="G753" s="32" t="s">
        <v>53</v>
      </c>
      <c r="H753" s="41">
        <v>45783</v>
      </c>
      <c r="I753" s="70">
        <v>233</v>
      </c>
      <c r="J753" s="70">
        <v>990</v>
      </c>
      <c r="K753" s="71">
        <v>0</v>
      </c>
      <c r="L753" s="10" t="s">
        <v>30</v>
      </c>
      <c r="M753" s="72">
        <v>230670</v>
      </c>
      <c r="N753" s="72">
        <v>230670</v>
      </c>
      <c r="O753" s="12" t="s">
        <v>267</v>
      </c>
    </row>
    <row r="754" spans="1:15" x14ac:dyDescent="0.3">
      <c r="A754" s="20" t="s">
        <v>518</v>
      </c>
      <c r="B754" s="11" t="s">
        <v>49</v>
      </c>
      <c r="C754" s="30" t="s">
        <v>251</v>
      </c>
      <c r="D754" s="30" t="s">
        <v>50</v>
      </c>
      <c r="E754" s="30" t="s">
        <v>51</v>
      </c>
      <c r="F754" s="30" t="s">
        <v>46</v>
      </c>
      <c r="G754" s="30" t="s">
        <v>53</v>
      </c>
      <c r="H754" s="39">
        <v>45783</v>
      </c>
      <c r="I754" s="64">
        <v>157</v>
      </c>
      <c r="J754" s="64">
        <v>895</v>
      </c>
      <c r="K754" s="65">
        <v>7.0000000000000007E-2</v>
      </c>
      <c r="L754" s="11" t="s">
        <v>36</v>
      </c>
      <c r="M754" s="66">
        <v>140515</v>
      </c>
      <c r="N754" s="66">
        <v>130678.95</v>
      </c>
      <c r="O754" s="13" t="s">
        <v>267</v>
      </c>
    </row>
    <row r="755" spans="1:15" x14ac:dyDescent="0.3">
      <c r="A755" s="20" t="s">
        <v>519</v>
      </c>
      <c r="B755" s="10" t="s">
        <v>25</v>
      </c>
      <c r="C755" s="32" t="s">
        <v>257</v>
      </c>
      <c r="D755" s="32" t="s">
        <v>26</v>
      </c>
      <c r="E755" s="32" t="s">
        <v>40</v>
      </c>
      <c r="F755" s="32" t="s">
        <v>28</v>
      </c>
      <c r="G755" s="32" t="s">
        <v>42</v>
      </c>
      <c r="H755" s="41">
        <v>45784</v>
      </c>
      <c r="I755" s="70">
        <v>207</v>
      </c>
      <c r="J755" s="70">
        <v>350</v>
      </c>
      <c r="K755" s="71">
        <v>0.08</v>
      </c>
      <c r="L755" s="10" t="s">
        <v>36</v>
      </c>
      <c r="M755" s="72">
        <v>72450</v>
      </c>
      <c r="N755" s="72">
        <v>66654</v>
      </c>
      <c r="O755" s="12" t="s">
        <v>265</v>
      </c>
    </row>
    <row r="756" spans="1:15" x14ac:dyDescent="0.3">
      <c r="A756" s="20" t="s">
        <v>520</v>
      </c>
      <c r="B756" s="11" t="s">
        <v>38</v>
      </c>
      <c r="C756" s="30" t="s">
        <v>247</v>
      </c>
      <c r="D756" s="30" t="s">
        <v>39</v>
      </c>
      <c r="E756" s="30" t="s">
        <v>45</v>
      </c>
      <c r="F756" s="30" t="s">
        <v>46</v>
      </c>
      <c r="G756" s="30" t="s">
        <v>47</v>
      </c>
      <c r="H756" s="39">
        <v>45785</v>
      </c>
      <c r="I756" s="64">
        <v>142</v>
      </c>
      <c r="J756" s="64">
        <v>1200</v>
      </c>
      <c r="K756" s="65">
        <v>0.14000000000000001</v>
      </c>
      <c r="L756" s="11" t="s">
        <v>36</v>
      </c>
      <c r="M756" s="66">
        <v>170400</v>
      </c>
      <c r="N756" s="66">
        <v>146544</v>
      </c>
      <c r="O756" s="13" t="s">
        <v>267</v>
      </c>
    </row>
    <row r="757" spans="1:15" x14ac:dyDescent="0.3">
      <c r="A757" s="20" t="s">
        <v>521</v>
      </c>
      <c r="B757" s="10" t="s">
        <v>55</v>
      </c>
      <c r="C757" s="32" t="s">
        <v>249</v>
      </c>
      <c r="D757" s="32" t="s">
        <v>39</v>
      </c>
      <c r="E757" s="32" t="s">
        <v>27</v>
      </c>
      <c r="F757" s="32" t="s">
        <v>34</v>
      </c>
      <c r="G757" s="32" t="s">
        <v>29</v>
      </c>
      <c r="H757" s="41">
        <v>45785</v>
      </c>
      <c r="I757" s="70">
        <v>346</v>
      </c>
      <c r="J757" s="70">
        <v>650</v>
      </c>
      <c r="K757" s="71">
        <v>0.14000000000000001</v>
      </c>
      <c r="L757" s="10" t="s">
        <v>36</v>
      </c>
      <c r="M757" s="72">
        <v>224900</v>
      </c>
      <c r="N757" s="72">
        <v>193414</v>
      </c>
      <c r="O757" s="12" t="s">
        <v>267</v>
      </c>
    </row>
    <row r="758" spans="1:15" x14ac:dyDescent="0.3">
      <c r="A758" s="20" t="s">
        <v>522</v>
      </c>
      <c r="B758" s="11" t="s">
        <v>44</v>
      </c>
      <c r="C758" s="30" t="s">
        <v>254</v>
      </c>
      <c r="D758" s="30" t="s">
        <v>39</v>
      </c>
      <c r="E758" s="30" t="s">
        <v>33</v>
      </c>
      <c r="F758" s="30" t="s">
        <v>41</v>
      </c>
      <c r="G758" s="30" t="s">
        <v>47</v>
      </c>
      <c r="H758" s="39">
        <v>45785</v>
      </c>
      <c r="I758" s="64">
        <v>230</v>
      </c>
      <c r="J758" s="64">
        <v>200</v>
      </c>
      <c r="K758" s="65">
        <v>0.05</v>
      </c>
      <c r="L758" s="11" t="s">
        <v>36</v>
      </c>
      <c r="M758" s="66">
        <v>46000</v>
      </c>
      <c r="N758" s="66">
        <v>43700</v>
      </c>
      <c r="O758" s="13" t="s">
        <v>265</v>
      </c>
    </row>
    <row r="759" spans="1:15" x14ac:dyDescent="0.3">
      <c r="A759" s="20" t="s">
        <v>523</v>
      </c>
      <c r="B759" s="10" t="s">
        <v>32</v>
      </c>
      <c r="C759" s="32" t="s">
        <v>246</v>
      </c>
      <c r="D759" s="32" t="s">
        <v>26</v>
      </c>
      <c r="E759" s="32" t="s">
        <v>33</v>
      </c>
      <c r="F759" s="32" t="s">
        <v>52</v>
      </c>
      <c r="G759" s="32" t="s">
        <v>35</v>
      </c>
      <c r="H759" s="41">
        <v>45786</v>
      </c>
      <c r="I759" s="70">
        <v>75</v>
      </c>
      <c r="J759" s="70">
        <v>420</v>
      </c>
      <c r="K759" s="71">
        <v>0.05</v>
      </c>
      <c r="L759" s="10" t="s">
        <v>36</v>
      </c>
      <c r="M759" s="72">
        <v>31500</v>
      </c>
      <c r="N759" s="72">
        <v>29925</v>
      </c>
      <c r="O759" s="12" t="s">
        <v>265</v>
      </c>
    </row>
    <row r="760" spans="1:15" x14ac:dyDescent="0.3">
      <c r="A760" s="20" t="s">
        <v>524</v>
      </c>
      <c r="B760" s="11" t="s">
        <v>25</v>
      </c>
      <c r="C760" s="30" t="s">
        <v>257</v>
      </c>
      <c r="D760" s="30" t="s">
        <v>26</v>
      </c>
      <c r="E760" s="30" t="s">
        <v>40</v>
      </c>
      <c r="F760" s="30" t="s">
        <v>52</v>
      </c>
      <c r="G760" s="30" t="s">
        <v>42</v>
      </c>
      <c r="H760" s="39">
        <v>45787</v>
      </c>
      <c r="I760" s="64">
        <v>140</v>
      </c>
      <c r="J760" s="64">
        <v>350</v>
      </c>
      <c r="K760" s="65">
        <v>0.08</v>
      </c>
      <c r="L760" s="11" t="s">
        <v>30</v>
      </c>
      <c r="M760" s="66">
        <v>49000</v>
      </c>
      <c r="N760" s="66">
        <v>45080</v>
      </c>
      <c r="O760" s="13" t="s">
        <v>265</v>
      </c>
    </row>
    <row r="761" spans="1:15" x14ac:dyDescent="0.3">
      <c r="A761" s="20" t="s">
        <v>525</v>
      </c>
      <c r="B761" s="10" t="s">
        <v>44</v>
      </c>
      <c r="C761" s="32" t="s">
        <v>254</v>
      </c>
      <c r="D761" s="32" t="s">
        <v>39</v>
      </c>
      <c r="E761" s="32" t="s">
        <v>40</v>
      </c>
      <c r="F761" s="32" t="s">
        <v>28</v>
      </c>
      <c r="G761" s="32" t="s">
        <v>56</v>
      </c>
      <c r="H761" s="41">
        <v>45787</v>
      </c>
      <c r="I761" s="70">
        <v>94</v>
      </c>
      <c r="J761" s="70">
        <v>200</v>
      </c>
      <c r="K761" s="71">
        <v>0.11</v>
      </c>
      <c r="L761" s="10" t="s">
        <v>36</v>
      </c>
      <c r="M761" s="72">
        <v>18800</v>
      </c>
      <c r="N761" s="72">
        <v>16732</v>
      </c>
      <c r="O761" s="12" t="s">
        <v>265</v>
      </c>
    </row>
    <row r="762" spans="1:15" x14ac:dyDescent="0.3">
      <c r="A762" s="20" t="s">
        <v>526</v>
      </c>
      <c r="B762" s="11" t="s">
        <v>49</v>
      </c>
      <c r="C762" s="30" t="s">
        <v>251</v>
      </c>
      <c r="D762" s="30" t="s">
        <v>50</v>
      </c>
      <c r="E762" s="30" t="s">
        <v>45</v>
      </c>
      <c r="F762" s="30" t="s">
        <v>28</v>
      </c>
      <c r="G762" s="30" t="s">
        <v>56</v>
      </c>
      <c r="H762" s="39">
        <v>45787</v>
      </c>
      <c r="I762" s="64">
        <v>84</v>
      </c>
      <c r="J762" s="64">
        <v>895</v>
      </c>
      <c r="K762" s="65">
        <v>0</v>
      </c>
      <c r="L762" s="11" t="s">
        <v>30</v>
      </c>
      <c r="M762" s="66">
        <v>75180</v>
      </c>
      <c r="N762" s="66">
        <v>75180</v>
      </c>
      <c r="O762" s="13" t="s">
        <v>265</v>
      </c>
    </row>
    <row r="763" spans="1:15" x14ac:dyDescent="0.3">
      <c r="A763" s="20" t="s">
        <v>527</v>
      </c>
      <c r="B763" s="10" t="s">
        <v>49</v>
      </c>
      <c r="C763" s="32" t="s">
        <v>251</v>
      </c>
      <c r="D763" s="32" t="s">
        <v>50</v>
      </c>
      <c r="E763" s="32" t="s">
        <v>27</v>
      </c>
      <c r="F763" s="32" t="s">
        <v>34</v>
      </c>
      <c r="G763" s="32" t="s">
        <v>53</v>
      </c>
      <c r="H763" s="41">
        <v>45788</v>
      </c>
      <c r="I763" s="70">
        <v>199</v>
      </c>
      <c r="J763" s="70">
        <v>895</v>
      </c>
      <c r="K763" s="71">
        <v>0.12</v>
      </c>
      <c r="L763" s="10" t="s">
        <v>36</v>
      </c>
      <c r="M763" s="72">
        <v>178105</v>
      </c>
      <c r="N763" s="72">
        <v>156732.4</v>
      </c>
      <c r="O763" s="12" t="s">
        <v>267</v>
      </c>
    </row>
    <row r="764" spans="1:15" x14ac:dyDescent="0.3">
      <c r="A764" s="20" t="s">
        <v>528</v>
      </c>
      <c r="B764" s="11" t="s">
        <v>25</v>
      </c>
      <c r="C764" s="30" t="s">
        <v>257</v>
      </c>
      <c r="D764" s="30" t="s">
        <v>26</v>
      </c>
      <c r="E764" s="30" t="s">
        <v>51</v>
      </c>
      <c r="F764" s="30" t="s">
        <v>41</v>
      </c>
      <c r="G764" s="30" t="s">
        <v>29</v>
      </c>
      <c r="H764" s="39">
        <v>45788</v>
      </c>
      <c r="I764" s="64">
        <v>154</v>
      </c>
      <c r="J764" s="64">
        <v>350</v>
      </c>
      <c r="K764" s="65">
        <v>0.11</v>
      </c>
      <c r="L764" s="11" t="s">
        <v>30</v>
      </c>
      <c r="M764" s="66">
        <v>53900</v>
      </c>
      <c r="N764" s="66">
        <v>47971</v>
      </c>
      <c r="O764" s="13" t="s">
        <v>265</v>
      </c>
    </row>
    <row r="765" spans="1:15" x14ac:dyDescent="0.3">
      <c r="A765" s="20" t="s">
        <v>529</v>
      </c>
      <c r="B765" s="10" t="s">
        <v>55</v>
      </c>
      <c r="C765" s="32" t="s">
        <v>249</v>
      </c>
      <c r="D765" s="32" t="s">
        <v>39</v>
      </c>
      <c r="E765" s="32" t="s">
        <v>27</v>
      </c>
      <c r="F765" s="32" t="s">
        <v>46</v>
      </c>
      <c r="G765" s="32" t="s">
        <v>47</v>
      </c>
      <c r="H765" s="41">
        <v>45788</v>
      </c>
      <c r="I765" s="70">
        <v>309</v>
      </c>
      <c r="J765" s="70">
        <v>650</v>
      </c>
      <c r="K765" s="71">
        <v>0.03</v>
      </c>
      <c r="L765" s="10" t="s">
        <v>36</v>
      </c>
      <c r="M765" s="72">
        <v>200850</v>
      </c>
      <c r="N765" s="72">
        <v>194824.5</v>
      </c>
      <c r="O765" s="12" t="s">
        <v>267</v>
      </c>
    </row>
    <row r="766" spans="1:15" x14ac:dyDescent="0.3">
      <c r="A766" s="20" t="s">
        <v>530</v>
      </c>
      <c r="B766" s="11" t="s">
        <v>32</v>
      </c>
      <c r="C766" s="30" t="s">
        <v>246</v>
      </c>
      <c r="D766" s="30" t="s">
        <v>26</v>
      </c>
      <c r="E766" s="30" t="s">
        <v>51</v>
      </c>
      <c r="F766" s="30" t="s">
        <v>34</v>
      </c>
      <c r="G766" s="30" t="s">
        <v>35</v>
      </c>
      <c r="H766" s="39">
        <v>45789</v>
      </c>
      <c r="I766" s="64">
        <v>185</v>
      </c>
      <c r="J766" s="64">
        <v>420</v>
      </c>
      <c r="K766" s="65">
        <v>0</v>
      </c>
      <c r="L766" s="11" t="s">
        <v>30</v>
      </c>
      <c r="M766" s="66">
        <v>77700</v>
      </c>
      <c r="N766" s="66">
        <v>77700</v>
      </c>
      <c r="O766" s="13" t="s">
        <v>265</v>
      </c>
    </row>
    <row r="767" spans="1:15" x14ac:dyDescent="0.3">
      <c r="A767" s="20" t="s">
        <v>531</v>
      </c>
      <c r="B767" s="10" t="s">
        <v>55</v>
      </c>
      <c r="C767" s="32" t="s">
        <v>249</v>
      </c>
      <c r="D767" s="32" t="s">
        <v>39</v>
      </c>
      <c r="E767" s="32" t="s">
        <v>40</v>
      </c>
      <c r="F767" s="32" t="s">
        <v>28</v>
      </c>
      <c r="G767" s="32" t="s">
        <v>35</v>
      </c>
      <c r="H767" s="41">
        <v>45790</v>
      </c>
      <c r="I767" s="70">
        <v>197</v>
      </c>
      <c r="J767" s="70">
        <v>650</v>
      </c>
      <c r="K767" s="71">
        <v>0.08</v>
      </c>
      <c r="L767" s="10" t="s">
        <v>30</v>
      </c>
      <c r="M767" s="72">
        <v>128050</v>
      </c>
      <c r="N767" s="72">
        <v>117806</v>
      </c>
      <c r="O767" s="12" t="s">
        <v>267</v>
      </c>
    </row>
    <row r="768" spans="1:15" x14ac:dyDescent="0.3">
      <c r="A768" s="20" t="s">
        <v>532</v>
      </c>
      <c r="B768" s="11" t="s">
        <v>49</v>
      </c>
      <c r="C768" s="30" t="s">
        <v>251</v>
      </c>
      <c r="D768" s="30" t="s">
        <v>50</v>
      </c>
      <c r="E768" s="30" t="s">
        <v>51</v>
      </c>
      <c r="F768" s="30" t="s">
        <v>34</v>
      </c>
      <c r="G768" s="30" t="s">
        <v>47</v>
      </c>
      <c r="H768" s="39">
        <v>45791</v>
      </c>
      <c r="I768" s="64">
        <v>30</v>
      </c>
      <c r="J768" s="64">
        <v>895</v>
      </c>
      <c r="K768" s="65">
        <v>0.1</v>
      </c>
      <c r="L768" s="11" t="s">
        <v>36</v>
      </c>
      <c r="M768" s="66">
        <v>26850</v>
      </c>
      <c r="N768" s="66">
        <v>24165</v>
      </c>
      <c r="O768" s="13" t="s">
        <v>265</v>
      </c>
    </row>
    <row r="769" spans="1:15" x14ac:dyDescent="0.3">
      <c r="A769" s="20" t="s">
        <v>533</v>
      </c>
      <c r="B769" s="10" t="s">
        <v>61</v>
      </c>
      <c r="C769" s="32" t="s">
        <v>244</v>
      </c>
      <c r="D769" s="32" t="s">
        <v>26</v>
      </c>
      <c r="E769" s="32" t="s">
        <v>27</v>
      </c>
      <c r="F769" s="32" t="s">
        <v>28</v>
      </c>
      <c r="G769" s="32" t="s">
        <v>42</v>
      </c>
      <c r="H769" s="41">
        <v>45792</v>
      </c>
      <c r="I769" s="70">
        <v>318</v>
      </c>
      <c r="J769" s="70">
        <v>280</v>
      </c>
      <c r="K769" s="71">
        <v>7.0000000000000007E-2</v>
      </c>
      <c r="L769" s="10" t="s">
        <v>30</v>
      </c>
      <c r="M769" s="72">
        <v>89040</v>
      </c>
      <c r="N769" s="72">
        <v>82807.199999999997</v>
      </c>
      <c r="O769" s="12" t="s">
        <v>265</v>
      </c>
    </row>
    <row r="770" spans="1:15" x14ac:dyDescent="0.3">
      <c r="A770" s="20" t="s">
        <v>534</v>
      </c>
      <c r="B770" s="11" t="s">
        <v>25</v>
      </c>
      <c r="C770" s="30" t="s">
        <v>257</v>
      </c>
      <c r="D770" s="30" t="s">
        <v>26</v>
      </c>
      <c r="E770" s="30" t="s">
        <v>40</v>
      </c>
      <c r="F770" s="30" t="s">
        <v>41</v>
      </c>
      <c r="G770" s="30" t="s">
        <v>35</v>
      </c>
      <c r="H770" s="39">
        <v>45792</v>
      </c>
      <c r="I770" s="64">
        <v>280</v>
      </c>
      <c r="J770" s="64">
        <v>350</v>
      </c>
      <c r="K770" s="65">
        <v>0.12</v>
      </c>
      <c r="L770" s="11" t="s">
        <v>36</v>
      </c>
      <c r="M770" s="66">
        <v>98000</v>
      </c>
      <c r="N770" s="66">
        <v>86240</v>
      </c>
      <c r="O770" s="13" t="s">
        <v>265</v>
      </c>
    </row>
    <row r="771" spans="1:15" x14ac:dyDescent="0.3">
      <c r="A771" s="20" t="s">
        <v>535</v>
      </c>
      <c r="B771" s="10" t="s">
        <v>61</v>
      </c>
      <c r="C771" s="32" t="s">
        <v>244</v>
      </c>
      <c r="D771" s="32" t="s">
        <v>26</v>
      </c>
      <c r="E771" s="32" t="s">
        <v>27</v>
      </c>
      <c r="F771" s="32" t="s">
        <v>46</v>
      </c>
      <c r="G771" s="32" t="s">
        <v>42</v>
      </c>
      <c r="H771" s="41">
        <v>45792</v>
      </c>
      <c r="I771" s="70">
        <v>213</v>
      </c>
      <c r="J771" s="70">
        <v>280</v>
      </c>
      <c r="K771" s="71">
        <v>0</v>
      </c>
      <c r="L771" s="10" t="s">
        <v>36</v>
      </c>
      <c r="M771" s="72">
        <v>59640</v>
      </c>
      <c r="N771" s="72">
        <v>59640</v>
      </c>
      <c r="O771" s="12" t="s">
        <v>265</v>
      </c>
    </row>
    <row r="772" spans="1:15" x14ac:dyDescent="0.3">
      <c r="A772" s="20" t="s">
        <v>536</v>
      </c>
      <c r="B772" s="11" t="s">
        <v>63</v>
      </c>
      <c r="C772" s="30" t="s">
        <v>253</v>
      </c>
      <c r="D772" s="30" t="s">
        <v>50</v>
      </c>
      <c r="E772" s="30" t="s">
        <v>40</v>
      </c>
      <c r="F772" s="30" t="s">
        <v>34</v>
      </c>
      <c r="G772" s="30" t="s">
        <v>29</v>
      </c>
      <c r="H772" s="39">
        <v>45793</v>
      </c>
      <c r="I772" s="64">
        <v>257</v>
      </c>
      <c r="J772" s="64">
        <v>750</v>
      </c>
      <c r="K772" s="65">
        <v>0.11</v>
      </c>
      <c r="L772" s="11" t="s">
        <v>36</v>
      </c>
      <c r="M772" s="66">
        <v>192750</v>
      </c>
      <c r="N772" s="66">
        <v>171547.5</v>
      </c>
      <c r="O772" s="13" t="s">
        <v>267</v>
      </c>
    </row>
    <row r="773" spans="1:15" x14ac:dyDescent="0.3">
      <c r="A773" s="20" t="s">
        <v>537</v>
      </c>
      <c r="B773" s="10" t="s">
        <v>16</v>
      </c>
      <c r="C773" s="32" t="s">
        <v>250</v>
      </c>
      <c r="D773" s="32" t="s">
        <v>39</v>
      </c>
      <c r="E773" s="32" t="s">
        <v>51</v>
      </c>
      <c r="F773" s="32" t="s">
        <v>46</v>
      </c>
      <c r="G773" s="32" t="s">
        <v>56</v>
      </c>
      <c r="H773" s="41">
        <v>45795</v>
      </c>
      <c r="I773" s="70">
        <v>56</v>
      </c>
      <c r="J773" s="70">
        <v>990</v>
      </c>
      <c r="K773" s="71">
        <v>0.08</v>
      </c>
      <c r="L773" s="10" t="s">
        <v>36</v>
      </c>
      <c r="M773" s="72">
        <v>55440</v>
      </c>
      <c r="N773" s="72">
        <v>51004.800000000003</v>
      </c>
      <c r="O773" s="12" t="s">
        <v>265</v>
      </c>
    </row>
    <row r="774" spans="1:15" x14ac:dyDescent="0.3">
      <c r="A774" s="20" t="s">
        <v>538</v>
      </c>
      <c r="B774" s="11" t="s">
        <v>38</v>
      </c>
      <c r="C774" s="30" t="s">
        <v>247</v>
      </c>
      <c r="D774" s="30" t="s">
        <v>39</v>
      </c>
      <c r="E774" s="30" t="s">
        <v>33</v>
      </c>
      <c r="F774" s="30" t="s">
        <v>41</v>
      </c>
      <c r="G774" s="30" t="s">
        <v>56</v>
      </c>
      <c r="H774" s="39">
        <v>45795</v>
      </c>
      <c r="I774" s="64">
        <v>305</v>
      </c>
      <c r="J774" s="64">
        <v>1200</v>
      </c>
      <c r="K774" s="65">
        <v>0.13</v>
      </c>
      <c r="L774" s="11" t="s">
        <v>30</v>
      </c>
      <c r="M774" s="66">
        <v>366000</v>
      </c>
      <c r="N774" s="66">
        <v>318420</v>
      </c>
      <c r="O774" s="13" t="s">
        <v>267</v>
      </c>
    </row>
    <row r="775" spans="1:15" x14ac:dyDescent="0.3">
      <c r="A775" s="20" t="s">
        <v>539</v>
      </c>
      <c r="B775" s="10" t="s">
        <v>58</v>
      </c>
      <c r="C775" s="32" t="s">
        <v>255</v>
      </c>
      <c r="D775" s="32" t="s">
        <v>59</v>
      </c>
      <c r="E775" s="32" t="s">
        <v>40</v>
      </c>
      <c r="F775" s="32" t="s">
        <v>41</v>
      </c>
      <c r="G775" s="32" t="s">
        <v>29</v>
      </c>
      <c r="H775" s="41">
        <v>45795</v>
      </c>
      <c r="I775" s="70">
        <v>82</v>
      </c>
      <c r="J775" s="70">
        <v>2800</v>
      </c>
      <c r="K775" s="71">
        <v>0.13</v>
      </c>
      <c r="L775" s="10" t="s">
        <v>30</v>
      </c>
      <c r="M775" s="72">
        <v>229600</v>
      </c>
      <c r="N775" s="72">
        <v>199752</v>
      </c>
      <c r="O775" s="12" t="s">
        <v>267</v>
      </c>
    </row>
    <row r="776" spans="1:15" x14ac:dyDescent="0.3">
      <c r="A776" s="20" t="s">
        <v>540</v>
      </c>
      <c r="B776" s="11" t="s">
        <v>61</v>
      </c>
      <c r="C776" s="30" t="s">
        <v>244</v>
      </c>
      <c r="D776" s="30" t="s">
        <v>26</v>
      </c>
      <c r="E776" s="30" t="s">
        <v>51</v>
      </c>
      <c r="F776" s="30" t="s">
        <v>52</v>
      </c>
      <c r="G776" s="30" t="s">
        <v>56</v>
      </c>
      <c r="H776" s="39">
        <v>45796</v>
      </c>
      <c r="I776" s="64">
        <v>281</v>
      </c>
      <c r="J776" s="64">
        <v>280</v>
      </c>
      <c r="K776" s="65">
        <v>0</v>
      </c>
      <c r="L776" s="11" t="s">
        <v>30</v>
      </c>
      <c r="M776" s="66">
        <v>78680</v>
      </c>
      <c r="N776" s="66">
        <v>78680</v>
      </c>
      <c r="O776" s="13" t="s">
        <v>265</v>
      </c>
    </row>
    <row r="777" spans="1:15" x14ac:dyDescent="0.3">
      <c r="A777" s="20" t="s">
        <v>541</v>
      </c>
      <c r="B777" s="10" t="s">
        <v>38</v>
      </c>
      <c r="C777" s="32" t="s">
        <v>247</v>
      </c>
      <c r="D777" s="32" t="s">
        <v>39</v>
      </c>
      <c r="E777" s="32" t="s">
        <v>27</v>
      </c>
      <c r="F777" s="32" t="s">
        <v>34</v>
      </c>
      <c r="G777" s="32" t="s">
        <v>53</v>
      </c>
      <c r="H777" s="41">
        <v>45797</v>
      </c>
      <c r="I777" s="70">
        <v>291</v>
      </c>
      <c r="J777" s="70">
        <v>1200</v>
      </c>
      <c r="K777" s="71">
        <v>0.14000000000000001</v>
      </c>
      <c r="L777" s="10" t="s">
        <v>30</v>
      </c>
      <c r="M777" s="72">
        <v>349200</v>
      </c>
      <c r="N777" s="72">
        <v>300312</v>
      </c>
      <c r="O777" s="12" t="s">
        <v>267</v>
      </c>
    </row>
    <row r="778" spans="1:15" x14ac:dyDescent="0.3">
      <c r="A778" s="20" t="s">
        <v>542</v>
      </c>
      <c r="B778" s="11" t="s">
        <v>49</v>
      </c>
      <c r="C778" s="30" t="s">
        <v>251</v>
      </c>
      <c r="D778" s="30" t="s">
        <v>50</v>
      </c>
      <c r="E778" s="30" t="s">
        <v>51</v>
      </c>
      <c r="F778" s="30" t="s">
        <v>52</v>
      </c>
      <c r="G778" s="30" t="s">
        <v>35</v>
      </c>
      <c r="H778" s="39">
        <v>45798</v>
      </c>
      <c r="I778" s="64">
        <v>372</v>
      </c>
      <c r="J778" s="64">
        <v>895</v>
      </c>
      <c r="K778" s="65">
        <v>0</v>
      </c>
      <c r="L778" s="11" t="s">
        <v>36</v>
      </c>
      <c r="M778" s="66">
        <v>332940</v>
      </c>
      <c r="N778" s="66">
        <v>332940</v>
      </c>
      <c r="O778" s="13" t="s">
        <v>267</v>
      </c>
    </row>
    <row r="779" spans="1:15" x14ac:dyDescent="0.3">
      <c r="A779" s="20" t="s">
        <v>543</v>
      </c>
      <c r="B779" s="10" t="s">
        <v>55</v>
      </c>
      <c r="C779" s="32" t="s">
        <v>249</v>
      </c>
      <c r="D779" s="32" t="s">
        <v>39</v>
      </c>
      <c r="E779" s="32" t="s">
        <v>51</v>
      </c>
      <c r="F779" s="32" t="s">
        <v>41</v>
      </c>
      <c r="G779" s="32" t="s">
        <v>42</v>
      </c>
      <c r="H779" s="41">
        <v>45798</v>
      </c>
      <c r="I779" s="70">
        <v>350</v>
      </c>
      <c r="J779" s="70">
        <v>650</v>
      </c>
      <c r="K779" s="71">
        <v>0.13</v>
      </c>
      <c r="L779" s="10" t="s">
        <v>36</v>
      </c>
      <c r="M779" s="72">
        <v>227500</v>
      </c>
      <c r="N779" s="72">
        <v>197925</v>
      </c>
      <c r="O779" s="12" t="s">
        <v>267</v>
      </c>
    </row>
    <row r="780" spans="1:15" x14ac:dyDescent="0.3">
      <c r="A780" s="20" t="s">
        <v>544</v>
      </c>
      <c r="B780" s="11" t="s">
        <v>25</v>
      </c>
      <c r="C780" s="30" t="s">
        <v>257</v>
      </c>
      <c r="D780" s="30" t="s">
        <v>26</v>
      </c>
      <c r="E780" s="30" t="s">
        <v>40</v>
      </c>
      <c r="F780" s="30" t="s">
        <v>34</v>
      </c>
      <c r="G780" s="30" t="s">
        <v>29</v>
      </c>
      <c r="H780" s="39">
        <v>45799</v>
      </c>
      <c r="I780" s="64">
        <v>431</v>
      </c>
      <c r="J780" s="64">
        <v>350</v>
      </c>
      <c r="K780" s="65">
        <v>0</v>
      </c>
      <c r="L780" s="11" t="s">
        <v>36</v>
      </c>
      <c r="M780" s="66">
        <v>150850</v>
      </c>
      <c r="N780" s="66">
        <v>150850</v>
      </c>
      <c r="O780" s="13" t="s">
        <v>267</v>
      </c>
    </row>
    <row r="781" spans="1:15" x14ac:dyDescent="0.3">
      <c r="A781" s="20" t="s">
        <v>545</v>
      </c>
      <c r="B781" s="10" t="s">
        <v>61</v>
      </c>
      <c r="C781" s="32" t="s">
        <v>244</v>
      </c>
      <c r="D781" s="32" t="s">
        <v>26</v>
      </c>
      <c r="E781" s="32" t="s">
        <v>40</v>
      </c>
      <c r="F781" s="32" t="s">
        <v>28</v>
      </c>
      <c r="G781" s="32" t="s">
        <v>53</v>
      </c>
      <c r="H781" s="41">
        <v>45800</v>
      </c>
      <c r="I781" s="70">
        <v>258</v>
      </c>
      <c r="J781" s="70">
        <v>280</v>
      </c>
      <c r="K781" s="71">
        <v>7.0000000000000007E-2</v>
      </c>
      <c r="L781" s="10" t="s">
        <v>30</v>
      </c>
      <c r="M781" s="72">
        <v>72240</v>
      </c>
      <c r="N781" s="72">
        <v>67183.199999999997</v>
      </c>
      <c r="O781" s="12" t="s">
        <v>265</v>
      </c>
    </row>
    <row r="782" spans="1:15" x14ac:dyDescent="0.3">
      <c r="A782" s="20" t="s">
        <v>546</v>
      </c>
      <c r="B782" s="11" t="s">
        <v>38</v>
      </c>
      <c r="C782" s="30" t="s">
        <v>247</v>
      </c>
      <c r="D782" s="30" t="s">
        <v>39</v>
      </c>
      <c r="E782" s="30" t="s">
        <v>45</v>
      </c>
      <c r="F782" s="30" t="s">
        <v>41</v>
      </c>
      <c r="G782" s="30" t="s">
        <v>56</v>
      </c>
      <c r="H782" s="39">
        <v>45800</v>
      </c>
      <c r="I782" s="64">
        <v>59</v>
      </c>
      <c r="J782" s="64">
        <v>1200</v>
      </c>
      <c r="K782" s="65">
        <v>0.15</v>
      </c>
      <c r="L782" s="11" t="s">
        <v>36</v>
      </c>
      <c r="M782" s="66">
        <v>70800</v>
      </c>
      <c r="N782" s="66">
        <v>60180</v>
      </c>
      <c r="O782" s="13" t="s">
        <v>265</v>
      </c>
    </row>
    <row r="783" spans="1:15" x14ac:dyDescent="0.3">
      <c r="A783" s="20" t="s">
        <v>547</v>
      </c>
      <c r="B783" s="10" t="s">
        <v>61</v>
      </c>
      <c r="C783" s="32" t="s">
        <v>244</v>
      </c>
      <c r="D783" s="32" t="s">
        <v>26</v>
      </c>
      <c r="E783" s="32" t="s">
        <v>51</v>
      </c>
      <c r="F783" s="32" t="s">
        <v>46</v>
      </c>
      <c r="G783" s="32" t="s">
        <v>47</v>
      </c>
      <c r="H783" s="41">
        <v>45800</v>
      </c>
      <c r="I783" s="70">
        <v>240</v>
      </c>
      <c r="J783" s="70">
        <v>280</v>
      </c>
      <c r="K783" s="71">
        <v>0.13</v>
      </c>
      <c r="L783" s="10" t="s">
        <v>36</v>
      </c>
      <c r="M783" s="72">
        <v>67200</v>
      </c>
      <c r="N783" s="72">
        <v>58464</v>
      </c>
      <c r="O783" s="12" t="s">
        <v>265</v>
      </c>
    </row>
    <row r="784" spans="1:15" x14ac:dyDescent="0.3">
      <c r="A784" s="20" t="s">
        <v>548</v>
      </c>
      <c r="B784" s="11" t="s">
        <v>32</v>
      </c>
      <c r="C784" s="30" t="s">
        <v>246</v>
      </c>
      <c r="D784" s="30" t="s">
        <v>26</v>
      </c>
      <c r="E784" s="30" t="s">
        <v>33</v>
      </c>
      <c r="F784" s="30" t="s">
        <v>52</v>
      </c>
      <c r="G784" s="30" t="s">
        <v>56</v>
      </c>
      <c r="H784" s="39">
        <v>45803</v>
      </c>
      <c r="I784" s="64">
        <v>119</v>
      </c>
      <c r="J784" s="64">
        <v>420</v>
      </c>
      <c r="K784" s="65">
        <v>0.14000000000000001</v>
      </c>
      <c r="L784" s="11" t="s">
        <v>36</v>
      </c>
      <c r="M784" s="66">
        <v>49980</v>
      </c>
      <c r="N784" s="66">
        <v>42982.8</v>
      </c>
      <c r="O784" s="13" t="s">
        <v>265</v>
      </c>
    </row>
    <row r="785" spans="1:15" x14ac:dyDescent="0.3">
      <c r="A785" s="20" t="s">
        <v>549</v>
      </c>
      <c r="B785" s="10" t="s">
        <v>63</v>
      </c>
      <c r="C785" s="32" t="s">
        <v>253</v>
      </c>
      <c r="D785" s="32" t="s">
        <v>50</v>
      </c>
      <c r="E785" s="32" t="s">
        <v>45</v>
      </c>
      <c r="F785" s="32" t="s">
        <v>28</v>
      </c>
      <c r="G785" s="32" t="s">
        <v>35</v>
      </c>
      <c r="H785" s="41">
        <v>45804</v>
      </c>
      <c r="I785" s="70">
        <v>278</v>
      </c>
      <c r="J785" s="70">
        <v>750</v>
      </c>
      <c r="K785" s="71">
        <v>0.14000000000000001</v>
      </c>
      <c r="L785" s="10" t="s">
        <v>36</v>
      </c>
      <c r="M785" s="72">
        <v>208500</v>
      </c>
      <c r="N785" s="72">
        <v>179310</v>
      </c>
      <c r="O785" s="12" t="s">
        <v>267</v>
      </c>
    </row>
    <row r="786" spans="1:15" x14ac:dyDescent="0.3">
      <c r="A786" s="20" t="s">
        <v>550</v>
      </c>
      <c r="B786" s="11" t="s">
        <v>63</v>
      </c>
      <c r="C786" s="30" t="s">
        <v>253</v>
      </c>
      <c r="D786" s="30" t="s">
        <v>50</v>
      </c>
      <c r="E786" s="30" t="s">
        <v>27</v>
      </c>
      <c r="F786" s="30" t="s">
        <v>46</v>
      </c>
      <c r="G786" s="30" t="s">
        <v>29</v>
      </c>
      <c r="H786" s="39">
        <v>45804</v>
      </c>
      <c r="I786" s="64">
        <v>242</v>
      </c>
      <c r="J786" s="64">
        <v>750</v>
      </c>
      <c r="K786" s="65">
        <v>0.05</v>
      </c>
      <c r="L786" s="11" t="s">
        <v>36</v>
      </c>
      <c r="M786" s="66">
        <v>181500</v>
      </c>
      <c r="N786" s="66">
        <v>172425</v>
      </c>
      <c r="O786" s="13" t="s">
        <v>267</v>
      </c>
    </row>
    <row r="787" spans="1:15" x14ac:dyDescent="0.3">
      <c r="A787" s="20" t="s">
        <v>551</v>
      </c>
      <c r="B787" s="10" t="s">
        <v>63</v>
      </c>
      <c r="C787" s="32" t="s">
        <v>253</v>
      </c>
      <c r="D787" s="32" t="s">
        <v>50</v>
      </c>
      <c r="E787" s="32" t="s">
        <v>45</v>
      </c>
      <c r="F787" s="32" t="s">
        <v>41</v>
      </c>
      <c r="G787" s="32" t="s">
        <v>42</v>
      </c>
      <c r="H787" s="41">
        <v>45806</v>
      </c>
      <c r="I787" s="70">
        <v>229</v>
      </c>
      <c r="J787" s="70">
        <v>750</v>
      </c>
      <c r="K787" s="71">
        <v>0.03</v>
      </c>
      <c r="L787" s="10" t="s">
        <v>30</v>
      </c>
      <c r="M787" s="72">
        <v>171750</v>
      </c>
      <c r="N787" s="72">
        <v>166597.5</v>
      </c>
      <c r="O787" s="12" t="s">
        <v>267</v>
      </c>
    </row>
    <row r="788" spans="1:15" x14ac:dyDescent="0.3">
      <c r="A788" s="20" t="s">
        <v>552</v>
      </c>
      <c r="B788" s="11" t="s">
        <v>49</v>
      </c>
      <c r="C788" s="30" t="s">
        <v>251</v>
      </c>
      <c r="D788" s="30" t="s">
        <v>50</v>
      </c>
      <c r="E788" s="30" t="s">
        <v>51</v>
      </c>
      <c r="F788" s="30" t="s">
        <v>28</v>
      </c>
      <c r="G788" s="30" t="s">
        <v>35</v>
      </c>
      <c r="H788" s="39">
        <v>45808</v>
      </c>
      <c r="I788" s="64">
        <v>235</v>
      </c>
      <c r="J788" s="64">
        <v>895</v>
      </c>
      <c r="K788" s="65">
        <v>0</v>
      </c>
      <c r="L788" s="11" t="s">
        <v>30</v>
      </c>
      <c r="M788" s="66">
        <v>210325</v>
      </c>
      <c r="N788" s="66">
        <v>210325</v>
      </c>
      <c r="O788" s="13" t="s">
        <v>267</v>
      </c>
    </row>
    <row r="789" spans="1:15" x14ac:dyDescent="0.3">
      <c r="A789" s="20" t="s">
        <v>553</v>
      </c>
      <c r="B789" s="10" t="s">
        <v>32</v>
      </c>
      <c r="C789" s="32" t="s">
        <v>246</v>
      </c>
      <c r="D789" s="32" t="s">
        <v>26</v>
      </c>
      <c r="E789" s="32" t="s">
        <v>27</v>
      </c>
      <c r="F789" s="32" t="s">
        <v>46</v>
      </c>
      <c r="G789" s="32" t="s">
        <v>42</v>
      </c>
      <c r="H789" s="41">
        <v>45808</v>
      </c>
      <c r="I789" s="70">
        <v>359</v>
      </c>
      <c r="J789" s="70">
        <v>420</v>
      </c>
      <c r="K789" s="71">
        <v>0.12</v>
      </c>
      <c r="L789" s="10" t="s">
        <v>36</v>
      </c>
      <c r="M789" s="72">
        <v>150780</v>
      </c>
      <c r="N789" s="72">
        <v>132686.39999999999</v>
      </c>
      <c r="O789" s="12" t="s">
        <v>267</v>
      </c>
    </row>
    <row r="790" spans="1:15" x14ac:dyDescent="0.3">
      <c r="A790" s="20" t="s">
        <v>554</v>
      </c>
      <c r="B790" s="11" t="s">
        <v>49</v>
      </c>
      <c r="C790" s="30" t="s">
        <v>251</v>
      </c>
      <c r="D790" s="30" t="s">
        <v>50</v>
      </c>
      <c r="E790" s="30" t="s">
        <v>40</v>
      </c>
      <c r="F790" s="30" t="s">
        <v>52</v>
      </c>
      <c r="G790" s="30" t="s">
        <v>47</v>
      </c>
      <c r="H790" s="39">
        <v>45808</v>
      </c>
      <c r="I790" s="64">
        <v>298</v>
      </c>
      <c r="J790" s="64">
        <v>895</v>
      </c>
      <c r="K790" s="65">
        <v>0.15</v>
      </c>
      <c r="L790" s="11" t="s">
        <v>30</v>
      </c>
      <c r="M790" s="66">
        <v>266710</v>
      </c>
      <c r="N790" s="66">
        <v>226703.5</v>
      </c>
      <c r="O790" s="13" t="s">
        <v>267</v>
      </c>
    </row>
    <row r="791" spans="1:15" x14ac:dyDescent="0.3">
      <c r="A791" s="20" t="s">
        <v>555</v>
      </c>
      <c r="B791" s="10" t="s">
        <v>16</v>
      </c>
      <c r="C791" s="32" t="s">
        <v>250</v>
      </c>
      <c r="D791" s="32" t="s">
        <v>39</v>
      </c>
      <c r="E791" s="32" t="s">
        <v>27</v>
      </c>
      <c r="F791" s="32" t="s">
        <v>52</v>
      </c>
      <c r="G791" s="32" t="s">
        <v>47</v>
      </c>
      <c r="H791" s="41">
        <v>45809</v>
      </c>
      <c r="I791" s="70">
        <v>192</v>
      </c>
      <c r="J791" s="70">
        <v>990</v>
      </c>
      <c r="K791" s="71">
        <v>0</v>
      </c>
      <c r="L791" s="10" t="s">
        <v>30</v>
      </c>
      <c r="M791" s="72">
        <v>190080</v>
      </c>
      <c r="N791" s="72">
        <v>190080</v>
      </c>
      <c r="O791" s="12" t="s">
        <v>267</v>
      </c>
    </row>
    <row r="792" spans="1:15" x14ac:dyDescent="0.3">
      <c r="A792" s="20" t="s">
        <v>556</v>
      </c>
      <c r="B792" s="11" t="s">
        <v>58</v>
      </c>
      <c r="C792" s="30" t="s">
        <v>255</v>
      </c>
      <c r="D792" s="30" t="s">
        <v>59</v>
      </c>
      <c r="E792" s="30" t="s">
        <v>27</v>
      </c>
      <c r="F792" s="30" t="s">
        <v>34</v>
      </c>
      <c r="G792" s="30" t="s">
        <v>42</v>
      </c>
      <c r="H792" s="39">
        <v>45809</v>
      </c>
      <c r="I792" s="64">
        <v>112</v>
      </c>
      <c r="J792" s="64">
        <v>2800</v>
      </c>
      <c r="K792" s="65">
        <v>0.1</v>
      </c>
      <c r="L792" s="11" t="s">
        <v>30</v>
      </c>
      <c r="M792" s="66">
        <v>313600</v>
      </c>
      <c r="N792" s="66">
        <v>282240</v>
      </c>
      <c r="O792" s="13" t="s">
        <v>267</v>
      </c>
    </row>
    <row r="793" spans="1:15" x14ac:dyDescent="0.3">
      <c r="A793" s="20" t="s">
        <v>557</v>
      </c>
      <c r="B793" s="10" t="s">
        <v>58</v>
      </c>
      <c r="C793" s="32" t="s">
        <v>255</v>
      </c>
      <c r="D793" s="32" t="s">
        <v>59</v>
      </c>
      <c r="E793" s="32" t="s">
        <v>27</v>
      </c>
      <c r="F793" s="32" t="s">
        <v>41</v>
      </c>
      <c r="G793" s="32" t="s">
        <v>56</v>
      </c>
      <c r="H793" s="41">
        <v>45809</v>
      </c>
      <c r="I793" s="70">
        <v>378</v>
      </c>
      <c r="J793" s="70">
        <v>2800</v>
      </c>
      <c r="K793" s="71">
        <v>0.03</v>
      </c>
      <c r="L793" s="10" t="s">
        <v>36</v>
      </c>
      <c r="M793" s="72">
        <v>1058400</v>
      </c>
      <c r="N793" s="72">
        <v>1026648</v>
      </c>
      <c r="O793" s="12" t="s">
        <v>277</v>
      </c>
    </row>
    <row r="794" spans="1:15" x14ac:dyDescent="0.3">
      <c r="A794" s="20" t="s">
        <v>558</v>
      </c>
      <c r="B794" s="11" t="s">
        <v>49</v>
      </c>
      <c r="C794" s="30" t="s">
        <v>251</v>
      </c>
      <c r="D794" s="30" t="s">
        <v>50</v>
      </c>
      <c r="E794" s="30" t="s">
        <v>27</v>
      </c>
      <c r="F794" s="30" t="s">
        <v>28</v>
      </c>
      <c r="G794" s="30" t="s">
        <v>29</v>
      </c>
      <c r="H794" s="39">
        <v>45811</v>
      </c>
      <c r="I794" s="64">
        <v>41</v>
      </c>
      <c r="J794" s="64">
        <v>895</v>
      </c>
      <c r="K794" s="65">
        <v>0.14000000000000001</v>
      </c>
      <c r="L794" s="11" t="s">
        <v>30</v>
      </c>
      <c r="M794" s="66">
        <v>36695</v>
      </c>
      <c r="N794" s="66">
        <v>31557.7</v>
      </c>
      <c r="O794" s="13" t="s">
        <v>265</v>
      </c>
    </row>
    <row r="795" spans="1:15" x14ac:dyDescent="0.3">
      <c r="A795" s="20" t="s">
        <v>559</v>
      </c>
      <c r="B795" s="10" t="s">
        <v>58</v>
      </c>
      <c r="C795" s="32" t="s">
        <v>255</v>
      </c>
      <c r="D795" s="32" t="s">
        <v>59</v>
      </c>
      <c r="E795" s="32" t="s">
        <v>33</v>
      </c>
      <c r="F795" s="32" t="s">
        <v>52</v>
      </c>
      <c r="G795" s="32" t="s">
        <v>47</v>
      </c>
      <c r="H795" s="41">
        <v>45812</v>
      </c>
      <c r="I795" s="70">
        <v>138</v>
      </c>
      <c r="J795" s="70">
        <v>2800</v>
      </c>
      <c r="K795" s="71">
        <v>0.13</v>
      </c>
      <c r="L795" s="10" t="s">
        <v>30</v>
      </c>
      <c r="M795" s="72">
        <v>386400</v>
      </c>
      <c r="N795" s="72">
        <v>336168</v>
      </c>
      <c r="O795" s="12" t="s">
        <v>267</v>
      </c>
    </row>
    <row r="796" spans="1:15" x14ac:dyDescent="0.3">
      <c r="A796" s="20" t="s">
        <v>560</v>
      </c>
      <c r="B796" s="11" t="s">
        <v>55</v>
      </c>
      <c r="C796" s="30" t="s">
        <v>249</v>
      </c>
      <c r="D796" s="30" t="s">
        <v>39</v>
      </c>
      <c r="E796" s="30" t="s">
        <v>51</v>
      </c>
      <c r="F796" s="30" t="s">
        <v>46</v>
      </c>
      <c r="G796" s="30" t="s">
        <v>53</v>
      </c>
      <c r="H796" s="39">
        <v>45812</v>
      </c>
      <c r="I796" s="64">
        <v>172</v>
      </c>
      <c r="J796" s="64">
        <v>650</v>
      </c>
      <c r="K796" s="65">
        <v>0.08</v>
      </c>
      <c r="L796" s="11" t="s">
        <v>30</v>
      </c>
      <c r="M796" s="66">
        <v>111800</v>
      </c>
      <c r="N796" s="66">
        <v>102856</v>
      </c>
      <c r="O796" s="13" t="s">
        <v>267</v>
      </c>
    </row>
    <row r="797" spans="1:15" x14ac:dyDescent="0.3">
      <c r="A797" s="20" t="s">
        <v>561</v>
      </c>
      <c r="B797" s="10" t="s">
        <v>44</v>
      </c>
      <c r="C797" s="32" t="s">
        <v>254</v>
      </c>
      <c r="D797" s="32" t="s">
        <v>39</v>
      </c>
      <c r="E797" s="32" t="s">
        <v>27</v>
      </c>
      <c r="F797" s="32" t="s">
        <v>46</v>
      </c>
      <c r="G797" s="32" t="s">
        <v>42</v>
      </c>
      <c r="H797" s="41">
        <v>45813</v>
      </c>
      <c r="I797" s="70">
        <v>153</v>
      </c>
      <c r="J797" s="70">
        <v>200</v>
      </c>
      <c r="K797" s="71">
        <v>0</v>
      </c>
      <c r="L797" s="10" t="s">
        <v>30</v>
      </c>
      <c r="M797" s="72">
        <v>30600</v>
      </c>
      <c r="N797" s="72">
        <v>30600</v>
      </c>
      <c r="O797" s="12" t="s">
        <v>265</v>
      </c>
    </row>
    <row r="798" spans="1:15" x14ac:dyDescent="0.3">
      <c r="A798" s="20" t="s">
        <v>562</v>
      </c>
      <c r="B798" s="11" t="s">
        <v>58</v>
      </c>
      <c r="C798" s="30" t="s">
        <v>255</v>
      </c>
      <c r="D798" s="30" t="s">
        <v>59</v>
      </c>
      <c r="E798" s="30" t="s">
        <v>40</v>
      </c>
      <c r="F798" s="30" t="s">
        <v>52</v>
      </c>
      <c r="G798" s="30" t="s">
        <v>42</v>
      </c>
      <c r="H798" s="39">
        <v>45813</v>
      </c>
      <c r="I798" s="64">
        <v>120</v>
      </c>
      <c r="J798" s="64">
        <v>2800</v>
      </c>
      <c r="K798" s="65">
        <v>0.12</v>
      </c>
      <c r="L798" s="11" t="s">
        <v>36</v>
      </c>
      <c r="M798" s="66">
        <v>336000</v>
      </c>
      <c r="N798" s="66">
        <v>295680</v>
      </c>
      <c r="O798" s="13" t="s">
        <v>267</v>
      </c>
    </row>
    <row r="799" spans="1:15" x14ac:dyDescent="0.3">
      <c r="A799" s="20" t="s">
        <v>563</v>
      </c>
      <c r="B799" s="10" t="s">
        <v>44</v>
      </c>
      <c r="C799" s="32" t="s">
        <v>254</v>
      </c>
      <c r="D799" s="32" t="s">
        <v>39</v>
      </c>
      <c r="E799" s="32" t="s">
        <v>51</v>
      </c>
      <c r="F799" s="32" t="s">
        <v>28</v>
      </c>
      <c r="G799" s="32" t="s">
        <v>35</v>
      </c>
      <c r="H799" s="41">
        <v>45813</v>
      </c>
      <c r="I799" s="70">
        <v>245</v>
      </c>
      <c r="J799" s="70">
        <v>200</v>
      </c>
      <c r="K799" s="71">
        <v>0</v>
      </c>
      <c r="L799" s="10" t="s">
        <v>36</v>
      </c>
      <c r="M799" s="72">
        <v>49000</v>
      </c>
      <c r="N799" s="72">
        <v>49000</v>
      </c>
      <c r="O799" s="12" t="s">
        <v>265</v>
      </c>
    </row>
    <row r="800" spans="1:15" x14ac:dyDescent="0.3">
      <c r="A800" s="20" t="s">
        <v>564</v>
      </c>
      <c r="B800" s="11" t="s">
        <v>32</v>
      </c>
      <c r="C800" s="30" t="s">
        <v>246</v>
      </c>
      <c r="D800" s="30" t="s">
        <v>26</v>
      </c>
      <c r="E800" s="30" t="s">
        <v>40</v>
      </c>
      <c r="F800" s="30" t="s">
        <v>28</v>
      </c>
      <c r="G800" s="30" t="s">
        <v>42</v>
      </c>
      <c r="H800" s="39">
        <v>45814</v>
      </c>
      <c r="I800" s="64">
        <v>264</v>
      </c>
      <c r="J800" s="64">
        <v>420</v>
      </c>
      <c r="K800" s="65">
        <v>0.08</v>
      </c>
      <c r="L800" s="11" t="s">
        <v>30</v>
      </c>
      <c r="M800" s="66">
        <v>110880</v>
      </c>
      <c r="N800" s="66">
        <v>102009.60000000001</v>
      </c>
      <c r="O800" s="13" t="s">
        <v>267</v>
      </c>
    </row>
    <row r="801" spans="1:15" x14ac:dyDescent="0.3">
      <c r="A801" s="20" t="s">
        <v>565</v>
      </c>
      <c r="B801" s="10" t="s">
        <v>16</v>
      </c>
      <c r="C801" s="32" t="s">
        <v>250</v>
      </c>
      <c r="D801" s="32" t="s">
        <v>39</v>
      </c>
      <c r="E801" s="32" t="s">
        <v>51</v>
      </c>
      <c r="F801" s="32" t="s">
        <v>52</v>
      </c>
      <c r="G801" s="32" t="s">
        <v>53</v>
      </c>
      <c r="H801" s="41">
        <v>45815</v>
      </c>
      <c r="I801" s="70">
        <v>372</v>
      </c>
      <c r="J801" s="70">
        <v>990</v>
      </c>
      <c r="K801" s="71">
        <v>0.12</v>
      </c>
      <c r="L801" s="10" t="s">
        <v>30</v>
      </c>
      <c r="M801" s="72">
        <v>368280</v>
      </c>
      <c r="N801" s="72">
        <v>324086.40000000002</v>
      </c>
      <c r="O801" s="12" t="s">
        <v>267</v>
      </c>
    </row>
    <row r="802" spans="1:15" x14ac:dyDescent="0.3">
      <c r="A802" s="20" t="s">
        <v>566</v>
      </c>
      <c r="B802" s="11" t="s">
        <v>58</v>
      </c>
      <c r="C802" s="30" t="s">
        <v>255</v>
      </c>
      <c r="D802" s="30" t="s">
        <v>59</v>
      </c>
      <c r="E802" s="30" t="s">
        <v>45</v>
      </c>
      <c r="F802" s="30" t="s">
        <v>34</v>
      </c>
      <c r="G802" s="30" t="s">
        <v>56</v>
      </c>
      <c r="H802" s="39">
        <v>45815</v>
      </c>
      <c r="I802" s="64">
        <v>190</v>
      </c>
      <c r="J802" s="64">
        <v>2800</v>
      </c>
      <c r="K802" s="65">
        <v>0</v>
      </c>
      <c r="L802" s="11" t="s">
        <v>30</v>
      </c>
      <c r="M802" s="66">
        <v>532000</v>
      </c>
      <c r="N802" s="66">
        <v>532000</v>
      </c>
      <c r="O802" s="13" t="s">
        <v>277</v>
      </c>
    </row>
    <row r="803" spans="1:15" x14ac:dyDescent="0.3">
      <c r="A803" s="20" t="s">
        <v>567</v>
      </c>
      <c r="B803" s="10" t="s">
        <v>32</v>
      </c>
      <c r="C803" s="32" t="s">
        <v>246</v>
      </c>
      <c r="D803" s="32" t="s">
        <v>26</v>
      </c>
      <c r="E803" s="32" t="s">
        <v>51</v>
      </c>
      <c r="F803" s="32" t="s">
        <v>52</v>
      </c>
      <c r="G803" s="32" t="s">
        <v>35</v>
      </c>
      <c r="H803" s="41">
        <v>45815</v>
      </c>
      <c r="I803" s="70">
        <v>295</v>
      </c>
      <c r="J803" s="70">
        <v>420</v>
      </c>
      <c r="K803" s="71">
        <v>0.12</v>
      </c>
      <c r="L803" s="10" t="s">
        <v>36</v>
      </c>
      <c r="M803" s="72">
        <v>123900</v>
      </c>
      <c r="N803" s="72">
        <v>109032</v>
      </c>
      <c r="O803" s="12" t="s">
        <v>267</v>
      </c>
    </row>
    <row r="804" spans="1:15" x14ac:dyDescent="0.3">
      <c r="A804" s="20" t="s">
        <v>568</v>
      </c>
      <c r="B804" s="11" t="s">
        <v>44</v>
      </c>
      <c r="C804" s="30" t="s">
        <v>254</v>
      </c>
      <c r="D804" s="30" t="s">
        <v>39</v>
      </c>
      <c r="E804" s="30" t="s">
        <v>40</v>
      </c>
      <c r="F804" s="30" t="s">
        <v>46</v>
      </c>
      <c r="G804" s="30" t="s">
        <v>29</v>
      </c>
      <c r="H804" s="39">
        <v>45816</v>
      </c>
      <c r="I804" s="64">
        <v>234</v>
      </c>
      <c r="J804" s="64">
        <v>200</v>
      </c>
      <c r="K804" s="65">
        <v>0.14000000000000001</v>
      </c>
      <c r="L804" s="11" t="s">
        <v>36</v>
      </c>
      <c r="M804" s="66">
        <v>46800</v>
      </c>
      <c r="N804" s="66">
        <v>40248</v>
      </c>
      <c r="O804" s="13" t="s">
        <v>265</v>
      </c>
    </row>
    <row r="805" spans="1:15" x14ac:dyDescent="0.3">
      <c r="A805" s="20" t="s">
        <v>569</v>
      </c>
      <c r="B805" s="10" t="s">
        <v>55</v>
      </c>
      <c r="C805" s="32" t="s">
        <v>249</v>
      </c>
      <c r="D805" s="32" t="s">
        <v>39</v>
      </c>
      <c r="E805" s="32" t="s">
        <v>51</v>
      </c>
      <c r="F805" s="32" t="s">
        <v>52</v>
      </c>
      <c r="G805" s="32" t="s">
        <v>56</v>
      </c>
      <c r="H805" s="41">
        <v>45816</v>
      </c>
      <c r="I805" s="70">
        <v>159</v>
      </c>
      <c r="J805" s="70">
        <v>650</v>
      </c>
      <c r="K805" s="71">
        <v>0.15</v>
      </c>
      <c r="L805" s="10" t="s">
        <v>36</v>
      </c>
      <c r="M805" s="72">
        <v>103350</v>
      </c>
      <c r="N805" s="72">
        <v>87847.5</v>
      </c>
      <c r="O805" s="12" t="s">
        <v>265</v>
      </c>
    </row>
    <row r="806" spans="1:15" x14ac:dyDescent="0.3">
      <c r="A806" s="20" t="s">
        <v>570</v>
      </c>
      <c r="B806" s="11" t="s">
        <v>58</v>
      </c>
      <c r="C806" s="30" t="s">
        <v>255</v>
      </c>
      <c r="D806" s="30" t="s">
        <v>59</v>
      </c>
      <c r="E806" s="30" t="s">
        <v>45</v>
      </c>
      <c r="F806" s="30" t="s">
        <v>46</v>
      </c>
      <c r="G806" s="30" t="s">
        <v>53</v>
      </c>
      <c r="H806" s="39">
        <v>45817</v>
      </c>
      <c r="I806" s="64">
        <v>176</v>
      </c>
      <c r="J806" s="64">
        <v>2800</v>
      </c>
      <c r="K806" s="65">
        <v>0</v>
      </c>
      <c r="L806" s="11" t="s">
        <v>36</v>
      </c>
      <c r="M806" s="66">
        <v>492800</v>
      </c>
      <c r="N806" s="66">
        <v>492800</v>
      </c>
      <c r="O806" s="13" t="s">
        <v>277</v>
      </c>
    </row>
    <row r="807" spans="1:15" x14ac:dyDescent="0.3">
      <c r="A807" s="20" t="s">
        <v>571</v>
      </c>
      <c r="B807" s="10" t="s">
        <v>61</v>
      </c>
      <c r="C807" s="32" t="s">
        <v>244</v>
      </c>
      <c r="D807" s="32" t="s">
        <v>26</v>
      </c>
      <c r="E807" s="32" t="s">
        <v>51</v>
      </c>
      <c r="F807" s="32" t="s">
        <v>34</v>
      </c>
      <c r="G807" s="32" t="s">
        <v>35</v>
      </c>
      <c r="H807" s="41">
        <v>45818</v>
      </c>
      <c r="I807" s="70">
        <v>441</v>
      </c>
      <c r="J807" s="70">
        <v>280</v>
      </c>
      <c r="K807" s="71">
        <v>0</v>
      </c>
      <c r="L807" s="10" t="s">
        <v>36</v>
      </c>
      <c r="M807" s="72">
        <v>123480</v>
      </c>
      <c r="N807" s="72">
        <v>123480</v>
      </c>
      <c r="O807" s="12" t="s">
        <v>267</v>
      </c>
    </row>
    <row r="808" spans="1:15" x14ac:dyDescent="0.3">
      <c r="A808" s="20" t="s">
        <v>572</v>
      </c>
      <c r="B808" s="11" t="s">
        <v>44</v>
      </c>
      <c r="C808" s="30" t="s">
        <v>254</v>
      </c>
      <c r="D808" s="30" t="s">
        <v>39</v>
      </c>
      <c r="E808" s="30" t="s">
        <v>33</v>
      </c>
      <c r="F808" s="30" t="s">
        <v>41</v>
      </c>
      <c r="G808" s="30" t="s">
        <v>35</v>
      </c>
      <c r="H808" s="39">
        <v>45818</v>
      </c>
      <c r="I808" s="64">
        <v>87</v>
      </c>
      <c r="J808" s="64">
        <v>200</v>
      </c>
      <c r="K808" s="65">
        <v>0</v>
      </c>
      <c r="L808" s="11" t="s">
        <v>36</v>
      </c>
      <c r="M808" s="66">
        <v>17400</v>
      </c>
      <c r="N808" s="66">
        <v>17400</v>
      </c>
      <c r="O808" s="13" t="s">
        <v>265</v>
      </c>
    </row>
    <row r="809" spans="1:15" x14ac:dyDescent="0.3">
      <c r="A809" s="20" t="s">
        <v>573</v>
      </c>
      <c r="B809" s="10" t="s">
        <v>55</v>
      </c>
      <c r="C809" s="32" t="s">
        <v>249</v>
      </c>
      <c r="D809" s="32" t="s">
        <v>39</v>
      </c>
      <c r="E809" s="32" t="s">
        <v>40</v>
      </c>
      <c r="F809" s="32" t="s">
        <v>41</v>
      </c>
      <c r="G809" s="32" t="s">
        <v>29</v>
      </c>
      <c r="H809" s="41">
        <v>45819</v>
      </c>
      <c r="I809" s="70">
        <v>151</v>
      </c>
      <c r="J809" s="70">
        <v>650</v>
      </c>
      <c r="K809" s="71">
        <v>0.08</v>
      </c>
      <c r="L809" s="10" t="s">
        <v>36</v>
      </c>
      <c r="M809" s="72">
        <v>98150</v>
      </c>
      <c r="N809" s="72">
        <v>90298</v>
      </c>
      <c r="O809" s="12" t="s">
        <v>265</v>
      </c>
    </row>
    <row r="810" spans="1:15" x14ac:dyDescent="0.3">
      <c r="A810" s="20" t="s">
        <v>574</v>
      </c>
      <c r="B810" s="11" t="s">
        <v>16</v>
      </c>
      <c r="C810" s="30" t="s">
        <v>250</v>
      </c>
      <c r="D810" s="30" t="s">
        <v>39</v>
      </c>
      <c r="E810" s="30" t="s">
        <v>40</v>
      </c>
      <c r="F810" s="30" t="s">
        <v>41</v>
      </c>
      <c r="G810" s="30" t="s">
        <v>29</v>
      </c>
      <c r="H810" s="39">
        <v>45819</v>
      </c>
      <c r="I810" s="64">
        <v>305</v>
      </c>
      <c r="J810" s="64">
        <v>990</v>
      </c>
      <c r="K810" s="65">
        <v>7.0000000000000007E-2</v>
      </c>
      <c r="L810" s="11" t="s">
        <v>36</v>
      </c>
      <c r="M810" s="66">
        <v>301950</v>
      </c>
      <c r="N810" s="66">
        <v>280813.5</v>
      </c>
      <c r="O810" s="13" t="s">
        <v>267</v>
      </c>
    </row>
    <row r="811" spans="1:15" x14ac:dyDescent="0.3">
      <c r="A811" s="20" t="s">
        <v>575</v>
      </c>
      <c r="B811" s="10" t="s">
        <v>25</v>
      </c>
      <c r="C811" s="32" t="s">
        <v>257</v>
      </c>
      <c r="D811" s="32" t="s">
        <v>26</v>
      </c>
      <c r="E811" s="32" t="s">
        <v>51</v>
      </c>
      <c r="F811" s="32" t="s">
        <v>28</v>
      </c>
      <c r="G811" s="32" t="s">
        <v>56</v>
      </c>
      <c r="H811" s="41">
        <v>45819</v>
      </c>
      <c r="I811" s="70">
        <v>389</v>
      </c>
      <c r="J811" s="70">
        <v>350</v>
      </c>
      <c r="K811" s="71">
        <v>0.14000000000000001</v>
      </c>
      <c r="L811" s="10" t="s">
        <v>36</v>
      </c>
      <c r="M811" s="72">
        <v>136150</v>
      </c>
      <c r="N811" s="72">
        <v>117089</v>
      </c>
      <c r="O811" s="12" t="s">
        <v>267</v>
      </c>
    </row>
    <row r="812" spans="1:15" x14ac:dyDescent="0.3">
      <c r="A812" s="20" t="s">
        <v>576</v>
      </c>
      <c r="B812" s="11" t="s">
        <v>61</v>
      </c>
      <c r="C812" s="30" t="s">
        <v>244</v>
      </c>
      <c r="D812" s="30" t="s">
        <v>26</v>
      </c>
      <c r="E812" s="30" t="s">
        <v>40</v>
      </c>
      <c r="F812" s="30" t="s">
        <v>52</v>
      </c>
      <c r="G812" s="30" t="s">
        <v>35</v>
      </c>
      <c r="H812" s="39">
        <v>45820</v>
      </c>
      <c r="I812" s="64">
        <v>117</v>
      </c>
      <c r="J812" s="64">
        <v>280</v>
      </c>
      <c r="K812" s="65">
        <v>7.0000000000000007E-2</v>
      </c>
      <c r="L812" s="11" t="s">
        <v>30</v>
      </c>
      <c r="M812" s="66">
        <v>32760</v>
      </c>
      <c r="N812" s="66">
        <v>30466.799999999999</v>
      </c>
      <c r="O812" s="13" t="s">
        <v>265</v>
      </c>
    </row>
    <row r="813" spans="1:15" x14ac:dyDescent="0.3">
      <c r="A813" s="20" t="s">
        <v>577</v>
      </c>
      <c r="B813" s="10" t="s">
        <v>16</v>
      </c>
      <c r="C813" s="32" t="s">
        <v>250</v>
      </c>
      <c r="D813" s="32" t="s">
        <v>39</v>
      </c>
      <c r="E813" s="32" t="s">
        <v>33</v>
      </c>
      <c r="F813" s="32" t="s">
        <v>28</v>
      </c>
      <c r="G813" s="32" t="s">
        <v>35</v>
      </c>
      <c r="H813" s="41">
        <v>45820</v>
      </c>
      <c r="I813" s="70">
        <v>349</v>
      </c>
      <c r="J813" s="70">
        <v>990</v>
      </c>
      <c r="K813" s="71">
        <v>0.05</v>
      </c>
      <c r="L813" s="10" t="s">
        <v>36</v>
      </c>
      <c r="M813" s="72">
        <v>345510</v>
      </c>
      <c r="N813" s="72">
        <v>328234.5</v>
      </c>
      <c r="O813" s="12" t="s">
        <v>267</v>
      </c>
    </row>
    <row r="814" spans="1:15" x14ac:dyDescent="0.3">
      <c r="A814" s="20" t="s">
        <v>578</v>
      </c>
      <c r="B814" s="11" t="s">
        <v>44</v>
      </c>
      <c r="C814" s="30" t="s">
        <v>254</v>
      </c>
      <c r="D814" s="30" t="s">
        <v>39</v>
      </c>
      <c r="E814" s="30" t="s">
        <v>45</v>
      </c>
      <c r="F814" s="30" t="s">
        <v>34</v>
      </c>
      <c r="G814" s="30" t="s">
        <v>29</v>
      </c>
      <c r="H814" s="39">
        <v>45820</v>
      </c>
      <c r="I814" s="64">
        <v>282</v>
      </c>
      <c r="J814" s="64">
        <v>200</v>
      </c>
      <c r="K814" s="65">
        <v>0.11</v>
      </c>
      <c r="L814" s="11" t="s">
        <v>30</v>
      </c>
      <c r="M814" s="66">
        <v>56400</v>
      </c>
      <c r="N814" s="66">
        <v>50196</v>
      </c>
      <c r="O814" s="13" t="s">
        <v>265</v>
      </c>
    </row>
    <row r="815" spans="1:15" x14ac:dyDescent="0.3">
      <c r="A815" s="20" t="s">
        <v>579</v>
      </c>
      <c r="B815" s="10" t="s">
        <v>55</v>
      </c>
      <c r="C815" s="32" t="s">
        <v>249</v>
      </c>
      <c r="D815" s="32" t="s">
        <v>39</v>
      </c>
      <c r="E815" s="32" t="s">
        <v>33</v>
      </c>
      <c r="F815" s="32" t="s">
        <v>41</v>
      </c>
      <c r="G815" s="32" t="s">
        <v>29</v>
      </c>
      <c r="H815" s="41">
        <v>45822</v>
      </c>
      <c r="I815" s="70">
        <v>106</v>
      </c>
      <c r="J815" s="70">
        <v>650</v>
      </c>
      <c r="K815" s="71">
        <v>0.03</v>
      </c>
      <c r="L815" s="10" t="s">
        <v>30</v>
      </c>
      <c r="M815" s="72">
        <v>68900</v>
      </c>
      <c r="N815" s="72">
        <v>66833</v>
      </c>
      <c r="O815" s="12" t="s">
        <v>265</v>
      </c>
    </row>
    <row r="816" spans="1:15" x14ac:dyDescent="0.3">
      <c r="A816" s="20" t="s">
        <v>580</v>
      </c>
      <c r="B816" s="11" t="s">
        <v>16</v>
      </c>
      <c r="C816" s="30" t="s">
        <v>250</v>
      </c>
      <c r="D816" s="30" t="s">
        <v>39</v>
      </c>
      <c r="E816" s="30" t="s">
        <v>27</v>
      </c>
      <c r="F816" s="30" t="s">
        <v>46</v>
      </c>
      <c r="G816" s="30" t="s">
        <v>53</v>
      </c>
      <c r="H816" s="39">
        <v>45822</v>
      </c>
      <c r="I816" s="64">
        <v>173</v>
      </c>
      <c r="J816" s="64">
        <v>990</v>
      </c>
      <c r="K816" s="65">
        <v>0.13</v>
      </c>
      <c r="L816" s="11" t="s">
        <v>36</v>
      </c>
      <c r="M816" s="66">
        <v>171270</v>
      </c>
      <c r="N816" s="66">
        <v>149004.9</v>
      </c>
      <c r="O816" s="13" t="s">
        <v>267</v>
      </c>
    </row>
    <row r="817" spans="1:15" x14ac:dyDescent="0.3">
      <c r="A817" s="20" t="s">
        <v>581</v>
      </c>
      <c r="B817" s="10" t="s">
        <v>16</v>
      </c>
      <c r="C817" s="32" t="s">
        <v>250</v>
      </c>
      <c r="D817" s="32" t="s">
        <v>39</v>
      </c>
      <c r="E817" s="32" t="s">
        <v>51</v>
      </c>
      <c r="F817" s="32" t="s">
        <v>34</v>
      </c>
      <c r="G817" s="32" t="s">
        <v>35</v>
      </c>
      <c r="H817" s="41">
        <v>45822</v>
      </c>
      <c r="I817" s="70">
        <v>314</v>
      </c>
      <c r="J817" s="70">
        <v>990</v>
      </c>
      <c r="K817" s="71">
        <v>0</v>
      </c>
      <c r="L817" s="10" t="s">
        <v>36</v>
      </c>
      <c r="M817" s="72">
        <v>310860</v>
      </c>
      <c r="N817" s="72">
        <v>310860</v>
      </c>
      <c r="O817" s="12" t="s">
        <v>267</v>
      </c>
    </row>
    <row r="818" spans="1:15" x14ac:dyDescent="0.3">
      <c r="A818" s="20" t="s">
        <v>582</v>
      </c>
      <c r="B818" s="11" t="s">
        <v>32</v>
      </c>
      <c r="C818" s="30" t="s">
        <v>246</v>
      </c>
      <c r="D818" s="30" t="s">
        <v>26</v>
      </c>
      <c r="E818" s="30" t="s">
        <v>27</v>
      </c>
      <c r="F818" s="30" t="s">
        <v>46</v>
      </c>
      <c r="G818" s="30" t="s">
        <v>56</v>
      </c>
      <c r="H818" s="39">
        <v>45823</v>
      </c>
      <c r="I818" s="64">
        <v>184</v>
      </c>
      <c r="J818" s="64">
        <v>420</v>
      </c>
      <c r="K818" s="65">
        <v>0.1</v>
      </c>
      <c r="L818" s="11" t="s">
        <v>36</v>
      </c>
      <c r="M818" s="66">
        <v>77280</v>
      </c>
      <c r="N818" s="66">
        <v>69552</v>
      </c>
      <c r="O818" s="13" t="s">
        <v>265</v>
      </c>
    </row>
    <row r="819" spans="1:15" x14ac:dyDescent="0.3">
      <c r="A819" s="20" t="s">
        <v>583</v>
      </c>
      <c r="B819" s="10" t="s">
        <v>63</v>
      </c>
      <c r="C819" s="32" t="s">
        <v>253</v>
      </c>
      <c r="D819" s="32" t="s">
        <v>50</v>
      </c>
      <c r="E819" s="32" t="s">
        <v>51</v>
      </c>
      <c r="F819" s="32" t="s">
        <v>28</v>
      </c>
      <c r="G819" s="32" t="s">
        <v>47</v>
      </c>
      <c r="H819" s="41">
        <v>45823</v>
      </c>
      <c r="I819" s="70">
        <v>56</v>
      </c>
      <c r="J819" s="70">
        <v>750</v>
      </c>
      <c r="K819" s="71">
        <v>0.15</v>
      </c>
      <c r="L819" s="10" t="s">
        <v>36</v>
      </c>
      <c r="M819" s="72">
        <v>42000</v>
      </c>
      <c r="N819" s="72">
        <v>35700</v>
      </c>
      <c r="O819" s="12" t="s">
        <v>265</v>
      </c>
    </row>
    <row r="820" spans="1:15" x14ac:dyDescent="0.3">
      <c r="A820" s="20" t="s">
        <v>584</v>
      </c>
      <c r="B820" s="11" t="s">
        <v>63</v>
      </c>
      <c r="C820" s="30" t="s">
        <v>253</v>
      </c>
      <c r="D820" s="30" t="s">
        <v>50</v>
      </c>
      <c r="E820" s="30" t="s">
        <v>51</v>
      </c>
      <c r="F820" s="30" t="s">
        <v>34</v>
      </c>
      <c r="G820" s="30" t="s">
        <v>53</v>
      </c>
      <c r="H820" s="39">
        <v>45823</v>
      </c>
      <c r="I820" s="64">
        <v>52</v>
      </c>
      <c r="J820" s="64">
        <v>750</v>
      </c>
      <c r="K820" s="65">
        <v>0.13</v>
      </c>
      <c r="L820" s="11" t="s">
        <v>30</v>
      </c>
      <c r="M820" s="66">
        <v>39000</v>
      </c>
      <c r="N820" s="66">
        <v>33930</v>
      </c>
      <c r="O820" s="13" t="s">
        <v>265</v>
      </c>
    </row>
    <row r="821" spans="1:15" x14ac:dyDescent="0.3">
      <c r="A821" s="20" t="s">
        <v>585</v>
      </c>
      <c r="B821" s="10" t="s">
        <v>49</v>
      </c>
      <c r="C821" s="32" t="s">
        <v>251</v>
      </c>
      <c r="D821" s="32" t="s">
        <v>50</v>
      </c>
      <c r="E821" s="32" t="s">
        <v>33</v>
      </c>
      <c r="F821" s="32" t="s">
        <v>41</v>
      </c>
      <c r="G821" s="32" t="s">
        <v>56</v>
      </c>
      <c r="H821" s="41">
        <v>45824</v>
      </c>
      <c r="I821" s="70">
        <v>275</v>
      </c>
      <c r="J821" s="70">
        <v>895</v>
      </c>
      <c r="K821" s="71">
        <v>0</v>
      </c>
      <c r="L821" s="10" t="s">
        <v>30</v>
      </c>
      <c r="M821" s="72">
        <v>246125</v>
      </c>
      <c r="N821" s="72">
        <v>246125</v>
      </c>
      <c r="O821" s="12" t="s">
        <v>267</v>
      </c>
    </row>
    <row r="822" spans="1:15" x14ac:dyDescent="0.3">
      <c r="A822" s="20" t="s">
        <v>586</v>
      </c>
      <c r="B822" s="11" t="s">
        <v>44</v>
      </c>
      <c r="C822" s="30" t="s">
        <v>254</v>
      </c>
      <c r="D822" s="30" t="s">
        <v>39</v>
      </c>
      <c r="E822" s="30" t="s">
        <v>40</v>
      </c>
      <c r="F822" s="30" t="s">
        <v>28</v>
      </c>
      <c r="G822" s="30" t="s">
        <v>53</v>
      </c>
      <c r="H822" s="39">
        <v>45825</v>
      </c>
      <c r="I822" s="64">
        <v>193</v>
      </c>
      <c r="J822" s="64">
        <v>200</v>
      </c>
      <c r="K822" s="65">
        <v>7.0000000000000007E-2</v>
      </c>
      <c r="L822" s="11" t="s">
        <v>30</v>
      </c>
      <c r="M822" s="66">
        <v>38600</v>
      </c>
      <c r="N822" s="66">
        <v>35898</v>
      </c>
      <c r="O822" s="13" t="s">
        <v>265</v>
      </c>
    </row>
    <row r="823" spans="1:15" x14ac:dyDescent="0.3">
      <c r="A823" s="20" t="s">
        <v>587</v>
      </c>
      <c r="B823" s="10" t="s">
        <v>49</v>
      </c>
      <c r="C823" s="32" t="s">
        <v>251</v>
      </c>
      <c r="D823" s="32" t="s">
        <v>50</v>
      </c>
      <c r="E823" s="32" t="s">
        <v>51</v>
      </c>
      <c r="F823" s="32" t="s">
        <v>34</v>
      </c>
      <c r="G823" s="32" t="s">
        <v>47</v>
      </c>
      <c r="H823" s="41">
        <v>45825</v>
      </c>
      <c r="I823" s="70">
        <v>145</v>
      </c>
      <c r="J823" s="70">
        <v>895</v>
      </c>
      <c r="K823" s="71">
        <v>0</v>
      </c>
      <c r="L823" s="10" t="s">
        <v>36</v>
      </c>
      <c r="M823" s="72">
        <v>129775</v>
      </c>
      <c r="N823" s="72">
        <v>129775</v>
      </c>
      <c r="O823" s="12" t="s">
        <v>267</v>
      </c>
    </row>
    <row r="824" spans="1:15" x14ac:dyDescent="0.3">
      <c r="A824" s="20" t="s">
        <v>588</v>
      </c>
      <c r="B824" s="11" t="s">
        <v>61</v>
      </c>
      <c r="C824" s="30" t="s">
        <v>244</v>
      </c>
      <c r="D824" s="30" t="s">
        <v>26</v>
      </c>
      <c r="E824" s="30" t="s">
        <v>40</v>
      </c>
      <c r="F824" s="30" t="s">
        <v>46</v>
      </c>
      <c r="G824" s="30" t="s">
        <v>42</v>
      </c>
      <c r="H824" s="39">
        <v>45825</v>
      </c>
      <c r="I824" s="64">
        <v>339</v>
      </c>
      <c r="J824" s="64">
        <v>280</v>
      </c>
      <c r="K824" s="65">
        <v>0.13</v>
      </c>
      <c r="L824" s="11" t="s">
        <v>36</v>
      </c>
      <c r="M824" s="66">
        <v>94920</v>
      </c>
      <c r="N824" s="66">
        <v>82580.399999999994</v>
      </c>
      <c r="O824" s="13" t="s">
        <v>265</v>
      </c>
    </row>
    <row r="825" spans="1:15" x14ac:dyDescent="0.3">
      <c r="A825" s="20" t="s">
        <v>589</v>
      </c>
      <c r="B825" s="10" t="s">
        <v>55</v>
      </c>
      <c r="C825" s="32" t="s">
        <v>249</v>
      </c>
      <c r="D825" s="32" t="s">
        <v>39</v>
      </c>
      <c r="E825" s="32" t="s">
        <v>45</v>
      </c>
      <c r="F825" s="32" t="s">
        <v>34</v>
      </c>
      <c r="G825" s="32" t="s">
        <v>47</v>
      </c>
      <c r="H825" s="41">
        <v>45826</v>
      </c>
      <c r="I825" s="70">
        <v>154</v>
      </c>
      <c r="J825" s="70">
        <v>650</v>
      </c>
      <c r="K825" s="71">
        <v>0.15</v>
      </c>
      <c r="L825" s="10" t="s">
        <v>36</v>
      </c>
      <c r="M825" s="72">
        <v>100100</v>
      </c>
      <c r="N825" s="72">
        <v>85085</v>
      </c>
      <c r="O825" s="12" t="s">
        <v>265</v>
      </c>
    </row>
    <row r="826" spans="1:15" x14ac:dyDescent="0.3">
      <c r="A826" s="20" t="s">
        <v>590</v>
      </c>
      <c r="B826" s="11" t="s">
        <v>38</v>
      </c>
      <c r="C826" s="30" t="s">
        <v>247</v>
      </c>
      <c r="D826" s="30" t="s">
        <v>39</v>
      </c>
      <c r="E826" s="30" t="s">
        <v>40</v>
      </c>
      <c r="F826" s="30" t="s">
        <v>28</v>
      </c>
      <c r="G826" s="30" t="s">
        <v>56</v>
      </c>
      <c r="H826" s="39">
        <v>45826</v>
      </c>
      <c r="I826" s="64">
        <v>31</v>
      </c>
      <c r="J826" s="64">
        <v>1200</v>
      </c>
      <c r="K826" s="65">
        <v>0.11</v>
      </c>
      <c r="L826" s="11" t="s">
        <v>36</v>
      </c>
      <c r="M826" s="66">
        <v>37200</v>
      </c>
      <c r="N826" s="66">
        <v>33108</v>
      </c>
      <c r="O826" s="13" t="s">
        <v>265</v>
      </c>
    </row>
    <row r="827" spans="1:15" x14ac:dyDescent="0.3">
      <c r="A827" s="20" t="s">
        <v>591</v>
      </c>
      <c r="B827" s="10" t="s">
        <v>25</v>
      </c>
      <c r="C827" s="32" t="s">
        <v>257</v>
      </c>
      <c r="D827" s="32" t="s">
        <v>26</v>
      </c>
      <c r="E827" s="32" t="s">
        <v>45</v>
      </c>
      <c r="F827" s="32" t="s">
        <v>34</v>
      </c>
      <c r="G827" s="32" t="s">
        <v>53</v>
      </c>
      <c r="H827" s="41">
        <v>45828</v>
      </c>
      <c r="I827" s="70">
        <v>324</v>
      </c>
      <c r="J827" s="70">
        <v>350</v>
      </c>
      <c r="K827" s="71">
        <v>7.0000000000000007E-2</v>
      </c>
      <c r="L827" s="10" t="s">
        <v>36</v>
      </c>
      <c r="M827" s="72">
        <v>113400</v>
      </c>
      <c r="N827" s="72">
        <v>105462</v>
      </c>
      <c r="O827" s="12" t="s">
        <v>267</v>
      </c>
    </row>
    <row r="828" spans="1:15" x14ac:dyDescent="0.3">
      <c r="A828" s="20" t="s">
        <v>592</v>
      </c>
      <c r="B828" s="11" t="s">
        <v>55</v>
      </c>
      <c r="C828" s="30" t="s">
        <v>249</v>
      </c>
      <c r="D828" s="30" t="s">
        <v>39</v>
      </c>
      <c r="E828" s="30" t="s">
        <v>45</v>
      </c>
      <c r="F828" s="30" t="s">
        <v>52</v>
      </c>
      <c r="G828" s="30" t="s">
        <v>29</v>
      </c>
      <c r="H828" s="39">
        <v>45828</v>
      </c>
      <c r="I828" s="64">
        <v>163</v>
      </c>
      <c r="J828" s="64">
        <v>650</v>
      </c>
      <c r="K828" s="65">
        <v>0</v>
      </c>
      <c r="L828" s="11" t="s">
        <v>36</v>
      </c>
      <c r="M828" s="66">
        <v>105950</v>
      </c>
      <c r="N828" s="66">
        <v>105950</v>
      </c>
      <c r="O828" s="13" t="s">
        <v>267</v>
      </c>
    </row>
    <row r="829" spans="1:15" x14ac:dyDescent="0.3">
      <c r="A829" s="20" t="s">
        <v>593</v>
      </c>
      <c r="B829" s="10" t="s">
        <v>49</v>
      </c>
      <c r="C829" s="32" t="s">
        <v>251</v>
      </c>
      <c r="D829" s="32" t="s">
        <v>50</v>
      </c>
      <c r="E829" s="32" t="s">
        <v>33</v>
      </c>
      <c r="F829" s="32" t="s">
        <v>28</v>
      </c>
      <c r="G829" s="32" t="s">
        <v>47</v>
      </c>
      <c r="H829" s="41">
        <v>45828</v>
      </c>
      <c r="I829" s="70">
        <v>362</v>
      </c>
      <c r="J829" s="70">
        <v>895</v>
      </c>
      <c r="K829" s="71">
        <v>0.12</v>
      </c>
      <c r="L829" s="10" t="s">
        <v>36</v>
      </c>
      <c r="M829" s="72">
        <v>323990</v>
      </c>
      <c r="N829" s="72">
        <v>285111.2</v>
      </c>
      <c r="O829" s="12" t="s">
        <v>267</v>
      </c>
    </row>
    <row r="830" spans="1:15" x14ac:dyDescent="0.3">
      <c r="A830" s="20" t="s">
        <v>594</v>
      </c>
      <c r="B830" s="11" t="s">
        <v>38</v>
      </c>
      <c r="C830" s="30" t="s">
        <v>247</v>
      </c>
      <c r="D830" s="30" t="s">
        <v>39</v>
      </c>
      <c r="E830" s="30" t="s">
        <v>40</v>
      </c>
      <c r="F830" s="30" t="s">
        <v>34</v>
      </c>
      <c r="G830" s="30" t="s">
        <v>47</v>
      </c>
      <c r="H830" s="39">
        <v>45829</v>
      </c>
      <c r="I830" s="64">
        <v>200</v>
      </c>
      <c r="J830" s="64">
        <v>1200</v>
      </c>
      <c r="K830" s="65">
        <v>0.05</v>
      </c>
      <c r="L830" s="11" t="s">
        <v>36</v>
      </c>
      <c r="M830" s="66">
        <v>240000</v>
      </c>
      <c r="N830" s="66">
        <v>228000</v>
      </c>
      <c r="O830" s="13" t="s">
        <v>267</v>
      </c>
    </row>
    <row r="831" spans="1:15" x14ac:dyDescent="0.3">
      <c r="A831" s="20" t="s">
        <v>595</v>
      </c>
      <c r="B831" s="10" t="s">
        <v>32</v>
      </c>
      <c r="C831" s="32" t="s">
        <v>246</v>
      </c>
      <c r="D831" s="32" t="s">
        <v>26</v>
      </c>
      <c r="E831" s="32" t="s">
        <v>40</v>
      </c>
      <c r="F831" s="32" t="s">
        <v>46</v>
      </c>
      <c r="G831" s="32" t="s">
        <v>35</v>
      </c>
      <c r="H831" s="41">
        <v>45829</v>
      </c>
      <c r="I831" s="70">
        <v>396</v>
      </c>
      <c r="J831" s="70">
        <v>420</v>
      </c>
      <c r="K831" s="71">
        <v>0.05</v>
      </c>
      <c r="L831" s="10" t="s">
        <v>36</v>
      </c>
      <c r="M831" s="72">
        <v>166320</v>
      </c>
      <c r="N831" s="72">
        <v>158004</v>
      </c>
      <c r="O831" s="12" t="s">
        <v>267</v>
      </c>
    </row>
    <row r="832" spans="1:15" x14ac:dyDescent="0.3">
      <c r="A832" s="20" t="s">
        <v>596</v>
      </c>
      <c r="B832" s="11" t="s">
        <v>61</v>
      </c>
      <c r="C832" s="30" t="s">
        <v>244</v>
      </c>
      <c r="D832" s="30" t="s">
        <v>26</v>
      </c>
      <c r="E832" s="30" t="s">
        <v>27</v>
      </c>
      <c r="F832" s="30" t="s">
        <v>34</v>
      </c>
      <c r="G832" s="30" t="s">
        <v>47</v>
      </c>
      <c r="H832" s="39">
        <v>45829</v>
      </c>
      <c r="I832" s="64">
        <v>458</v>
      </c>
      <c r="J832" s="64">
        <v>280</v>
      </c>
      <c r="K832" s="65">
        <v>0.08</v>
      </c>
      <c r="L832" s="11" t="s">
        <v>30</v>
      </c>
      <c r="M832" s="66">
        <v>128240</v>
      </c>
      <c r="N832" s="66">
        <v>117980.8</v>
      </c>
      <c r="O832" s="13" t="s">
        <v>267</v>
      </c>
    </row>
    <row r="833" spans="1:15" x14ac:dyDescent="0.3">
      <c r="A833" s="20" t="s">
        <v>597</v>
      </c>
      <c r="B833" s="10" t="s">
        <v>61</v>
      </c>
      <c r="C833" s="32" t="s">
        <v>244</v>
      </c>
      <c r="D833" s="32" t="s">
        <v>26</v>
      </c>
      <c r="E833" s="32" t="s">
        <v>40</v>
      </c>
      <c r="F833" s="32" t="s">
        <v>52</v>
      </c>
      <c r="G833" s="32" t="s">
        <v>29</v>
      </c>
      <c r="H833" s="41">
        <v>45830</v>
      </c>
      <c r="I833" s="70">
        <v>320</v>
      </c>
      <c r="J833" s="70">
        <v>280</v>
      </c>
      <c r="K833" s="71">
        <v>0.03</v>
      </c>
      <c r="L833" s="10" t="s">
        <v>36</v>
      </c>
      <c r="M833" s="72">
        <v>89600</v>
      </c>
      <c r="N833" s="72">
        <v>86912</v>
      </c>
      <c r="O833" s="12" t="s">
        <v>265</v>
      </c>
    </row>
    <row r="834" spans="1:15" x14ac:dyDescent="0.3">
      <c r="A834" s="20" t="s">
        <v>598</v>
      </c>
      <c r="B834" s="11" t="s">
        <v>61</v>
      </c>
      <c r="C834" s="30" t="s">
        <v>244</v>
      </c>
      <c r="D834" s="30" t="s">
        <v>26</v>
      </c>
      <c r="E834" s="30" t="s">
        <v>33</v>
      </c>
      <c r="F834" s="30" t="s">
        <v>41</v>
      </c>
      <c r="G834" s="30" t="s">
        <v>42</v>
      </c>
      <c r="H834" s="39">
        <v>45832</v>
      </c>
      <c r="I834" s="64">
        <v>211</v>
      </c>
      <c r="J834" s="64">
        <v>280</v>
      </c>
      <c r="K834" s="65">
        <v>0.14000000000000001</v>
      </c>
      <c r="L834" s="11" t="s">
        <v>36</v>
      </c>
      <c r="M834" s="66">
        <v>59080</v>
      </c>
      <c r="N834" s="66">
        <v>50808.800000000003</v>
      </c>
      <c r="O834" s="13" t="s">
        <v>265</v>
      </c>
    </row>
    <row r="835" spans="1:15" x14ac:dyDescent="0.3">
      <c r="A835" s="20" t="s">
        <v>599</v>
      </c>
      <c r="B835" s="10" t="s">
        <v>63</v>
      </c>
      <c r="C835" s="32" t="s">
        <v>253</v>
      </c>
      <c r="D835" s="32" t="s">
        <v>50</v>
      </c>
      <c r="E835" s="32" t="s">
        <v>45</v>
      </c>
      <c r="F835" s="32" t="s">
        <v>41</v>
      </c>
      <c r="G835" s="32" t="s">
        <v>47</v>
      </c>
      <c r="H835" s="41">
        <v>45834</v>
      </c>
      <c r="I835" s="70">
        <v>269</v>
      </c>
      <c r="J835" s="70">
        <v>750</v>
      </c>
      <c r="K835" s="71">
        <v>0.12</v>
      </c>
      <c r="L835" s="10" t="s">
        <v>36</v>
      </c>
      <c r="M835" s="72">
        <v>201750</v>
      </c>
      <c r="N835" s="72">
        <v>177540</v>
      </c>
      <c r="O835" s="12" t="s">
        <v>267</v>
      </c>
    </row>
    <row r="836" spans="1:15" x14ac:dyDescent="0.3">
      <c r="A836" s="20" t="s">
        <v>600</v>
      </c>
      <c r="B836" s="11" t="s">
        <v>25</v>
      </c>
      <c r="C836" s="30" t="s">
        <v>257</v>
      </c>
      <c r="D836" s="30" t="s">
        <v>26</v>
      </c>
      <c r="E836" s="30" t="s">
        <v>51</v>
      </c>
      <c r="F836" s="30" t="s">
        <v>28</v>
      </c>
      <c r="G836" s="30" t="s">
        <v>47</v>
      </c>
      <c r="H836" s="39">
        <v>45834</v>
      </c>
      <c r="I836" s="64">
        <v>277</v>
      </c>
      <c r="J836" s="64">
        <v>350</v>
      </c>
      <c r="K836" s="65">
        <v>0.05</v>
      </c>
      <c r="L836" s="11" t="s">
        <v>30</v>
      </c>
      <c r="M836" s="66">
        <v>96950</v>
      </c>
      <c r="N836" s="66">
        <v>92102.5</v>
      </c>
      <c r="O836" s="13" t="s">
        <v>265</v>
      </c>
    </row>
    <row r="837" spans="1:15" x14ac:dyDescent="0.3">
      <c r="A837" s="20" t="s">
        <v>601</v>
      </c>
      <c r="B837" s="10" t="s">
        <v>16</v>
      </c>
      <c r="C837" s="32" t="s">
        <v>250</v>
      </c>
      <c r="D837" s="32" t="s">
        <v>39</v>
      </c>
      <c r="E837" s="32" t="s">
        <v>45</v>
      </c>
      <c r="F837" s="32" t="s">
        <v>41</v>
      </c>
      <c r="G837" s="32" t="s">
        <v>53</v>
      </c>
      <c r="H837" s="41">
        <v>45834</v>
      </c>
      <c r="I837" s="70">
        <v>312</v>
      </c>
      <c r="J837" s="70">
        <v>990</v>
      </c>
      <c r="K837" s="71">
        <v>0.14000000000000001</v>
      </c>
      <c r="L837" s="10" t="s">
        <v>36</v>
      </c>
      <c r="M837" s="72">
        <v>308880</v>
      </c>
      <c r="N837" s="72">
        <v>265636.8</v>
      </c>
      <c r="O837" s="12" t="s">
        <v>267</v>
      </c>
    </row>
    <row r="838" spans="1:15" x14ac:dyDescent="0.3">
      <c r="A838" s="20" t="s">
        <v>602</v>
      </c>
      <c r="B838" s="11" t="s">
        <v>63</v>
      </c>
      <c r="C838" s="30" t="s">
        <v>253</v>
      </c>
      <c r="D838" s="30" t="s">
        <v>50</v>
      </c>
      <c r="E838" s="30" t="s">
        <v>51</v>
      </c>
      <c r="F838" s="30" t="s">
        <v>46</v>
      </c>
      <c r="G838" s="30" t="s">
        <v>29</v>
      </c>
      <c r="H838" s="39">
        <v>45835</v>
      </c>
      <c r="I838" s="64">
        <v>168</v>
      </c>
      <c r="J838" s="64">
        <v>750</v>
      </c>
      <c r="K838" s="65">
        <v>0</v>
      </c>
      <c r="L838" s="11" t="s">
        <v>36</v>
      </c>
      <c r="M838" s="66">
        <v>126000</v>
      </c>
      <c r="N838" s="66">
        <v>126000</v>
      </c>
      <c r="O838" s="13" t="s">
        <v>267</v>
      </c>
    </row>
    <row r="839" spans="1:15" x14ac:dyDescent="0.3">
      <c r="A839" s="20" t="s">
        <v>603</v>
      </c>
      <c r="B839" s="10" t="s">
        <v>38</v>
      </c>
      <c r="C839" s="32" t="s">
        <v>247</v>
      </c>
      <c r="D839" s="32" t="s">
        <v>39</v>
      </c>
      <c r="E839" s="32" t="s">
        <v>33</v>
      </c>
      <c r="F839" s="32" t="s">
        <v>34</v>
      </c>
      <c r="G839" s="32" t="s">
        <v>29</v>
      </c>
      <c r="H839" s="41">
        <v>45836</v>
      </c>
      <c r="I839" s="70">
        <v>41</v>
      </c>
      <c r="J839" s="70">
        <v>1200</v>
      </c>
      <c r="K839" s="71">
        <v>0.13</v>
      </c>
      <c r="L839" s="10" t="s">
        <v>36</v>
      </c>
      <c r="M839" s="72">
        <v>49200</v>
      </c>
      <c r="N839" s="72">
        <v>42804</v>
      </c>
      <c r="O839" s="12" t="s">
        <v>265</v>
      </c>
    </row>
    <row r="840" spans="1:15" x14ac:dyDescent="0.3">
      <c r="A840" s="20" t="s">
        <v>604</v>
      </c>
      <c r="B840" s="11" t="s">
        <v>58</v>
      </c>
      <c r="C840" s="30" t="s">
        <v>255</v>
      </c>
      <c r="D840" s="30" t="s">
        <v>59</v>
      </c>
      <c r="E840" s="30" t="s">
        <v>40</v>
      </c>
      <c r="F840" s="30" t="s">
        <v>28</v>
      </c>
      <c r="G840" s="30" t="s">
        <v>47</v>
      </c>
      <c r="H840" s="39">
        <v>45836</v>
      </c>
      <c r="I840" s="64">
        <v>192</v>
      </c>
      <c r="J840" s="64">
        <v>2800</v>
      </c>
      <c r="K840" s="65">
        <v>7.0000000000000007E-2</v>
      </c>
      <c r="L840" s="11" t="s">
        <v>36</v>
      </c>
      <c r="M840" s="66">
        <v>537600</v>
      </c>
      <c r="N840" s="66">
        <v>499968</v>
      </c>
      <c r="O840" s="13" t="s">
        <v>277</v>
      </c>
    </row>
    <row r="841" spans="1:15" x14ac:dyDescent="0.3">
      <c r="A841" s="20" t="s">
        <v>605</v>
      </c>
      <c r="B841" s="10" t="s">
        <v>49</v>
      </c>
      <c r="C841" s="32" t="s">
        <v>251</v>
      </c>
      <c r="D841" s="32" t="s">
        <v>50</v>
      </c>
      <c r="E841" s="32" t="s">
        <v>45</v>
      </c>
      <c r="F841" s="32" t="s">
        <v>28</v>
      </c>
      <c r="G841" s="32" t="s">
        <v>47</v>
      </c>
      <c r="H841" s="41">
        <v>45836</v>
      </c>
      <c r="I841" s="70">
        <v>93</v>
      </c>
      <c r="J841" s="70">
        <v>895</v>
      </c>
      <c r="K841" s="71">
        <v>0</v>
      </c>
      <c r="L841" s="10" t="s">
        <v>36</v>
      </c>
      <c r="M841" s="72">
        <v>83235</v>
      </c>
      <c r="N841" s="72">
        <v>83235</v>
      </c>
      <c r="O841" s="12" t="s">
        <v>265</v>
      </c>
    </row>
    <row r="842" spans="1:15" x14ac:dyDescent="0.3">
      <c r="A842" s="20" t="s">
        <v>606</v>
      </c>
      <c r="B842" s="11" t="s">
        <v>44</v>
      </c>
      <c r="C842" s="30" t="s">
        <v>254</v>
      </c>
      <c r="D842" s="30" t="s">
        <v>39</v>
      </c>
      <c r="E842" s="30" t="s">
        <v>33</v>
      </c>
      <c r="F842" s="30" t="s">
        <v>28</v>
      </c>
      <c r="G842" s="30" t="s">
        <v>56</v>
      </c>
      <c r="H842" s="39">
        <v>45837</v>
      </c>
      <c r="I842" s="64">
        <v>297</v>
      </c>
      <c r="J842" s="64">
        <v>200</v>
      </c>
      <c r="K842" s="65">
        <v>7.0000000000000007E-2</v>
      </c>
      <c r="L842" s="11" t="s">
        <v>30</v>
      </c>
      <c r="M842" s="66">
        <v>59400</v>
      </c>
      <c r="N842" s="66">
        <v>55242</v>
      </c>
      <c r="O842" s="13" t="s">
        <v>265</v>
      </c>
    </row>
    <row r="843" spans="1:15" x14ac:dyDescent="0.3">
      <c r="A843" s="20" t="s">
        <v>607</v>
      </c>
      <c r="B843" s="10" t="s">
        <v>32</v>
      </c>
      <c r="C843" s="32" t="s">
        <v>246</v>
      </c>
      <c r="D843" s="32" t="s">
        <v>26</v>
      </c>
      <c r="E843" s="32" t="s">
        <v>27</v>
      </c>
      <c r="F843" s="32" t="s">
        <v>52</v>
      </c>
      <c r="G843" s="32" t="s">
        <v>35</v>
      </c>
      <c r="H843" s="41">
        <v>45837</v>
      </c>
      <c r="I843" s="70">
        <v>140</v>
      </c>
      <c r="J843" s="70">
        <v>420</v>
      </c>
      <c r="K843" s="71">
        <v>0.11</v>
      </c>
      <c r="L843" s="10" t="s">
        <v>36</v>
      </c>
      <c r="M843" s="72">
        <v>58800</v>
      </c>
      <c r="N843" s="72">
        <v>52332</v>
      </c>
      <c r="O843" s="12" t="s">
        <v>265</v>
      </c>
    </row>
    <row r="844" spans="1:15" x14ac:dyDescent="0.3">
      <c r="A844" s="20" t="s">
        <v>608</v>
      </c>
      <c r="B844" s="11" t="s">
        <v>38</v>
      </c>
      <c r="C844" s="30" t="s">
        <v>247</v>
      </c>
      <c r="D844" s="30" t="s">
        <v>39</v>
      </c>
      <c r="E844" s="30" t="s">
        <v>51</v>
      </c>
      <c r="F844" s="30" t="s">
        <v>41</v>
      </c>
      <c r="G844" s="30" t="s">
        <v>29</v>
      </c>
      <c r="H844" s="39">
        <v>45837</v>
      </c>
      <c r="I844" s="64">
        <v>314</v>
      </c>
      <c r="J844" s="64">
        <v>1200</v>
      </c>
      <c r="K844" s="65">
        <v>0</v>
      </c>
      <c r="L844" s="11" t="s">
        <v>30</v>
      </c>
      <c r="M844" s="66">
        <v>376800</v>
      </c>
      <c r="N844" s="66">
        <v>376800</v>
      </c>
      <c r="O844" s="13" t="s">
        <v>277</v>
      </c>
    </row>
    <row r="845" spans="1:15" x14ac:dyDescent="0.3">
      <c r="A845" s="20" t="s">
        <v>609</v>
      </c>
      <c r="B845" s="10" t="s">
        <v>16</v>
      </c>
      <c r="C845" s="32" t="s">
        <v>250</v>
      </c>
      <c r="D845" s="32" t="s">
        <v>39</v>
      </c>
      <c r="E845" s="32" t="s">
        <v>51</v>
      </c>
      <c r="F845" s="32" t="s">
        <v>41</v>
      </c>
      <c r="G845" s="32" t="s">
        <v>56</v>
      </c>
      <c r="H845" s="41">
        <v>45838</v>
      </c>
      <c r="I845" s="70">
        <v>105</v>
      </c>
      <c r="J845" s="70">
        <v>990</v>
      </c>
      <c r="K845" s="71">
        <v>0.1</v>
      </c>
      <c r="L845" s="10" t="s">
        <v>36</v>
      </c>
      <c r="M845" s="72">
        <v>103950</v>
      </c>
      <c r="N845" s="72">
        <v>93555</v>
      </c>
      <c r="O845" s="12" t="s">
        <v>265</v>
      </c>
    </row>
    <row r="846" spans="1:15" x14ac:dyDescent="0.3">
      <c r="A846" s="20" t="s">
        <v>610</v>
      </c>
      <c r="B846" s="11" t="s">
        <v>38</v>
      </c>
      <c r="C846" s="30" t="s">
        <v>247</v>
      </c>
      <c r="D846" s="30" t="s">
        <v>39</v>
      </c>
      <c r="E846" s="30" t="s">
        <v>45</v>
      </c>
      <c r="F846" s="30" t="s">
        <v>46</v>
      </c>
      <c r="G846" s="30" t="s">
        <v>47</v>
      </c>
      <c r="H846" s="39">
        <v>45840</v>
      </c>
      <c r="I846" s="64">
        <v>243</v>
      </c>
      <c r="J846" s="64">
        <v>1200</v>
      </c>
      <c r="K846" s="65">
        <v>0.08</v>
      </c>
      <c r="L846" s="11" t="s">
        <v>36</v>
      </c>
      <c r="M846" s="66">
        <v>291600</v>
      </c>
      <c r="N846" s="66">
        <v>268272</v>
      </c>
      <c r="O846" s="13" t="s">
        <v>267</v>
      </c>
    </row>
    <row r="847" spans="1:15" x14ac:dyDescent="0.3">
      <c r="A847" s="20" t="s">
        <v>611</v>
      </c>
      <c r="B847" s="10" t="s">
        <v>44</v>
      </c>
      <c r="C847" s="32" t="s">
        <v>254</v>
      </c>
      <c r="D847" s="32" t="s">
        <v>39</v>
      </c>
      <c r="E847" s="32" t="s">
        <v>51</v>
      </c>
      <c r="F847" s="32" t="s">
        <v>28</v>
      </c>
      <c r="G847" s="32" t="s">
        <v>42</v>
      </c>
      <c r="H847" s="41">
        <v>45840</v>
      </c>
      <c r="I847" s="70">
        <v>465</v>
      </c>
      <c r="J847" s="70">
        <v>200</v>
      </c>
      <c r="K847" s="71">
        <v>0.11</v>
      </c>
      <c r="L847" s="10" t="s">
        <v>36</v>
      </c>
      <c r="M847" s="72">
        <v>93000</v>
      </c>
      <c r="N847" s="72">
        <v>82770</v>
      </c>
      <c r="O847" s="12" t="s">
        <v>265</v>
      </c>
    </row>
    <row r="848" spans="1:15" x14ac:dyDescent="0.3">
      <c r="A848" s="20" t="s">
        <v>612</v>
      </c>
      <c r="B848" s="11" t="s">
        <v>25</v>
      </c>
      <c r="C848" s="30" t="s">
        <v>257</v>
      </c>
      <c r="D848" s="30" t="s">
        <v>26</v>
      </c>
      <c r="E848" s="30" t="s">
        <v>45</v>
      </c>
      <c r="F848" s="30" t="s">
        <v>46</v>
      </c>
      <c r="G848" s="30" t="s">
        <v>29</v>
      </c>
      <c r="H848" s="39">
        <v>45840</v>
      </c>
      <c r="I848" s="64">
        <v>230</v>
      </c>
      <c r="J848" s="64">
        <v>350</v>
      </c>
      <c r="K848" s="65">
        <v>0.05</v>
      </c>
      <c r="L848" s="11" t="s">
        <v>36</v>
      </c>
      <c r="M848" s="66">
        <v>80500</v>
      </c>
      <c r="N848" s="66">
        <v>76475</v>
      </c>
      <c r="O848" s="13" t="s">
        <v>265</v>
      </c>
    </row>
    <row r="849" spans="1:15" x14ac:dyDescent="0.3">
      <c r="A849" s="20" t="s">
        <v>613</v>
      </c>
      <c r="B849" s="10" t="s">
        <v>58</v>
      </c>
      <c r="C849" s="32" t="s">
        <v>255</v>
      </c>
      <c r="D849" s="32" t="s">
        <v>59</v>
      </c>
      <c r="E849" s="32" t="s">
        <v>27</v>
      </c>
      <c r="F849" s="32" t="s">
        <v>34</v>
      </c>
      <c r="G849" s="32" t="s">
        <v>29</v>
      </c>
      <c r="H849" s="41">
        <v>45841</v>
      </c>
      <c r="I849" s="70">
        <v>285</v>
      </c>
      <c r="J849" s="70">
        <v>2800</v>
      </c>
      <c r="K849" s="71">
        <v>0.1</v>
      </c>
      <c r="L849" s="10" t="s">
        <v>36</v>
      </c>
      <c r="M849" s="72">
        <v>798000</v>
      </c>
      <c r="N849" s="72">
        <v>718200</v>
      </c>
      <c r="O849" s="12" t="s">
        <v>277</v>
      </c>
    </row>
    <row r="850" spans="1:15" x14ac:dyDescent="0.3">
      <c r="A850" s="20" t="s">
        <v>614</v>
      </c>
      <c r="B850" s="11" t="s">
        <v>32</v>
      </c>
      <c r="C850" s="30" t="s">
        <v>246</v>
      </c>
      <c r="D850" s="30" t="s">
        <v>26</v>
      </c>
      <c r="E850" s="30" t="s">
        <v>40</v>
      </c>
      <c r="F850" s="30" t="s">
        <v>52</v>
      </c>
      <c r="G850" s="30" t="s">
        <v>53</v>
      </c>
      <c r="H850" s="39">
        <v>45843</v>
      </c>
      <c r="I850" s="64">
        <v>394</v>
      </c>
      <c r="J850" s="64">
        <v>420</v>
      </c>
      <c r="K850" s="65">
        <v>0.14000000000000001</v>
      </c>
      <c r="L850" s="11" t="s">
        <v>30</v>
      </c>
      <c r="M850" s="66">
        <v>165480</v>
      </c>
      <c r="N850" s="66">
        <v>142312.79999999999</v>
      </c>
      <c r="O850" s="13" t="s">
        <v>267</v>
      </c>
    </row>
    <row r="851" spans="1:15" x14ac:dyDescent="0.3">
      <c r="A851" s="20" t="s">
        <v>615</v>
      </c>
      <c r="B851" s="10" t="s">
        <v>61</v>
      </c>
      <c r="C851" s="32" t="s">
        <v>244</v>
      </c>
      <c r="D851" s="32" t="s">
        <v>26</v>
      </c>
      <c r="E851" s="32" t="s">
        <v>27</v>
      </c>
      <c r="F851" s="32" t="s">
        <v>41</v>
      </c>
      <c r="G851" s="32" t="s">
        <v>42</v>
      </c>
      <c r="H851" s="41">
        <v>45843</v>
      </c>
      <c r="I851" s="70">
        <v>432</v>
      </c>
      <c r="J851" s="70">
        <v>280</v>
      </c>
      <c r="K851" s="71">
        <v>0.11</v>
      </c>
      <c r="L851" s="10" t="s">
        <v>36</v>
      </c>
      <c r="M851" s="72">
        <v>120960</v>
      </c>
      <c r="N851" s="72">
        <v>107654.39999999999</v>
      </c>
      <c r="O851" s="12" t="s">
        <v>267</v>
      </c>
    </row>
    <row r="852" spans="1:15" x14ac:dyDescent="0.3">
      <c r="A852" s="20" t="s">
        <v>616</v>
      </c>
      <c r="B852" s="11" t="s">
        <v>32</v>
      </c>
      <c r="C852" s="30" t="s">
        <v>246</v>
      </c>
      <c r="D852" s="30" t="s">
        <v>26</v>
      </c>
      <c r="E852" s="30" t="s">
        <v>51</v>
      </c>
      <c r="F852" s="30" t="s">
        <v>46</v>
      </c>
      <c r="G852" s="30" t="s">
        <v>29</v>
      </c>
      <c r="H852" s="39">
        <v>45843</v>
      </c>
      <c r="I852" s="64">
        <v>291</v>
      </c>
      <c r="J852" s="64">
        <v>420</v>
      </c>
      <c r="K852" s="65">
        <v>0</v>
      </c>
      <c r="L852" s="11" t="s">
        <v>36</v>
      </c>
      <c r="M852" s="66">
        <v>122220</v>
      </c>
      <c r="N852" s="66">
        <v>122220</v>
      </c>
      <c r="O852" s="13" t="s">
        <v>267</v>
      </c>
    </row>
    <row r="853" spans="1:15" x14ac:dyDescent="0.3">
      <c r="A853" s="20" t="s">
        <v>617</v>
      </c>
      <c r="B853" s="10" t="s">
        <v>32</v>
      </c>
      <c r="C853" s="32" t="s">
        <v>246</v>
      </c>
      <c r="D853" s="32" t="s">
        <v>26</v>
      </c>
      <c r="E853" s="32" t="s">
        <v>33</v>
      </c>
      <c r="F853" s="32" t="s">
        <v>34</v>
      </c>
      <c r="G853" s="32" t="s">
        <v>53</v>
      </c>
      <c r="H853" s="41">
        <v>45845</v>
      </c>
      <c r="I853" s="70">
        <v>367</v>
      </c>
      <c r="J853" s="70">
        <v>420</v>
      </c>
      <c r="K853" s="71">
        <v>7.0000000000000007E-2</v>
      </c>
      <c r="L853" s="10" t="s">
        <v>30</v>
      </c>
      <c r="M853" s="72">
        <v>154140</v>
      </c>
      <c r="N853" s="72">
        <v>143350.20000000001</v>
      </c>
      <c r="O853" s="12" t="s">
        <v>267</v>
      </c>
    </row>
    <row r="854" spans="1:15" x14ac:dyDescent="0.3">
      <c r="A854" s="20" t="s">
        <v>618</v>
      </c>
      <c r="B854" s="11" t="s">
        <v>38</v>
      </c>
      <c r="C854" s="30" t="s">
        <v>247</v>
      </c>
      <c r="D854" s="30" t="s">
        <v>39</v>
      </c>
      <c r="E854" s="30" t="s">
        <v>27</v>
      </c>
      <c r="F854" s="30" t="s">
        <v>41</v>
      </c>
      <c r="G854" s="30" t="s">
        <v>53</v>
      </c>
      <c r="H854" s="39">
        <v>45846</v>
      </c>
      <c r="I854" s="64">
        <v>106</v>
      </c>
      <c r="J854" s="64">
        <v>1200</v>
      </c>
      <c r="K854" s="65">
        <v>0.12</v>
      </c>
      <c r="L854" s="11" t="s">
        <v>30</v>
      </c>
      <c r="M854" s="66">
        <v>127200</v>
      </c>
      <c r="N854" s="66">
        <v>111936</v>
      </c>
      <c r="O854" s="13" t="s">
        <v>267</v>
      </c>
    </row>
    <row r="855" spans="1:15" x14ac:dyDescent="0.3">
      <c r="A855" s="20" t="s">
        <v>619</v>
      </c>
      <c r="B855" s="10" t="s">
        <v>55</v>
      </c>
      <c r="C855" s="32" t="s">
        <v>249</v>
      </c>
      <c r="D855" s="32" t="s">
        <v>39</v>
      </c>
      <c r="E855" s="32" t="s">
        <v>51</v>
      </c>
      <c r="F855" s="32" t="s">
        <v>41</v>
      </c>
      <c r="G855" s="32" t="s">
        <v>53</v>
      </c>
      <c r="H855" s="41">
        <v>45847</v>
      </c>
      <c r="I855" s="70">
        <v>323</v>
      </c>
      <c r="J855" s="70">
        <v>650</v>
      </c>
      <c r="K855" s="71">
        <v>0.15</v>
      </c>
      <c r="L855" s="10" t="s">
        <v>30</v>
      </c>
      <c r="M855" s="72">
        <v>209950</v>
      </c>
      <c r="N855" s="72">
        <v>178457.5</v>
      </c>
      <c r="O855" s="12" t="s">
        <v>267</v>
      </c>
    </row>
    <row r="856" spans="1:15" x14ac:dyDescent="0.3">
      <c r="A856" s="20" t="s">
        <v>620</v>
      </c>
      <c r="B856" s="11" t="s">
        <v>25</v>
      </c>
      <c r="C856" s="30" t="s">
        <v>257</v>
      </c>
      <c r="D856" s="30" t="s">
        <v>26</v>
      </c>
      <c r="E856" s="30" t="s">
        <v>40</v>
      </c>
      <c r="F856" s="30" t="s">
        <v>34</v>
      </c>
      <c r="G856" s="30" t="s">
        <v>53</v>
      </c>
      <c r="H856" s="39">
        <v>45847</v>
      </c>
      <c r="I856" s="64">
        <v>318</v>
      </c>
      <c r="J856" s="64">
        <v>350</v>
      </c>
      <c r="K856" s="65">
        <v>0.11</v>
      </c>
      <c r="L856" s="11" t="s">
        <v>36</v>
      </c>
      <c r="M856" s="66">
        <v>111300</v>
      </c>
      <c r="N856" s="66">
        <v>99057</v>
      </c>
      <c r="O856" s="13" t="s">
        <v>265</v>
      </c>
    </row>
    <row r="857" spans="1:15" x14ac:dyDescent="0.3">
      <c r="A857" s="20" t="s">
        <v>621</v>
      </c>
      <c r="B857" s="10" t="s">
        <v>32</v>
      </c>
      <c r="C857" s="32" t="s">
        <v>246</v>
      </c>
      <c r="D857" s="32" t="s">
        <v>26</v>
      </c>
      <c r="E857" s="32" t="s">
        <v>40</v>
      </c>
      <c r="F857" s="32" t="s">
        <v>52</v>
      </c>
      <c r="G857" s="32" t="s">
        <v>42</v>
      </c>
      <c r="H857" s="41">
        <v>45848</v>
      </c>
      <c r="I857" s="70">
        <v>404</v>
      </c>
      <c r="J857" s="70">
        <v>420</v>
      </c>
      <c r="K857" s="71">
        <v>0.03</v>
      </c>
      <c r="L857" s="10" t="s">
        <v>36</v>
      </c>
      <c r="M857" s="72">
        <v>169680</v>
      </c>
      <c r="N857" s="72">
        <v>164589.6</v>
      </c>
      <c r="O857" s="12" t="s">
        <v>267</v>
      </c>
    </row>
    <row r="858" spans="1:15" x14ac:dyDescent="0.3">
      <c r="A858" s="20" t="s">
        <v>622</v>
      </c>
      <c r="B858" s="11" t="s">
        <v>63</v>
      </c>
      <c r="C858" s="30" t="s">
        <v>253</v>
      </c>
      <c r="D858" s="30" t="s">
        <v>50</v>
      </c>
      <c r="E858" s="30" t="s">
        <v>51</v>
      </c>
      <c r="F858" s="30" t="s">
        <v>52</v>
      </c>
      <c r="G858" s="30" t="s">
        <v>42</v>
      </c>
      <c r="H858" s="39">
        <v>45850</v>
      </c>
      <c r="I858" s="64">
        <v>133</v>
      </c>
      <c r="J858" s="64">
        <v>750</v>
      </c>
      <c r="K858" s="65">
        <v>0.08</v>
      </c>
      <c r="L858" s="11" t="s">
        <v>36</v>
      </c>
      <c r="M858" s="66">
        <v>99750</v>
      </c>
      <c r="N858" s="66">
        <v>91770</v>
      </c>
      <c r="O858" s="13" t="s">
        <v>265</v>
      </c>
    </row>
    <row r="859" spans="1:15" x14ac:dyDescent="0.3">
      <c r="A859" s="20" t="s">
        <v>623</v>
      </c>
      <c r="B859" s="10" t="s">
        <v>262</v>
      </c>
      <c r="C859" s="32" t="s">
        <v>263</v>
      </c>
      <c r="D859" s="32" t="s">
        <v>50</v>
      </c>
      <c r="E859" s="32" t="s">
        <v>51</v>
      </c>
      <c r="F859" s="32" t="s">
        <v>52</v>
      </c>
      <c r="G859" s="32" t="s">
        <v>56</v>
      </c>
      <c r="H859" s="41">
        <v>45851</v>
      </c>
      <c r="I859" s="70">
        <v>62</v>
      </c>
      <c r="J859" s="70">
        <v>820</v>
      </c>
      <c r="K859" s="71">
        <v>0.1</v>
      </c>
      <c r="L859" s="10" t="s">
        <v>36</v>
      </c>
      <c r="M859" s="72">
        <v>50840</v>
      </c>
      <c r="N859" s="72">
        <v>45756</v>
      </c>
      <c r="O859" s="12" t="s">
        <v>265</v>
      </c>
    </row>
    <row r="860" spans="1:15" x14ac:dyDescent="0.3">
      <c r="A860" s="20" t="s">
        <v>624</v>
      </c>
      <c r="B860" s="11" t="s">
        <v>55</v>
      </c>
      <c r="C860" s="30" t="s">
        <v>249</v>
      </c>
      <c r="D860" s="30" t="s">
        <v>39</v>
      </c>
      <c r="E860" s="30" t="s">
        <v>33</v>
      </c>
      <c r="F860" s="30" t="s">
        <v>34</v>
      </c>
      <c r="G860" s="30" t="s">
        <v>42</v>
      </c>
      <c r="H860" s="39">
        <v>45851</v>
      </c>
      <c r="I860" s="64">
        <v>446</v>
      </c>
      <c r="J860" s="64">
        <v>650</v>
      </c>
      <c r="K860" s="65">
        <v>0.05</v>
      </c>
      <c r="L860" s="11" t="s">
        <v>36</v>
      </c>
      <c r="M860" s="66">
        <v>289900</v>
      </c>
      <c r="N860" s="66">
        <v>275405</v>
      </c>
      <c r="O860" s="13" t="s">
        <v>267</v>
      </c>
    </row>
    <row r="861" spans="1:15" x14ac:dyDescent="0.3">
      <c r="A861" s="20" t="s">
        <v>625</v>
      </c>
      <c r="B861" s="10" t="s">
        <v>58</v>
      </c>
      <c r="C861" s="32" t="s">
        <v>255</v>
      </c>
      <c r="D861" s="32" t="s">
        <v>59</v>
      </c>
      <c r="E861" s="32" t="s">
        <v>40</v>
      </c>
      <c r="F861" s="32" t="s">
        <v>41</v>
      </c>
      <c r="G861" s="32" t="s">
        <v>35</v>
      </c>
      <c r="H861" s="41">
        <v>45853</v>
      </c>
      <c r="I861" s="70">
        <v>35</v>
      </c>
      <c r="J861" s="70">
        <v>2800</v>
      </c>
      <c r="K861" s="71">
        <v>0</v>
      </c>
      <c r="L861" s="10" t="s">
        <v>30</v>
      </c>
      <c r="M861" s="72">
        <v>98000</v>
      </c>
      <c r="N861" s="72">
        <v>98000</v>
      </c>
      <c r="O861" s="12" t="s">
        <v>265</v>
      </c>
    </row>
    <row r="862" spans="1:15" x14ac:dyDescent="0.3">
      <c r="A862" s="20" t="s">
        <v>626</v>
      </c>
      <c r="B862" s="11" t="s">
        <v>58</v>
      </c>
      <c r="C862" s="30" t="s">
        <v>255</v>
      </c>
      <c r="D862" s="30" t="s">
        <v>59</v>
      </c>
      <c r="E862" s="30" t="s">
        <v>45</v>
      </c>
      <c r="F862" s="30" t="s">
        <v>52</v>
      </c>
      <c r="G862" s="30" t="s">
        <v>53</v>
      </c>
      <c r="H862" s="39">
        <v>45854</v>
      </c>
      <c r="I862" s="64">
        <v>254</v>
      </c>
      <c r="J862" s="64">
        <v>2800</v>
      </c>
      <c r="K862" s="65">
        <v>0.13</v>
      </c>
      <c r="L862" s="11" t="s">
        <v>36</v>
      </c>
      <c r="M862" s="66">
        <v>711200</v>
      </c>
      <c r="N862" s="66">
        <v>618744</v>
      </c>
      <c r="O862" s="13" t="s">
        <v>277</v>
      </c>
    </row>
    <row r="863" spans="1:15" x14ac:dyDescent="0.3">
      <c r="A863" s="20" t="s">
        <v>627</v>
      </c>
      <c r="B863" s="10" t="s">
        <v>25</v>
      </c>
      <c r="C863" s="32" t="s">
        <v>257</v>
      </c>
      <c r="D863" s="32" t="s">
        <v>26</v>
      </c>
      <c r="E863" s="32" t="s">
        <v>51</v>
      </c>
      <c r="F863" s="32" t="s">
        <v>46</v>
      </c>
      <c r="G863" s="32" t="s">
        <v>53</v>
      </c>
      <c r="H863" s="41">
        <v>45855</v>
      </c>
      <c r="I863" s="70">
        <v>404</v>
      </c>
      <c r="J863" s="70">
        <v>350</v>
      </c>
      <c r="K863" s="71">
        <v>0.12</v>
      </c>
      <c r="L863" s="10" t="s">
        <v>30</v>
      </c>
      <c r="M863" s="72">
        <v>141400</v>
      </c>
      <c r="N863" s="72">
        <v>124432</v>
      </c>
      <c r="O863" s="12" t="s">
        <v>267</v>
      </c>
    </row>
    <row r="864" spans="1:15" x14ac:dyDescent="0.3">
      <c r="A864" s="20" t="s">
        <v>628</v>
      </c>
      <c r="B864" s="11" t="s">
        <v>58</v>
      </c>
      <c r="C864" s="30" t="s">
        <v>255</v>
      </c>
      <c r="D864" s="30" t="s">
        <v>59</v>
      </c>
      <c r="E864" s="30" t="s">
        <v>45</v>
      </c>
      <c r="F864" s="30" t="s">
        <v>52</v>
      </c>
      <c r="G864" s="30" t="s">
        <v>47</v>
      </c>
      <c r="H864" s="39">
        <v>45856</v>
      </c>
      <c r="I864" s="64">
        <v>308</v>
      </c>
      <c r="J864" s="64">
        <v>2800</v>
      </c>
      <c r="K864" s="65">
        <v>7.0000000000000007E-2</v>
      </c>
      <c r="L864" s="11" t="s">
        <v>36</v>
      </c>
      <c r="M864" s="66">
        <v>862400</v>
      </c>
      <c r="N864" s="66">
        <v>802032</v>
      </c>
      <c r="O864" s="13" t="s">
        <v>277</v>
      </c>
    </row>
    <row r="865" spans="1:15" x14ac:dyDescent="0.3">
      <c r="A865" s="20" t="s">
        <v>629</v>
      </c>
      <c r="B865" s="10" t="s">
        <v>38</v>
      </c>
      <c r="C865" s="32" t="s">
        <v>247</v>
      </c>
      <c r="D865" s="32" t="s">
        <v>39</v>
      </c>
      <c r="E865" s="32" t="s">
        <v>51</v>
      </c>
      <c r="F865" s="32" t="s">
        <v>28</v>
      </c>
      <c r="G865" s="32" t="s">
        <v>56</v>
      </c>
      <c r="H865" s="41">
        <v>45856</v>
      </c>
      <c r="I865" s="70">
        <v>104</v>
      </c>
      <c r="J865" s="70">
        <v>1200</v>
      </c>
      <c r="K865" s="71">
        <v>0</v>
      </c>
      <c r="L865" s="10" t="s">
        <v>36</v>
      </c>
      <c r="M865" s="72">
        <v>124800</v>
      </c>
      <c r="N865" s="72">
        <v>124800</v>
      </c>
      <c r="O865" s="12" t="s">
        <v>267</v>
      </c>
    </row>
    <row r="866" spans="1:15" x14ac:dyDescent="0.3">
      <c r="A866" s="20" t="s">
        <v>630</v>
      </c>
      <c r="B866" s="11" t="s">
        <v>16</v>
      </c>
      <c r="C866" s="30" t="s">
        <v>250</v>
      </c>
      <c r="D866" s="30" t="s">
        <v>39</v>
      </c>
      <c r="E866" s="30" t="s">
        <v>45</v>
      </c>
      <c r="F866" s="30" t="s">
        <v>46</v>
      </c>
      <c r="G866" s="30" t="s">
        <v>42</v>
      </c>
      <c r="H866" s="39">
        <v>45856</v>
      </c>
      <c r="I866" s="64">
        <v>354</v>
      </c>
      <c r="J866" s="64">
        <v>990</v>
      </c>
      <c r="K866" s="65">
        <v>7.0000000000000007E-2</v>
      </c>
      <c r="L866" s="11" t="s">
        <v>36</v>
      </c>
      <c r="M866" s="66">
        <v>350460</v>
      </c>
      <c r="N866" s="66">
        <v>325927.8</v>
      </c>
      <c r="O866" s="13" t="s">
        <v>267</v>
      </c>
    </row>
    <row r="867" spans="1:15" x14ac:dyDescent="0.3">
      <c r="A867" s="20" t="s">
        <v>631</v>
      </c>
      <c r="B867" s="10" t="s">
        <v>63</v>
      </c>
      <c r="C867" s="32" t="s">
        <v>253</v>
      </c>
      <c r="D867" s="32" t="s">
        <v>50</v>
      </c>
      <c r="E867" s="32" t="s">
        <v>33</v>
      </c>
      <c r="F867" s="32" t="s">
        <v>46</v>
      </c>
      <c r="G867" s="32" t="s">
        <v>53</v>
      </c>
      <c r="H867" s="41">
        <v>45857</v>
      </c>
      <c r="I867" s="70">
        <v>338</v>
      </c>
      <c r="J867" s="70">
        <v>750</v>
      </c>
      <c r="K867" s="71">
        <v>0.03</v>
      </c>
      <c r="L867" s="10" t="s">
        <v>36</v>
      </c>
      <c r="M867" s="72">
        <v>253500</v>
      </c>
      <c r="N867" s="72">
        <v>245895</v>
      </c>
      <c r="O867" s="12" t="s">
        <v>267</v>
      </c>
    </row>
    <row r="868" spans="1:15" x14ac:dyDescent="0.3">
      <c r="A868" s="20" t="s">
        <v>632</v>
      </c>
      <c r="B868" s="11" t="s">
        <v>61</v>
      </c>
      <c r="C868" s="30" t="s">
        <v>244</v>
      </c>
      <c r="D868" s="30" t="s">
        <v>26</v>
      </c>
      <c r="E868" s="30" t="s">
        <v>40</v>
      </c>
      <c r="F868" s="30" t="s">
        <v>34</v>
      </c>
      <c r="G868" s="30" t="s">
        <v>29</v>
      </c>
      <c r="H868" s="39">
        <v>45857</v>
      </c>
      <c r="I868" s="64">
        <v>116</v>
      </c>
      <c r="J868" s="64">
        <v>280</v>
      </c>
      <c r="K868" s="65">
        <v>0.14000000000000001</v>
      </c>
      <c r="L868" s="11" t="s">
        <v>36</v>
      </c>
      <c r="M868" s="66">
        <v>32480</v>
      </c>
      <c r="N868" s="66">
        <v>27932.799999999999</v>
      </c>
      <c r="O868" s="13" t="s">
        <v>265</v>
      </c>
    </row>
    <row r="869" spans="1:15" x14ac:dyDescent="0.3">
      <c r="A869" s="20" t="s">
        <v>633</v>
      </c>
      <c r="B869" s="10" t="s">
        <v>63</v>
      </c>
      <c r="C869" s="32" t="s">
        <v>253</v>
      </c>
      <c r="D869" s="32" t="s">
        <v>50</v>
      </c>
      <c r="E869" s="32" t="s">
        <v>27</v>
      </c>
      <c r="F869" s="32" t="s">
        <v>52</v>
      </c>
      <c r="G869" s="32" t="s">
        <v>42</v>
      </c>
      <c r="H869" s="41">
        <v>45857</v>
      </c>
      <c r="I869" s="70">
        <v>58</v>
      </c>
      <c r="J869" s="70">
        <v>750</v>
      </c>
      <c r="K869" s="71">
        <v>0.13</v>
      </c>
      <c r="L869" s="10" t="s">
        <v>36</v>
      </c>
      <c r="M869" s="72">
        <v>43500</v>
      </c>
      <c r="N869" s="72">
        <v>37845</v>
      </c>
      <c r="O869" s="12" t="s">
        <v>265</v>
      </c>
    </row>
    <row r="870" spans="1:15" x14ac:dyDescent="0.3">
      <c r="A870" s="20" t="s">
        <v>634</v>
      </c>
      <c r="B870" s="11" t="s">
        <v>49</v>
      </c>
      <c r="C870" s="30" t="s">
        <v>251</v>
      </c>
      <c r="D870" s="30" t="s">
        <v>50</v>
      </c>
      <c r="E870" s="30" t="s">
        <v>51</v>
      </c>
      <c r="F870" s="30" t="s">
        <v>28</v>
      </c>
      <c r="G870" s="30" t="s">
        <v>53</v>
      </c>
      <c r="H870" s="39">
        <v>45858</v>
      </c>
      <c r="I870" s="64">
        <v>400</v>
      </c>
      <c r="J870" s="64">
        <v>895</v>
      </c>
      <c r="K870" s="65">
        <v>0</v>
      </c>
      <c r="L870" s="11" t="s">
        <v>36</v>
      </c>
      <c r="M870" s="66">
        <v>358000</v>
      </c>
      <c r="N870" s="66">
        <v>358000</v>
      </c>
      <c r="O870" s="13" t="s">
        <v>277</v>
      </c>
    </row>
    <row r="871" spans="1:15" x14ac:dyDescent="0.3">
      <c r="A871" s="20" t="s">
        <v>635</v>
      </c>
      <c r="B871" s="10" t="s">
        <v>44</v>
      </c>
      <c r="C871" s="32" t="s">
        <v>254</v>
      </c>
      <c r="D871" s="32" t="s">
        <v>39</v>
      </c>
      <c r="E871" s="32" t="s">
        <v>33</v>
      </c>
      <c r="F871" s="32" t="s">
        <v>28</v>
      </c>
      <c r="G871" s="32" t="s">
        <v>35</v>
      </c>
      <c r="H871" s="41">
        <v>45859</v>
      </c>
      <c r="I871" s="70">
        <v>182</v>
      </c>
      <c r="J871" s="70">
        <v>200</v>
      </c>
      <c r="K871" s="71">
        <v>0</v>
      </c>
      <c r="L871" s="10" t="s">
        <v>36</v>
      </c>
      <c r="M871" s="72">
        <v>36400</v>
      </c>
      <c r="N871" s="72">
        <v>36400</v>
      </c>
      <c r="O871" s="12" t="s">
        <v>265</v>
      </c>
    </row>
    <row r="872" spans="1:15" x14ac:dyDescent="0.3">
      <c r="A872" s="20" t="s">
        <v>636</v>
      </c>
      <c r="B872" s="11" t="s">
        <v>38</v>
      </c>
      <c r="C872" s="30" t="s">
        <v>247</v>
      </c>
      <c r="D872" s="30" t="s">
        <v>39</v>
      </c>
      <c r="E872" s="30" t="s">
        <v>33</v>
      </c>
      <c r="F872" s="30" t="s">
        <v>34</v>
      </c>
      <c r="G872" s="30" t="s">
        <v>53</v>
      </c>
      <c r="H872" s="39">
        <v>45859</v>
      </c>
      <c r="I872" s="64">
        <v>118</v>
      </c>
      <c r="J872" s="64">
        <v>1200</v>
      </c>
      <c r="K872" s="65">
        <v>0.15</v>
      </c>
      <c r="L872" s="11" t="s">
        <v>36</v>
      </c>
      <c r="M872" s="66">
        <v>141600</v>
      </c>
      <c r="N872" s="66">
        <v>120360</v>
      </c>
      <c r="O872" s="13" t="s">
        <v>267</v>
      </c>
    </row>
    <row r="873" spans="1:15" x14ac:dyDescent="0.3">
      <c r="A873" s="20" t="s">
        <v>637</v>
      </c>
      <c r="B873" s="10" t="s">
        <v>25</v>
      </c>
      <c r="C873" s="32" t="s">
        <v>257</v>
      </c>
      <c r="D873" s="32" t="s">
        <v>26</v>
      </c>
      <c r="E873" s="32" t="s">
        <v>40</v>
      </c>
      <c r="F873" s="32" t="s">
        <v>46</v>
      </c>
      <c r="G873" s="32" t="s">
        <v>53</v>
      </c>
      <c r="H873" s="41">
        <v>45861</v>
      </c>
      <c r="I873" s="70">
        <v>435</v>
      </c>
      <c r="J873" s="70">
        <v>350</v>
      </c>
      <c r="K873" s="71">
        <v>0</v>
      </c>
      <c r="L873" s="10" t="s">
        <v>36</v>
      </c>
      <c r="M873" s="72">
        <v>152250</v>
      </c>
      <c r="N873" s="72">
        <v>152250</v>
      </c>
      <c r="O873" s="12" t="s">
        <v>267</v>
      </c>
    </row>
    <row r="874" spans="1:15" x14ac:dyDescent="0.3">
      <c r="A874" s="20" t="s">
        <v>638</v>
      </c>
      <c r="B874" s="11" t="s">
        <v>58</v>
      </c>
      <c r="C874" s="30" t="s">
        <v>255</v>
      </c>
      <c r="D874" s="30" t="s">
        <v>59</v>
      </c>
      <c r="E874" s="30" t="s">
        <v>40</v>
      </c>
      <c r="F874" s="30" t="s">
        <v>52</v>
      </c>
      <c r="G874" s="30" t="s">
        <v>56</v>
      </c>
      <c r="H874" s="39">
        <v>45862</v>
      </c>
      <c r="I874" s="64">
        <v>185</v>
      </c>
      <c r="J874" s="64">
        <v>2800</v>
      </c>
      <c r="K874" s="65">
        <v>0.05</v>
      </c>
      <c r="L874" s="11" t="s">
        <v>30</v>
      </c>
      <c r="M874" s="66">
        <v>518000</v>
      </c>
      <c r="N874" s="66">
        <v>492100</v>
      </c>
      <c r="O874" s="13" t="s">
        <v>277</v>
      </c>
    </row>
    <row r="875" spans="1:15" x14ac:dyDescent="0.3">
      <c r="A875" s="20" t="s">
        <v>639</v>
      </c>
      <c r="B875" s="10" t="s">
        <v>32</v>
      </c>
      <c r="C875" s="32" t="s">
        <v>246</v>
      </c>
      <c r="D875" s="32" t="s">
        <v>26</v>
      </c>
      <c r="E875" s="32" t="s">
        <v>51</v>
      </c>
      <c r="F875" s="32" t="s">
        <v>28</v>
      </c>
      <c r="G875" s="32" t="s">
        <v>56</v>
      </c>
      <c r="H875" s="41">
        <v>45862</v>
      </c>
      <c r="I875" s="70">
        <v>384</v>
      </c>
      <c r="J875" s="70">
        <v>420</v>
      </c>
      <c r="K875" s="71">
        <v>0.1</v>
      </c>
      <c r="L875" s="10" t="s">
        <v>30</v>
      </c>
      <c r="M875" s="72">
        <v>161280</v>
      </c>
      <c r="N875" s="72">
        <v>145152</v>
      </c>
      <c r="O875" s="12" t="s">
        <v>267</v>
      </c>
    </row>
    <row r="876" spans="1:15" x14ac:dyDescent="0.3">
      <c r="A876" s="20" t="s">
        <v>640</v>
      </c>
      <c r="B876" s="11" t="s">
        <v>16</v>
      </c>
      <c r="C876" s="30" t="s">
        <v>250</v>
      </c>
      <c r="D876" s="30" t="s">
        <v>39</v>
      </c>
      <c r="E876" s="30" t="s">
        <v>51</v>
      </c>
      <c r="F876" s="30" t="s">
        <v>52</v>
      </c>
      <c r="G876" s="30" t="s">
        <v>56</v>
      </c>
      <c r="H876" s="39">
        <v>45867</v>
      </c>
      <c r="I876" s="64">
        <v>217</v>
      </c>
      <c r="J876" s="64">
        <v>990</v>
      </c>
      <c r="K876" s="65">
        <v>0.15</v>
      </c>
      <c r="L876" s="11" t="s">
        <v>36</v>
      </c>
      <c r="M876" s="66">
        <v>214830</v>
      </c>
      <c r="N876" s="66">
        <v>182605.5</v>
      </c>
      <c r="O876" s="13" t="s">
        <v>267</v>
      </c>
    </row>
    <row r="877" spans="1:15" x14ac:dyDescent="0.3">
      <c r="A877" s="20" t="s">
        <v>641</v>
      </c>
      <c r="B877" s="10" t="s">
        <v>16</v>
      </c>
      <c r="C877" s="32" t="s">
        <v>250</v>
      </c>
      <c r="D877" s="32" t="s">
        <v>39</v>
      </c>
      <c r="E877" s="32" t="s">
        <v>40</v>
      </c>
      <c r="F877" s="32" t="s">
        <v>28</v>
      </c>
      <c r="G877" s="32" t="s">
        <v>35</v>
      </c>
      <c r="H877" s="41">
        <v>45869</v>
      </c>
      <c r="I877" s="70">
        <v>148</v>
      </c>
      <c r="J877" s="70">
        <v>990</v>
      </c>
      <c r="K877" s="71">
        <v>0</v>
      </c>
      <c r="L877" s="10" t="s">
        <v>30</v>
      </c>
      <c r="M877" s="72">
        <v>146520</v>
      </c>
      <c r="N877" s="72">
        <v>146520</v>
      </c>
      <c r="O877" s="12" t="s">
        <v>267</v>
      </c>
    </row>
    <row r="878" spans="1:15" x14ac:dyDescent="0.3">
      <c r="A878" s="20" t="s">
        <v>642</v>
      </c>
      <c r="B878" s="11" t="s">
        <v>58</v>
      </c>
      <c r="C878" s="30" t="s">
        <v>255</v>
      </c>
      <c r="D878" s="30" t="s">
        <v>59</v>
      </c>
      <c r="E878" s="30" t="s">
        <v>27</v>
      </c>
      <c r="F878" s="30" t="s">
        <v>52</v>
      </c>
      <c r="G878" s="30" t="s">
        <v>42</v>
      </c>
      <c r="H878" s="39">
        <v>45871</v>
      </c>
      <c r="I878" s="64">
        <v>255</v>
      </c>
      <c r="J878" s="64">
        <v>2800</v>
      </c>
      <c r="K878" s="65">
        <v>0.08</v>
      </c>
      <c r="L878" s="11" t="s">
        <v>30</v>
      </c>
      <c r="M878" s="66">
        <v>714000</v>
      </c>
      <c r="N878" s="66">
        <v>656880</v>
      </c>
      <c r="O878" s="13" t="s">
        <v>277</v>
      </c>
    </row>
    <row r="879" spans="1:15" x14ac:dyDescent="0.3">
      <c r="A879" s="20" t="s">
        <v>643</v>
      </c>
      <c r="B879" s="10" t="s">
        <v>63</v>
      </c>
      <c r="C879" s="32" t="s">
        <v>253</v>
      </c>
      <c r="D879" s="32" t="s">
        <v>50</v>
      </c>
      <c r="E879" s="32" t="s">
        <v>40</v>
      </c>
      <c r="F879" s="32" t="s">
        <v>28</v>
      </c>
      <c r="G879" s="32" t="s">
        <v>56</v>
      </c>
      <c r="H879" s="41">
        <v>45872</v>
      </c>
      <c r="I879" s="70">
        <v>273</v>
      </c>
      <c r="J879" s="70">
        <v>750</v>
      </c>
      <c r="K879" s="71">
        <v>0.14000000000000001</v>
      </c>
      <c r="L879" s="10" t="s">
        <v>36</v>
      </c>
      <c r="M879" s="72">
        <v>204750</v>
      </c>
      <c r="N879" s="72">
        <v>176085</v>
      </c>
      <c r="O879" s="12" t="s">
        <v>267</v>
      </c>
    </row>
    <row r="880" spans="1:15" x14ac:dyDescent="0.3">
      <c r="A880" s="20" t="s">
        <v>644</v>
      </c>
      <c r="B880" s="11" t="s">
        <v>58</v>
      </c>
      <c r="C880" s="30" t="s">
        <v>255</v>
      </c>
      <c r="D880" s="30" t="s">
        <v>59</v>
      </c>
      <c r="E880" s="30" t="s">
        <v>51</v>
      </c>
      <c r="F880" s="30" t="s">
        <v>34</v>
      </c>
      <c r="G880" s="30" t="s">
        <v>29</v>
      </c>
      <c r="H880" s="39">
        <v>45872</v>
      </c>
      <c r="I880" s="64">
        <v>332</v>
      </c>
      <c r="J880" s="64">
        <v>2800</v>
      </c>
      <c r="K880" s="65">
        <v>7.0000000000000007E-2</v>
      </c>
      <c r="L880" s="11" t="s">
        <v>36</v>
      </c>
      <c r="M880" s="66">
        <v>929600</v>
      </c>
      <c r="N880" s="66">
        <v>864528</v>
      </c>
      <c r="O880" s="13" t="s">
        <v>277</v>
      </c>
    </row>
    <row r="881" spans="1:15" x14ac:dyDescent="0.3">
      <c r="A881" s="20" t="s">
        <v>645</v>
      </c>
      <c r="B881" s="10" t="s">
        <v>262</v>
      </c>
      <c r="C881" s="32" t="s">
        <v>263</v>
      </c>
      <c r="D881" s="32" t="s">
        <v>50</v>
      </c>
      <c r="E881" s="32" t="s">
        <v>33</v>
      </c>
      <c r="F881" s="32" t="s">
        <v>46</v>
      </c>
      <c r="G881" s="32" t="s">
        <v>42</v>
      </c>
      <c r="H881" s="41">
        <v>45872</v>
      </c>
      <c r="I881" s="70">
        <v>342</v>
      </c>
      <c r="J881" s="70">
        <v>820</v>
      </c>
      <c r="K881" s="71">
        <v>0</v>
      </c>
      <c r="L881" s="10" t="s">
        <v>36</v>
      </c>
      <c r="M881" s="72">
        <v>280440</v>
      </c>
      <c r="N881" s="72">
        <v>280440</v>
      </c>
      <c r="O881" s="12" t="s">
        <v>267</v>
      </c>
    </row>
    <row r="882" spans="1:15" x14ac:dyDescent="0.3">
      <c r="A882" s="20" t="s">
        <v>646</v>
      </c>
      <c r="B882" s="11" t="s">
        <v>32</v>
      </c>
      <c r="C882" s="30" t="s">
        <v>246</v>
      </c>
      <c r="D882" s="30" t="s">
        <v>26</v>
      </c>
      <c r="E882" s="30" t="s">
        <v>51</v>
      </c>
      <c r="F882" s="30" t="s">
        <v>52</v>
      </c>
      <c r="G882" s="30" t="s">
        <v>29</v>
      </c>
      <c r="H882" s="39">
        <v>45873</v>
      </c>
      <c r="I882" s="64">
        <v>287</v>
      </c>
      <c r="J882" s="64">
        <v>420</v>
      </c>
      <c r="K882" s="65">
        <v>0.14000000000000001</v>
      </c>
      <c r="L882" s="11" t="s">
        <v>36</v>
      </c>
      <c r="M882" s="66">
        <v>120540</v>
      </c>
      <c r="N882" s="66">
        <v>103664.4</v>
      </c>
      <c r="O882" s="13" t="s">
        <v>267</v>
      </c>
    </row>
    <row r="883" spans="1:15" x14ac:dyDescent="0.3">
      <c r="A883" s="20" t="s">
        <v>647</v>
      </c>
      <c r="B883" s="10" t="s">
        <v>61</v>
      </c>
      <c r="C883" s="32" t="s">
        <v>244</v>
      </c>
      <c r="D883" s="32" t="s">
        <v>26</v>
      </c>
      <c r="E883" s="32" t="s">
        <v>51</v>
      </c>
      <c r="F883" s="32" t="s">
        <v>52</v>
      </c>
      <c r="G883" s="32" t="s">
        <v>56</v>
      </c>
      <c r="H883" s="41">
        <v>45874</v>
      </c>
      <c r="I883" s="70">
        <v>462</v>
      </c>
      <c r="J883" s="70">
        <v>280</v>
      </c>
      <c r="K883" s="71">
        <v>0.15</v>
      </c>
      <c r="L883" s="10" t="s">
        <v>36</v>
      </c>
      <c r="M883" s="72">
        <v>129360</v>
      </c>
      <c r="N883" s="72">
        <v>109956</v>
      </c>
      <c r="O883" s="12" t="s">
        <v>267</v>
      </c>
    </row>
    <row r="884" spans="1:15" x14ac:dyDescent="0.3">
      <c r="A884" s="20" t="s">
        <v>648</v>
      </c>
      <c r="B884" s="11" t="s">
        <v>38</v>
      </c>
      <c r="C884" s="30" t="s">
        <v>247</v>
      </c>
      <c r="D884" s="30" t="s">
        <v>39</v>
      </c>
      <c r="E884" s="30" t="s">
        <v>40</v>
      </c>
      <c r="F884" s="30" t="s">
        <v>46</v>
      </c>
      <c r="G884" s="30" t="s">
        <v>56</v>
      </c>
      <c r="H884" s="39">
        <v>45874</v>
      </c>
      <c r="I884" s="64">
        <v>175</v>
      </c>
      <c r="J884" s="64">
        <v>1200</v>
      </c>
      <c r="K884" s="65">
        <v>0.12</v>
      </c>
      <c r="L884" s="11" t="s">
        <v>30</v>
      </c>
      <c r="M884" s="66">
        <v>210000</v>
      </c>
      <c r="N884" s="66">
        <v>184800</v>
      </c>
      <c r="O884" s="13" t="s">
        <v>267</v>
      </c>
    </row>
    <row r="885" spans="1:15" x14ac:dyDescent="0.3">
      <c r="A885" s="20" t="s">
        <v>649</v>
      </c>
      <c r="B885" s="10" t="s">
        <v>49</v>
      </c>
      <c r="C885" s="32" t="s">
        <v>251</v>
      </c>
      <c r="D885" s="32" t="s">
        <v>50</v>
      </c>
      <c r="E885" s="32" t="s">
        <v>40</v>
      </c>
      <c r="F885" s="32" t="s">
        <v>46</v>
      </c>
      <c r="G885" s="32" t="s">
        <v>29</v>
      </c>
      <c r="H885" s="41">
        <v>45876</v>
      </c>
      <c r="I885" s="70">
        <v>261</v>
      </c>
      <c r="J885" s="70">
        <v>895</v>
      </c>
      <c r="K885" s="71">
        <v>0.03</v>
      </c>
      <c r="L885" s="10" t="s">
        <v>36</v>
      </c>
      <c r="M885" s="72">
        <v>233595</v>
      </c>
      <c r="N885" s="72">
        <v>226587.15</v>
      </c>
      <c r="O885" s="12" t="s">
        <v>267</v>
      </c>
    </row>
    <row r="886" spans="1:15" x14ac:dyDescent="0.3">
      <c r="A886" s="20" t="s">
        <v>650</v>
      </c>
      <c r="B886" s="11" t="s">
        <v>32</v>
      </c>
      <c r="C886" s="30" t="s">
        <v>246</v>
      </c>
      <c r="D886" s="30" t="s">
        <v>26</v>
      </c>
      <c r="E886" s="30" t="s">
        <v>51</v>
      </c>
      <c r="F886" s="30" t="s">
        <v>34</v>
      </c>
      <c r="G886" s="30" t="s">
        <v>53</v>
      </c>
      <c r="H886" s="39">
        <v>45878</v>
      </c>
      <c r="I886" s="64">
        <v>397</v>
      </c>
      <c r="J886" s="64">
        <v>420</v>
      </c>
      <c r="K886" s="65">
        <v>0.14000000000000001</v>
      </c>
      <c r="L886" s="11" t="s">
        <v>36</v>
      </c>
      <c r="M886" s="66">
        <v>166740</v>
      </c>
      <c r="N886" s="66">
        <v>143396.4</v>
      </c>
      <c r="O886" s="13" t="s">
        <v>267</v>
      </c>
    </row>
    <row r="887" spans="1:15" x14ac:dyDescent="0.3">
      <c r="A887" s="20" t="s">
        <v>651</v>
      </c>
      <c r="B887" s="10" t="s">
        <v>61</v>
      </c>
      <c r="C887" s="32" t="s">
        <v>244</v>
      </c>
      <c r="D887" s="32" t="s">
        <v>26</v>
      </c>
      <c r="E887" s="32" t="s">
        <v>45</v>
      </c>
      <c r="F887" s="32" t="s">
        <v>34</v>
      </c>
      <c r="G887" s="32" t="s">
        <v>53</v>
      </c>
      <c r="H887" s="41">
        <v>45878</v>
      </c>
      <c r="I887" s="70">
        <v>161</v>
      </c>
      <c r="J887" s="70">
        <v>280</v>
      </c>
      <c r="K887" s="71">
        <v>0.08</v>
      </c>
      <c r="L887" s="10" t="s">
        <v>36</v>
      </c>
      <c r="M887" s="72">
        <v>45080</v>
      </c>
      <c r="N887" s="72">
        <v>41473.599999999999</v>
      </c>
      <c r="O887" s="12" t="s">
        <v>265</v>
      </c>
    </row>
    <row r="888" spans="1:15" x14ac:dyDescent="0.3">
      <c r="A888" s="20" t="s">
        <v>652</v>
      </c>
      <c r="B888" s="11" t="s">
        <v>49</v>
      </c>
      <c r="C888" s="30" t="s">
        <v>251</v>
      </c>
      <c r="D888" s="30" t="s">
        <v>50</v>
      </c>
      <c r="E888" s="30" t="s">
        <v>40</v>
      </c>
      <c r="F888" s="30" t="s">
        <v>46</v>
      </c>
      <c r="G888" s="30" t="s">
        <v>29</v>
      </c>
      <c r="H888" s="39">
        <v>45878</v>
      </c>
      <c r="I888" s="64">
        <v>73</v>
      </c>
      <c r="J888" s="64">
        <v>895</v>
      </c>
      <c r="K888" s="65">
        <v>0.15</v>
      </c>
      <c r="L888" s="11" t="s">
        <v>30</v>
      </c>
      <c r="M888" s="66">
        <v>65335</v>
      </c>
      <c r="N888" s="66">
        <v>55534.75</v>
      </c>
      <c r="O888" s="13" t="s">
        <v>265</v>
      </c>
    </row>
    <row r="889" spans="1:15" x14ac:dyDescent="0.3">
      <c r="A889" s="20" t="s">
        <v>653</v>
      </c>
      <c r="B889" s="10" t="s">
        <v>49</v>
      </c>
      <c r="C889" s="32" t="s">
        <v>251</v>
      </c>
      <c r="D889" s="32" t="s">
        <v>50</v>
      </c>
      <c r="E889" s="32" t="s">
        <v>51</v>
      </c>
      <c r="F889" s="32" t="s">
        <v>41</v>
      </c>
      <c r="G889" s="32" t="s">
        <v>29</v>
      </c>
      <c r="H889" s="41">
        <v>45879</v>
      </c>
      <c r="I889" s="70">
        <v>145</v>
      </c>
      <c r="J889" s="70">
        <v>895</v>
      </c>
      <c r="K889" s="71">
        <v>0.03</v>
      </c>
      <c r="L889" s="10" t="s">
        <v>36</v>
      </c>
      <c r="M889" s="72">
        <v>129775</v>
      </c>
      <c r="N889" s="72">
        <v>125881.75</v>
      </c>
      <c r="O889" s="12" t="s">
        <v>267</v>
      </c>
    </row>
    <row r="890" spans="1:15" x14ac:dyDescent="0.3">
      <c r="A890" s="20" t="s">
        <v>654</v>
      </c>
      <c r="B890" s="11" t="s">
        <v>55</v>
      </c>
      <c r="C890" s="30" t="s">
        <v>249</v>
      </c>
      <c r="D890" s="30" t="s">
        <v>39</v>
      </c>
      <c r="E890" s="30" t="s">
        <v>27</v>
      </c>
      <c r="F890" s="30" t="s">
        <v>28</v>
      </c>
      <c r="G890" s="30" t="s">
        <v>42</v>
      </c>
      <c r="H890" s="39">
        <v>45879</v>
      </c>
      <c r="I890" s="64">
        <v>291</v>
      </c>
      <c r="J890" s="64">
        <v>650</v>
      </c>
      <c r="K890" s="65">
        <v>0.11</v>
      </c>
      <c r="L890" s="11" t="s">
        <v>30</v>
      </c>
      <c r="M890" s="66">
        <v>189150</v>
      </c>
      <c r="N890" s="66">
        <v>168343.5</v>
      </c>
      <c r="O890" s="13" t="s">
        <v>267</v>
      </c>
    </row>
    <row r="891" spans="1:15" x14ac:dyDescent="0.3">
      <c r="A891" s="20" t="s">
        <v>655</v>
      </c>
      <c r="B891" s="10" t="s">
        <v>260</v>
      </c>
      <c r="C891" s="32" t="s">
        <v>261</v>
      </c>
      <c r="D891" s="32" t="s">
        <v>39</v>
      </c>
      <c r="E891" s="32" t="s">
        <v>45</v>
      </c>
      <c r="F891" s="32" t="s">
        <v>28</v>
      </c>
      <c r="G891" s="32" t="s">
        <v>35</v>
      </c>
      <c r="H891" s="41">
        <v>45879</v>
      </c>
      <c r="I891" s="70">
        <v>330</v>
      </c>
      <c r="J891" s="70">
        <v>450</v>
      </c>
      <c r="K891" s="71">
        <v>0</v>
      </c>
      <c r="L891" s="10" t="s">
        <v>36</v>
      </c>
      <c r="M891" s="72">
        <v>148500</v>
      </c>
      <c r="N891" s="72">
        <v>148500</v>
      </c>
      <c r="O891" s="12" t="s">
        <v>267</v>
      </c>
    </row>
    <row r="892" spans="1:15" x14ac:dyDescent="0.3">
      <c r="A892" s="20" t="s">
        <v>656</v>
      </c>
      <c r="B892" s="11" t="s">
        <v>25</v>
      </c>
      <c r="C892" s="30" t="s">
        <v>257</v>
      </c>
      <c r="D892" s="30" t="s">
        <v>26</v>
      </c>
      <c r="E892" s="30" t="s">
        <v>40</v>
      </c>
      <c r="F892" s="30" t="s">
        <v>46</v>
      </c>
      <c r="G892" s="30" t="s">
        <v>42</v>
      </c>
      <c r="H892" s="39">
        <v>45880</v>
      </c>
      <c r="I892" s="64">
        <v>57</v>
      </c>
      <c r="J892" s="64">
        <v>350</v>
      </c>
      <c r="K892" s="65">
        <v>0.14000000000000001</v>
      </c>
      <c r="L892" s="11" t="s">
        <v>36</v>
      </c>
      <c r="M892" s="66">
        <v>19950</v>
      </c>
      <c r="N892" s="66">
        <v>17157</v>
      </c>
      <c r="O892" s="13" t="s">
        <v>265</v>
      </c>
    </row>
    <row r="893" spans="1:15" x14ac:dyDescent="0.3">
      <c r="A893" s="20" t="s">
        <v>657</v>
      </c>
      <c r="B893" s="10" t="s">
        <v>61</v>
      </c>
      <c r="C893" s="32" t="s">
        <v>244</v>
      </c>
      <c r="D893" s="32" t="s">
        <v>26</v>
      </c>
      <c r="E893" s="32" t="s">
        <v>51</v>
      </c>
      <c r="F893" s="32" t="s">
        <v>46</v>
      </c>
      <c r="G893" s="32" t="s">
        <v>56</v>
      </c>
      <c r="H893" s="41">
        <v>45881</v>
      </c>
      <c r="I893" s="70">
        <v>343</v>
      </c>
      <c r="J893" s="70">
        <v>280</v>
      </c>
      <c r="K893" s="71">
        <v>0.05</v>
      </c>
      <c r="L893" s="10" t="s">
        <v>36</v>
      </c>
      <c r="M893" s="72">
        <v>96040</v>
      </c>
      <c r="N893" s="72">
        <v>91238</v>
      </c>
      <c r="O893" s="12" t="s">
        <v>265</v>
      </c>
    </row>
    <row r="894" spans="1:15" x14ac:dyDescent="0.3">
      <c r="A894" s="20" t="s">
        <v>658</v>
      </c>
      <c r="B894" s="11" t="s">
        <v>44</v>
      </c>
      <c r="C894" s="30" t="s">
        <v>254</v>
      </c>
      <c r="D894" s="30" t="s">
        <v>39</v>
      </c>
      <c r="E894" s="30" t="s">
        <v>45</v>
      </c>
      <c r="F894" s="30" t="s">
        <v>34</v>
      </c>
      <c r="G894" s="30" t="s">
        <v>47</v>
      </c>
      <c r="H894" s="39">
        <v>45881</v>
      </c>
      <c r="I894" s="64">
        <v>428</v>
      </c>
      <c r="J894" s="64">
        <v>200</v>
      </c>
      <c r="K894" s="65">
        <v>0.14000000000000001</v>
      </c>
      <c r="L894" s="11" t="s">
        <v>30</v>
      </c>
      <c r="M894" s="66">
        <v>85600</v>
      </c>
      <c r="N894" s="66">
        <v>73616</v>
      </c>
      <c r="O894" s="13" t="s">
        <v>265</v>
      </c>
    </row>
    <row r="895" spans="1:15" x14ac:dyDescent="0.3">
      <c r="A895" s="20" t="s">
        <v>659</v>
      </c>
      <c r="B895" s="10" t="s">
        <v>58</v>
      </c>
      <c r="C895" s="32" t="s">
        <v>255</v>
      </c>
      <c r="D895" s="32" t="s">
        <v>59</v>
      </c>
      <c r="E895" s="32" t="s">
        <v>45</v>
      </c>
      <c r="F895" s="32" t="s">
        <v>41</v>
      </c>
      <c r="G895" s="32" t="s">
        <v>35</v>
      </c>
      <c r="H895" s="41">
        <v>45881</v>
      </c>
      <c r="I895" s="70">
        <v>165</v>
      </c>
      <c r="J895" s="70">
        <v>2800</v>
      </c>
      <c r="K895" s="71">
        <v>0.05</v>
      </c>
      <c r="L895" s="10" t="s">
        <v>30</v>
      </c>
      <c r="M895" s="72">
        <v>462000</v>
      </c>
      <c r="N895" s="72">
        <v>438900</v>
      </c>
      <c r="O895" s="12" t="s">
        <v>277</v>
      </c>
    </row>
    <row r="896" spans="1:15" x14ac:dyDescent="0.3">
      <c r="A896" s="20" t="s">
        <v>660</v>
      </c>
      <c r="B896" s="11" t="s">
        <v>58</v>
      </c>
      <c r="C896" s="30" t="s">
        <v>255</v>
      </c>
      <c r="D896" s="30" t="s">
        <v>59</v>
      </c>
      <c r="E896" s="30" t="s">
        <v>45</v>
      </c>
      <c r="F896" s="30" t="s">
        <v>28</v>
      </c>
      <c r="G896" s="30" t="s">
        <v>29</v>
      </c>
      <c r="H896" s="39">
        <v>45882</v>
      </c>
      <c r="I896" s="64">
        <v>329</v>
      </c>
      <c r="J896" s="64">
        <v>2800</v>
      </c>
      <c r="K896" s="65">
        <v>0.15</v>
      </c>
      <c r="L896" s="11" t="s">
        <v>36</v>
      </c>
      <c r="M896" s="66">
        <v>921200</v>
      </c>
      <c r="N896" s="66">
        <v>783020</v>
      </c>
      <c r="O896" s="13" t="s">
        <v>277</v>
      </c>
    </row>
    <row r="897" spans="1:15" x14ac:dyDescent="0.3">
      <c r="A897" s="20" t="s">
        <v>661</v>
      </c>
      <c r="B897" s="10" t="s">
        <v>44</v>
      </c>
      <c r="C897" s="32" t="s">
        <v>254</v>
      </c>
      <c r="D897" s="32" t="s">
        <v>39</v>
      </c>
      <c r="E897" s="32" t="s">
        <v>51</v>
      </c>
      <c r="F897" s="32" t="s">
        <v>46</v>
      </c>
      <c r="G897" s="32" t="s">
        <v>47</v>
      </c>
      <c r="H897" s="41">
        <v>45885</v>
      </c>
      <c r="I897" s="70">
        <v>303</v>
      </c>
      <c r="J897" s="70">
        <v>200</v>
      </c>
      <c r="K897" s="71">
        <v>0</v>
      </c>
      <c r="L897" s="10" t="s">
        <v>36</v>
      </c>
      <c r="M897" s="72">
        <v>60600</v>
      </c>
      <c r="N897" s="72">
        <v>60600</v>
      </c>
      <c r="O897" s="12" t="s">
        <v>265</v>
      </c>
    </row>
    <row r="898" spans="1:15" x14ac:dyDescent="0.3">
      <c r="A898" s="20" t="s">
        <v>662</v>
      </c>
      <c r="B898" s="11" t="s">
        <v>58</v>
      </c>
      <c r="C898" s="30" t="s">
        <v>255</v>
      </c>
      <c r="D898" s="30" t="s">
        <v>59</v>
      </c>
      <c r="E898" s="30" t="s">
        <v>33</v>
      </c>
      <c r="F898" s="30" t="s">
        <v>41</v>
      </c>
      <c r="G898" s="30" t="s">
        <v>42</v>
      </c>
      <c r="H898" s="39">
        <v>45885</v>
      </c>
      <c r="I898" s="64">
        <v>21</v>
      </c>
      <c r="J898" s="64">
        <v>2800</v>
      </c>
      <c r="K898" s="65">
        <v>0</v>
      </c>
      <c r="L898" s="11" t="s">
        <v>36</v>
      </c>
      <c r="M898" s="66">
        <v>58800</v>
      </c>
      <c r="N898" s="66">
        <v>58800</v>
      </c>
      <c r="O898" s="13" t="s">
        <v>265</v>
      </c>
    </row>
    <row r="899" spans="1:15" x14ac:dyDescent="0.3">
      <c r="A899" s="20" t="s">
        <v>663</v>
      </c>
      <c r="B899" s="10" t="s">
        <v>38</v>
      </c>
      <c r="C899" s="32" t="s">
        <v>247</v>
      </c>
      <c r="D899" s="32" t="s">
        <v>39</v>
      </c>
      <c r="E899" s="32" t="s">
        <v>27</v>
      </c>
      <c r="F899" s="32" t="s">
        <v>28</v>
      </c>
      <c r="G899" s="32" t="s">
        <v>56</v>
      </c>
      <c r="H899" s="41">
        <v>45885</v>
      </c>
      <c r="I899" s="70">
        <v>195</v>
      </c>
      <c r="J899" s="70">
        <v>1200</v>
      </c>
      <c r="K899" s="71">
        <v>7.0000000000000007E-2</v>
      </c>
      <c r="L899" s="10" t="s">
        <v>30</v>
      </c>
      <c r="M899" s="72">
        <v>234000</v>
      </c>
      <c r="N899" s="72">
        <v>217620</v>
      </c>
      <c r="O899" s="12" t="s">
        <v>267</v>
      </c>
    </row>
    <row r="900" spans="1:15" x14ac:dyDescent="0.3">
      <c r="A900" s="20" t="s">
        <v>664</v>
      </c>
      <c r="B900" s="11" t="s">
        <v>49</v>
      </c>
      <c r="C900" s="30" t="s">
        <v>251</v>
      </c>
      <c r="D900" s="30" t="s">
        <v>50</v>
      </c>
      <c r="E900" s="30" t="s">
        <v>45</v>
      </c>
      <c r="F900" s="30" t="s">
        <v>34</v>
      </c>
      <c r="G900" s="30" t="s">
        <v>29</v>
      </c>
      <c r="H900" s="39">
        <v>45887</v>
      </c>
      <c r="I900" s="64">
        <v>126</v>
      </c>
      <c r="J900" s="64">
        <v>895</v>
      </c>
      <c r="K900" s="65">
        <v>0.15</v>
      </c>
      <c r="L900" s="11" t="s">
        <v>30</v>
      </c>
      <c r="M900" s="66">
        <v>112770</v>
      </c>
      <c r="N900" s="66">
        <v>95854.5</v>
      </c>
      <c r="O900" s="13" t="s">
        <v>265</v>
      </c>
    </row>
    <row r="901" spans="1:15" x14ac:dyDescent="0.3">
      <c r="A901" s="20" t="s">
        <v>665</v>
      </c>
      <c r="B901" s="10" t="s">
        <v>44</v>
      </c>
      <c r="C901" s="32" t="s">
        <v>254</v>
      </c>
      <c r="D901" s="32" t="s">
        <v>39</v>
      </c>
      <c r="E901" s="32" t="s">
        <v>40</v>
      </c>
      <c r="F901" s="32" t="s">
        <v>46</v>
      </c>
      <c r="G901" s="32" t="s">
        <v>29</v>
      </c>
      <c r="H901" s="41">
        <v>45887</v>
      </c>
      <c r="I901" s="70">
        <v>183</v>
      </c>
      <c r="J901" s="70">
        <v>200</v>
      </c>
      <c r="K901" s="71">
        <v>0.13</v>
      </c>
      <c r="L901" s="10" t="s">
        <v>36</v>
      </c>
      <c r="M901" s="72">
        <v>36600</v>
      </c>
      <c r="N901" s="72">
        <v>31842</v>
      </c>
      <c r="O901" s="12" t="s">
        <v>265</v>
      </c>
    </row>
    <row r="902" spans="1:15" x14ac:dyDescent="0.3">
      <c r="A902" s="20" t="s">
        <v>666</v>
      </c>
      <c r="B902" s="11" t="s">
        <v>260</v>
      </c>
      <c r="C902" s="30" t="s">
        <v>261</v>
      </c>
      <c r="D902" s="30" t="s">
        <v>39</v>
      </c>
      <c r="E902" s="30" t="s">
        <v>45</v>
      </c>
      <c r="F902" s="30" t="s">
        <v>41</v>
      </c>
      <c r="G902" s="30" t="s">
        <v>42</v>
      </c>
      <c r="H902" s="39">
        <v>45888</v>
      </c>
      <c r="I902" s="64">
        <v>218</v>
      </c>
      <c r="J902" s="64">
        <v>450</v>
      </c>
      <c r="K902" s="65">
        <v>0.11</v>
      </c>
      <c r="L902" s="11" t="s">
        <v>30</v>
      </c>
      <c r="M902" s="66">
        <v>98100</v>
      </c>
      <c r="N902" s="66">
        <v>87309</v>
      </c>
      <c r="O902" s="13" t="s">
        <v>265</v>
      </c>
    </row>
    <row r="903" spans="1:15" x14ac:dyDescent="0.3">
      <c r="A903" s="20" t="s">
        <v>667</v>
      </c>
      <c r="B903" s="10" t="s">
        <v>32</v>
      </c>
      <c r="C903" s="32" t="s">
        <v>246</v>
      </c>
      <c r="D903" s="32" t="s">
        <v>26</v>
      </c>
      <c r="E903" s="32" t="s">
        <v>40</v>
      </c>
      <c r="F903" s="32" t="s">
        <v>52</v>
      </c>
      <c r="G903" s="32" t="s">
        <v>56</v>
      </c>
      <c r="H903" s="41">
        <v>45889</v>
      </c>
      <c r="I903" s="70">
        <v>404</v>
      </c>
      <c r="J903" s="70">
        <v>420</v>
      </c>
      <c r="K903" s="71">
        <v>0.11</v>
      </c>
      <c r="L903" s="10" t="s">
        <v>30</v>
      </c>
      <c r="M903" s="72">
        <v>169680</v>
      </c>
      <c r="N903" s="72">
        <v>151015.20000000001</v>
      </c>
      <c r="O903" s="12" t="s">
        <v>267</v>
      </c>
    </row>
    <row r="904" spans="1:15" x14ac:dyDescent="0.3">
      <c r="A904" s="20" t="s">
        <v>668</v>
      </c>
      <c r="B904" s="11" t="s">
        <v>61</v>
      </c>
      <c r="C904" s="30" t="s">
        <v>244</v>
      </c>
      <c r="D904" s="30" t="s">
        <v>26</v>
      </c>
      <c r="E904" s="30" t="s">
        <v>27</v>
      </c>
      <c r="F904" s="30" t="s">
        <v>41</v>
      </c>
      <c r="G904" s="30" t="s">
        <v>35</v>
      </c>
      <c r="H904" s="39">
        <v>45890</v>
      </c>
      <c r="I904" s="64">
        <v>101</v>
      </c>
      <c r="J904" s="64">
        <v>280</v>
      </c>
      <c r="K904" s="65">
        <v>0.11</v>
      </c>
      <c r="L904" s="11" t="s">
        <v>36</v>
      </c>
      <c r="M904" s="66">
        <v>28280</v>
      </c>
      <c r="N904" s="66">
        <v>25169.200000000001</v>
      </c>
      <c r="O904" s="13" t="s">
        <v>265</v>
      </c>
    </row>
    <row r="905" spans="1:15" x14ac:dyDescent="0.3">
      <c r="A905" s="20" t="s">
        <v>669</v>
      </c>
      <c r="B905" s="10" t="s">
        <v>25</v>
      </c>
      <c r="C905" s="32" t="s">
        <v>257</v>
      </c>
      <c r="D905" s="32" t="s">
        <v>26</v>
      </c>
      <c r="E905" s="32" t="s">
        <v>33</v>
      </c>
      <c r="F905" s="32" t="s">
        <v>28</v>
      </c>
      <c r="G905" s="32" t="s">
        <v>29</v>
      </c>
      <c r="H905" s="41">
        <v>45890</v>
      </c>
      <c r="I905" s="70">
        <v>130</v>
      </c>
      <c r="J905" s="70">
        <v>350</v>
      </c>
      <c r="K905" s="71">
        <v>7.0000000000000007E-2</v>
      </c>
      <c r="L905" s="10" t="s">
        <v>30</v>
      </c>
      <c r="M905" s="72">
        <v>45500</v>
      </c>
      <c r="N905" s="72">
        <v>42315</v>
      </c>
      <c r="O905" s="12" t="s">
        <v>265</v>
      </c>
    </row>
    <row r="906" spans="1:15" x14ac:dyDescent="0.3">
      <c r="A906" s="20" t="s">
        <v>670</v>
      </c>
      <c r="B906" s="11" t="s">
        <v>38</v>
      </c>
      <c r="C906" s="30" t="s">
        <v>247</v>
      </c>
      <c r="D906" s="30" t="s">
        <v>39</v>
      </c>
      <c r="E906" s="30" t="s">
        <v>33</v>
      </c>
      <c r="F906" s="30" t="s">
        <v>34</v>
      </c>
      <c r="G906" s="30" t="s">
        <v>29</v>
      </c>
      <c r="H906" s="39">
        <v>45892</v>
      </c>
      <c r="I906" s="64">
        <v>276</v>
      </c>
      <c r="J906" s="64">
        <v>1200</v>
      </c>
      <c r="K906" s="65">
        <v>0.15</v>
      </c>
      <c r="L906" s="11" t="s">
        <v>36</v>
      </c>
      <c r="M906" s="66">
        <v>331200</v>
      </c>
      <c r="N906" s="66">
        <v>281520</v>
      </c>
      <c r="O906" s="13" t="s">
        <v>267</v>
      </c>
    </row>
    <row r="907" spans="1:15" x14ac:dyDescent="0.3">
      <c r="A907" s="20" t="s">
        <v>671</v>
      </c>
      <c r="B907" s="10" t="s">
        <v>63</v>
      </c>
      <c r="C907" s="32" t="s">
        <v>253</v>
      </c>
      <c r="D907" s="32" t="s">
        <v>50</v>
      </c>
      <c r="E907" s="32" t="s">
        <v>51</v>
      </c>
      <c r="F907" s="32" t="s">
        <v>41</v>
      </c>
      <c r="G907" s="32" t="s">
        <v>42</v>
      </c>
      <c r="H907" s="41">
        <v>45893</v>
      </c>
      <c r="I907" s="70">
        <v>234</v>
      </c>
      <c r="J907" s="70">
        <v>750</v>
      </c>
      <c r="K907" s="71">
        <v>0.08</v>
      </c>
      <c r="L907" s="10" t="s">
        <v>36</v>
      </c>
      <c r="M907" s="72">
        <v>175500</v>
      </c>
      <c r="N907" s="72">
        <v>161460</v>
      </c>
      <c r="O907" s="12" t="s">
        <v>267</v>
      </c>
    </row>
    <row r="908" spans="1:15" x14ac:dyDescent="0.3">
      <c r="A908" s="20" t="s">
        <v>672</v>
      </c>
      <c r="B908" s="11" t="s">
        <v>58</v>
      </c>
      <c r="C908" s="30" t="s">
        <v>255</v>
      </c>
      <c r="D908" s="30" t="s">
        <v>59</v>
      </c>
      <c r="E908" s="30" t="s">
        <v>51</v>
      </c>
      <c r="F908" s="30" t="s">
        <v>41</v>
      </c>
      <c r="G908" s="30" t="s">
        <v>35</v>
      </c>
      <c r="H908" s="39">
        <v>45893</v>
      </c>
      <c r="I908" s="64">
        <v>316</v>
      </c>
      <c r="J908" s="64">
        <v>2800</v>
      </c>
      <c r="K908" s="65">
        <v>7.0000000000000007E-2</v>
      </c>
      <c r="L908" s="11" t="s">
        <v>30</v>
      </c>
      <c r="M908" s="66">
        <v>884800</v>
      </c>
      <c r="N908" s="66">
        <v>822864</v>
      </c>
      <c r="O908" s="13" t="s">
        <v>277</v>
      </c>
    </row>
    <row r="909" spans="1:15" x14ac:dyDescent="0.3">
      <c r="A909" s="20" t="s">
        <v>673</v>
      </c>
      <c r="B909" s="10" t="s">
        <v>44</v>
      </c>
      <c r="C909" s="32" t="s">
        <v>254</v>
      </c>
      <c r="D909" s="32" t="s">
        <v>39</v>
      </c>
      <c r="E909" s="32" t="s">
        <v>40</v>
      </c>
      <c r="F909" s="32" t="s">
        <v>34</v>
      </c>
      <c r="G909" s="32" t="s">
        <v>35</v>
      </c>
      <c r="H909" s="41">
        <v>45893</v>
      </c>
      <c r="I909" s="70">
        <v>301</v>
      </c>
      <c r="J909" s="70">
        <v>200</v>
      </c>
      <c r="K909" s="71">
        <v>0.05</v>
      </c>
      <c r="L909" s="10" t="s">
        <v>36</v>
      </c>
      <c r="M909" s="72">
        <v>60200</v>
      </c>
      <c r="N909" s="72">
        <v>57190</v>
      </c>
      <c r="O909" s="12" t="s">
        <v>265</v>
      </c>
    </row>
    <row r="910" spans="1:15" x14ac:dyDescent="0.3">
      <c r="A910" s="20" t="s">
        <v>674</v>
      </c>
      <c r="B910" s="11" t="s">
        <v>38</v>
      </c>
      <c r="C910" s="30" t="s">
        <v>247</v>
      </c>
      <c r="D910" s="30" t="s">
        <v>39</v>
      </c>
      <c r="E910" s="30" t="s">
        <v>33</v>
      </c>
      <c r="F910" s="30" t="s">
        <v>52</v>
      </c>
      <c r="G910" s="30" t="s">
        <v>56</v>
      </c>
      <c r="H910" s="39">
        <v>45894</v>
      </c>
      <c r="I910" s="64">
        <v>90</v>
      </c>
      <c r="J910" s="64">
        <v>1200</v>
      </c>
      <c r="K910" s="65">
        <v>0.03</v>
      </c>
      <c r="L910" s="11" t="s">
        <v>30</v>
      </c>
      <c r="M910" s="66">
        <v>108000</v>
      </c>
      <c r="N910" s="66">
        <v>104760</v>
      </c>
      <c r="O910" s="13" t="s">
        <v>267</v>
      </c>
    </row>
    <row r="911" spans="1:15" x14ac:dyDescent="0.3">
      <c r="A911" s="20" t="s">
        <v>675</v>
      </c>
      <c r="B911" s="10" t="s">
        <v>258</v>
      </c>
      <c r="C911" s="32" t="s">
        <v>259</v>
      </c>
      <c r="D911" s="32" t="s">
        <v>26</v>
      </c>
      <c r="E911" s="32" t="s">
        <v>40</v>
      </c>
      <c r="F911" s="32" t="s">
        <v>41</v>
      </c>
      <c r="G911" s="32" t="s">
        <v>42</v>
      </c>
      <c r="H911" s="41">
        <v>45896</v>
      </c>
      <c r="I911" s="70">
        <v>285</v>
      </c>
      <c r="J911" s="70">
        <v>680</v>
      </c>
      <c r="K911" s="71">
        <v>0.05</v>
      </c>
      <c r="L911" s="10" t="s">
        <v>36</v>
      </c>
      <c r="M911" s="72">
        <v>193800</v>
      </c>
      <c r="N911" s="72">
        <v>184110</v>
      </c>
      <c r="O911" s="12" t="s">
        <v>267</v>
      </c>
    </row>
    <row r="912" spans="1:15" x14ac:dyDescent="0.3">
      <c r="A912" s="20" t="s">
        <v>676</v>
      </c>
      <c r="B912" s="11" t="s">
        <v>49</v>
      </c>
      <c r="C912" s="30" t="s">
        <v>251</v>
      </c>
      <c r="D912" s="30" t="s">
        <v>50</v>
      </c>
      <c r="E912" s="30" t="s">
        <v>27</v>
      </c>
      <c r="F912" s="30" t="s">
        <v>28</v>
      </c>
      <c r="G912" s="30" t="s">
        <v>53</v>
      </c>
      <c r="H912" s="39">
        <v>45897</v>
      </c>
      <c r="I912" s="64">
        <v>30</v>
      </c>
      <c r="J912" s="64">
        <v>895</v>
      </c>
      <c r="K912" s="65">
        <v>0.12</v>
      </c>
      <c r="L912" s="11" t="s">
        <v>36</v>
      </c>
      <c r="M912" s="66">
        <v>26850</v>
      </c>
      <c r="N912" s="66">
        <v>23628</v>
      </c>
      <c r="O912" s="13" t="s">
        <v>265</v>
      </c>
    </row>
    <row r="913" spans="1:15" x14ac:dyDescent="0.3">
      <c r="A913" s="20" t="s">
        <v>677</v>
      </c>
      <c r="B913" s="10" t="s">
        <v>262</v>
      </c>
      <c r="C913" s="32" t="s">
        <v>263</v>
      </c>
      <c r="D913" s="32" t="s">
        <v>50</v>
      </c>
      <c r="E913" s="32" t="s">
        <v>40</v>
      </c>
      <c r="F913" s="32" t="s">
        <v>28</v>
      </c>
      <c r="G913" s="32" t="s">
        <v>29</v>
      </c>
      <c r="H913" s="41">
        <v>45898</v>
      </c>
      <c r="I913" s="70">
        <v>337</v>
      </c>
      <c r="J913" s="70">
        <v>820</v>
      </c>
      <c r="K913" s="71">
        <v>0.11</v>
      </c>
      <c r="L913" s="10" t="s">
        <v>30</v>
      </c>
      <c r="M913" s="72">
        <v>276340</v>
      </c>
      <c r="N913" s="72">
        <v>245942.6</v>
      </c>
      <c r="O913" s="12" t="s">
        <v>267</v>
      </c>
    </row>
    <row r="914" spans="1:15" x14ac:dyDescent="0.3">
      <c r="A914" s="20" t="s">
        <v>678</v>
      </c>
      <c r="B914" s="11" t="s">
        <v>55</v>
      </c>
      <c r="C914" s="30" t="s">
        <v>249</v>
      </c>
      <c r="D914" s="30" t="s">
        <v>39</v>
      </c>
      <c r="E914" s="30" t="s">
        <v>45</v>
      </c>
      <c r="F914" s="30" t="s">
        <v>46</v>
      </c>
      <c r="G914" s="30" t="s">
        <v>47</v>
      </c>
      <c r="H914" s="39">
        <v>45898</v>
      </c>
      <c r="I914" s="64">
        <v>203</v>
      </c>
      <c r="J914" s="64">
        <v>650</v>
      </c>
      <c r="K914" s="65">
        <v>0.13</v>
      </c>
      <c r="L914" s="11" t="s">
        <v>30</v>
      </c>
      <c r="M914" s="66">
        <v>131950</v>
      </c>
      <c r="N914" s="66">
        <v>114796.5</v>
      </c>
      <c r="O914" s="13" t="s">
        <v>267</v>
      </c>
    </row>
    <row r="915" spans="1:15" x14ac:dyDescent="0.3">
      <c r="A915" s="20" t="s">
        <v>679</v>
      </c>
      <c r="B915" s="10" t="s">
        <v>16</v>
      </c>
      <c r="C915" s="32" t="s">
        <v>250</v>
      </c>
      <c r="D915" s="32" t="s">
        <v>39</v>
      </c>
      <c r="E915" s="32" t="s">
        <v>51</v>
      </c>
      <c r="F915" s="32" t="s">
        <v>52</v>
      </c>
      <c r="G915" s="32" t="s">
        <v>53</v>
      </c>
      <c r="H915" s="41">
        <v>45899</v>
      </c>
      <c r="I915" s="70">
        <v>193</v>
      </c>
      <c r="J915" s="70">
        <v>990</v>
      </c>
      <c r="K915" s="71">
        <v>0.12</v>
      </c>
      <c r="L915" s="10" t="s">
        <v>36</v>
      </c>
      <c r="M915" s="72">
        <v>191070</v>
      </c>
      <c r="N915" s="72">
        <v>168141.6</v>
      </c>
      <c r="O915" s="12" t="s">
        <v>267</v>
      </c>
    </row>
    <row r="916" spans="1:15" x14ac:dyDescent="0.3">
      <c r="A916" s="20" t="s">
        <v>680</v>
      </c>
      <c r="B916" s="11" t="s">
        <v>55</v>
      </c>
      <c r="C916" s="30" t="s">
        <v>249</v>
      </c>
      <c r="D916" s="30" t="s">
        <v>39</v>
      </c>
      <c r="E916" s="30" t="s">
        <v>40</v>
      </c>
      <c r="F916" s="30" t="s">
        <v>41</v>
      </c>
      <c r="G916" s="30" t="s">
        <v>29</v>
      </c>
      <c r="H916" s="39">
        <v>45899</v>
      </c>
      <c r="I916" s="64">
        <v>357</v>
      </c>
      <c r="J916" s="64">
        <v>650</v>
      </c>
      <c r="K916" s="65">
        <v>0.03</v>
      </c>
      <c r="L916" s="11" t="s">
        <v>30</v>
      </c>
      <c r="M916" s="66">
        <v>232050</v>
      </c>
      <c r="N916" s="66">
        <v>225088.5</v>
      </c>
      <c r="O916" s="13" t="s">
        <v>267</v>
      </c>
    </row>
    <row r="917" spans="1:15" x14ac:dyDescent="0.3">
      <c r="A917" s="20" t="s">
        <v>681</v>
      </c>
      <c r="B917" s="10" t="s">
        <v>63</v>
      </c>
      <c r="C917" s="32" t="s">
        <v>253</v>
      </c>
      <c r="D917" s="32" t="s">
        <v>50</v>
      </c>
      <c r="E917" s="32" t="s">
        <v>45</v>
      </c>
      <c r="F917" s="32" t="s">
        <v>52</v>
      </c>
      <c r="G917" s="32" t="s">
        <v>53</v>
      </c>
      <c r="H917" s="41">
        <v>45900</v>
      </c>
      <c r="I917" s="70">
        <v>86</v>
      </c>
      <c r="J917" s="70">
        <v>750</v>
      </c>
      <c r="K917" s="71">
        <v>0.13</v>
      </c>
      <c r="L917" s="10" t="s">
        <v>36</v>
      </c>
      <c r="M917" s="72">
        <v>64500</v>
      </c>
      <c r="N917" s="72">
        <v>56115</v>
      </c>
      <c r="O917" s="12" t="s">
        <v>265</v>
      </c>
    </row>
    <row r="918" spans="1:15" x14ac:dyDescent="0.3">
      <c r="A918" s="20" t="s">
        <v>682</v>
      </c>
      <c r="B918" s="11" t="s">
        <v>262</v>
      </c>
      <c r="C918" s="30" t="s">
        <v>263</v>
      </c>
      <c r="D918" s="30" t="s">
        <v>50</v>
      </c>
      <c r="E918" s="30" t="s">
        <v>27</v>
      </c>
      <c r="F918" s="30" t="s">
        <v>46</v>
      </c>
      <c r="G918" s="30" t="s">
        <v>42</v>
      </c>
      <c r="H918" s="39">
        <v>45901</v>
      </c>
      <c r="I918" s="64">
        <v>168</v>
      </c>
      <c r="J918" s="64">
        <v>820</v>
      </c>
      <c r="K918" s="65">
        <v>0.05</v>
      </c>
      <c r="L918" s="11" t="s">
        <v>36</v>
      </c>
      <c r="M918" s="66">
        <v>137760</v>
      </c>
      <c r="N918" s="66">
        <v>130872</v>
      </c>
      <c r="O918" s="13" t="s">
        <v>267</v>
      </c>
    </row>
    <row r="919" spans="1:15" x14ac:dyDescent="0.3">
      <c r="A919" s="20" t="s">
        <v>683</v>
      </c>
      <c r="B919" s="10" t="s">
        <v>258</v>
      </c>
      <c r="C919" s="32" t="s">
        <v>259</v>
      </c>
      <c r="D919" s="32" t="s">
        <v>26</v>
      </c>
      <c r="E919" s="32" t="s">
        <v>51</v>
      </c>
      <c r="F919" s="32" t="s">
        <v>52</v>
      </c>
      <c r="G919" s="32" t="s">
        <v>35</v>
      </c>
      <c r="H919" s="41">
        <v>45901</v>
      </c>
      <c r="I919" s="70">
        <v>449</v>
      </c>
      <c r="J919" s="70">
        <v>680</v>
      </c>
      <c r="K919" s="71">
        <v>0.14000000000000001</v>
      </c>
      <c r="L919" s="10" t="s">
        <v>36</v>
      </c>
      <c r="M919" s="72">
        <v>305320</v>
      </c>
      <c r="N919" s="72">
        <v>262575.2</v>
      </c>
      <c r="O919" s="12" t="s">
        <v>267</v>
      </c>
    </row>
    <row r="920" spans="1:15" x14ac:dyDescent="0.3">
      <c r="A920" s="20" t="s">
        <v>684</v>
      </c>
      <c r="B920" s="11" t="s">
        <v>25</v>
      </c>
      <c r="C920" s="30" t="s">
        <v>257</v>
      </c>
      <c r="D920" s="30" t="s">
        <v>26</v>
      </c>
      <c r="E920" s="30" t="s">
        <v>40</v>
      </c>
      <c r="F920" s="30" t="s">
        <v>41</v>
      </c>
      <c r="G920" s="30" t="s">
        <v>47</v>
      </c>
      <c r="H920" s="39">
        <v>45903</v>
      </c>
      <c r="I920" s="64">
        <v>304</v>
      </c>
      <c r="J920" s="64">
        <v>350</v>
      </c>
      <c r="K920" s="65">
        <v>0.12</v>
      </c>
      <c r="L920" s="11" t="s">
        <v>30</v>
      </c>
      <c r="M920" s="66">
        <v>106400</v>
      </c>
      <c r="N920" s="66">
        <v>93632</v>
      </c>
      <c r="O920" s="13" t="s">
        <v>265</v>
      </c>
    </row>
    <row r="921" spans="1:15" x14ac:dyDescent="0.3">
      <c r="A921" s="20" t="s">
        <v>685</v>
      </c>
      <c r="B921" s="10" t="s">
        <v>44</v>
      </c>
      <c r="C921" s="32" t="s">
        <v>254</v>
      </c>
      <c r="D921" s="32" t="s">
        <v>39</v>
      </c>
      <c r="E921" s="32" t="s">
        <v>51</v>
      </c>
      <c r="F921" s="32" t="s">
        <v>28</v>
      </c>
      <c r="G921" s="32" t="s">
        <v>47</v>
      </c>
      <c r="H921" s="41">
        <v>45903</v>
      </c>
      <c r="I921" s="70">
        <v>345</v>
      </c>
      <c r="J921" s="70">
        <v>200</v>
      </c>
      <c r="K921" s="71">
        <v>0.12</v>
      </c>
      <c r="L921" s="10" t="s">
        <v>36</v>
      </c>
      <c r="M921" s="72">
        <v>69000</v>
      </c>
      <c r="N921" s="72">
        <v>60720</v>
      </c>
      <c r="O921" s="12" t="s">
        <v>265</v>
      </c>
    </row>
    <row r="922" spans="1:15" x14ac:dyDescent="0.3">
      <c r="A922" s="20" t="s">
        <v>686</v>
      </c>
      <c r="B922" s="11" t="s">
        <v>262</v>
      </c>
      <c r="C922" s="30" t="s">
        <v>263</v>
      </c>
      <c r="D922" s="30" t="s">
        <v>50</v>
      </c>
      <c r="E922" s="30" t="s">
        <v>45</v>
      </c>
      <c r="F922" s="30" t="s">
        <v>52</v>
      </c>
      <c r="G922" s="30" t="s">
        <v>42</v>
      </c>
      <c r="H922" s="39">
        <v>45904</v>
      </c>
      <c r="I922" s="64">
        <v>269</v>
      </c>
      <c r="J922" s="64">
        <v>820</v>
      </c>
      <c r="K922" s="65">
        <v>0.1</v>
      </c>
      <c r="L922" s="11" t="s">
        <v>30</v>
      </c>
      <c r="M922" s="66">
        <v>220580</v>
      </c>
      <c r="N922" s="66">
        <v>198522</v>
      </c>
      <c r="O922" s="13" t="s">
        <v>267</v>
      </c>
    </row>
    <row r="923" spans="1:15" x14ac:dyDescent="0.3">
      <c r="A923" s="20" t="s">
        <v>687</v>
      </c>
      <c r="B923" s="10" t="s">
        <v>16</v>
      </c>
      <c r="C923" s="32" t="s">
        <v>250</v>
      </c>
      <c r="D923" s="32" t="s">
        <v>39</v>
      </c>
      <c r="E923" s="32" t="s">
        <v>45</v>
      </c>
      <c r="F923" s="32" t="s">
        <v>28</v>
      </c>
      <c r="G923" s="32" t="s">
        <v>42</v>
      </c>
      <c r="H923" s="41">
        <v>45906</v>
      </c>
      <c r="I923" s="70">
        <v>328</v>
      </c>
      <c r="J923" s="70">
        <v>990</v>
      </c>
      <c r="K923" s="71">
        <v>0.13</v>
      </c>
      <c r="L923" s="10" t="s">
        <v>30</v>
      </c>
      <c r="M923" s="72">
        <v>324720</v>
      </c>
      <c r="N923" s="72">
        <v>282506.40000000002</v>
      </c>
      <c r="O923" s="12" t="s">
        <v>267</v>
      </c>
    </row>
    <row r="924" spans="1:15" x14ac:dyDescent="0.3">
      <c r="A924" s="20" t="s">
        <v>688</v>
      </c>
      <c r="B924" s="11" t="s">
        <v>38</v>
      </c>
      <c r="C924" s="30" t="s">
        <v>247</v>
      </c>
      <c r="D924" s="30" t="s">
        <v>39</v>
      </c>
      <c r="E924" s="30" t="s">
        <v>40</v>
      </c>
      <c r="F924" s="30" t="s">
        <v>46</v>
      </c>
      <c r="G924" s="30" t="s">
        <v>47</v>
      </c>
      <c r="H924" s="39">
        <v>45906</v>
      </c>
      <c r="I924" s="64">
        <v>178</v>
      </c>
      <c r="J924" s="64">
        <v>1200</v>
      </c>
      <c r="K924" s="65">
        <v>0.03</v>
      </c>
      <c r="L924" s="11" t="s">
        <v>30</v>
      </c>
      <c r="M924" s="66">
        <v>213600</v>
      </c>
      <c r="N924" s="66">
        <v>207192</v>
      </c>
      <c r="O924" s="13" t="s">
        <v>267</v>
      </c>
    </row>
    <row r="925" spans="1:15" x14ac:dyDescent="0.3">
      <c r="A925" s="20" t="s">
        <v>689</v>
      </c>
      <c r="B925" s="10" t="s">
        <v>25</v>
      </c>
      <c r="C925" s="32" t="s">
        <v>257</v>
      </c>
      <c r="D925" s="32" t="s">
        <v>26</v>
      </c>
      <c r="E925" s="32" t="s">
        <v>51</v>
      </c>
      <c r="F925" s="32" t="s">
        <v>28</v>
      </c>
      <c r="G925" s="32" t="s">
        <v>56</v>
      </c>
      <c r="H925" s="41">
        <v>45906</v>
      </c>
      <c r="I925" s="70">
        <v>225</v>
      </c>
      <c r="J925" s="70">
        <v>350</v>
      </c>
      <c r="K925" s="71">
        <v>0.12</v>
      </c>
      <c r="L925" s="10" t="s">
        <v>36</v>
      </c>
      <c r="M925" s="72">
        <v>78750</v>
      </c>
      <c r="N925" s="72">
        <v>69300</v>
      </c>
      <c r="O925" s="12" t="s">
        <v>265</v>
      </c>
    </row>
    <row r="926" spans="1:15" x14ac:dyDescent="0.3">
      <c r="A926" s="20" t="s">
        <v>690</v>
      </c>
      <c r="B926" s="11" t="s">
        <v>25</v>
      </c>
      <c r="C926" s="30" t="s">
        <v>257</v>
      </c>
      <c r="D926" s="30" t="s">
        <v>26</v>
      </c>
      <c r="E926" s="30" t="s">
        <v>45</v>
      </c>
      <c r="F926" s="30" t="s">
        <v>46</v>
      </c>
      <c r="G926" s="30" t="s">
        <v>29</v>
      </c>
      <c r="H926" s="39">
        <v>45908</v>
      </c>
      <c r="I926" s="64">
        <v>326</v>
      </c>
      <c r="J926" s="64">
        <v>350</v>
      </c>
      <c r="K926" s="65">
        <v>0.15</v>
      </c>
      <c r="L926" s="11" t="s">
        <v>30</v>
      </c>
      <c r="M926" s="66">
        <v>114100</v>
      </c>
      <c r="N926" s="66">
        <v>96985</v>
      </c>
      <c r="O926" s="13" t="s">
        <v>265</v>
      </c>
    </row>
    <row r="927" spans="1:15" x14ac:dyDescent="0.3">
      <c r="A927" s="20" t="s">
        <v>691</v>
      </c>
      <c r="B927" s="10" t="s">
        <v>38</v>
      </c>
      <c r="C927" s="32" t="s">
        <v>247</v>
      </c>
      <c r="D927" s="32" t="s">
        <v>39</v>
      </c>
      <c r="E927" s="32" t="s">
        <v>27</v>
      </c>
      <c r="F927" s="32" t="s">
        <v>28</v>
      </c>
      <c r="G927" s="32" t="s">
        <v>47</v>
      </c>
      <c r="H927" s="41">
        <v>45908</v>
      </c>
      <c r="I927" s="70">
        <v>176</v>
      </c>
      <c r="J927" s="70">
        <v>1200</v>
      </c>
      <c r="K927" s="71">
        <v>0.13</v>
      </c>
      <c r="L927" s="10" t="s">
        <v>36</v>
      </c>
      <c r="M927" s="72">
        <v>211200</v>
      </c>
      <c r="N927" s="72">
        <v>183744</v>
      </c>
      <c r="O927" s="12" t="s">
        <v>267</v>
      </c>
    </row>
    <row r="928" spans="1:15" x14ac:dyDescent="0.3">
      <c r="A928" s="20" t="s">
        <v>692</v>
      </c>
      <c r="B928" s="11" t="s">
        <v>32</v>
      </c>
      <c r="C928" s="30" t="s">
        <v>246</v>
      </c>
      <c r="D928" s="30" t="s">
        <v>26</v>
      </c>
      <c r="E928" s="30" t="s">
        <v>45</v>
      </c>
      <c r="F928" s="30" t="s">
        <v>28</v>
      </c>
      <c r="G928" s="30" t="s">
        <v>42</v>
      </c>
      <c r="H928" s="39">
        <v>45911</v>
      </c>
      <c r="I928" s="64">
        <v>408</v>
      </c>
      <c r="J928" s="64">
        <v>420</v>
      </c>
      <c r="K928" s="65">
        <v>0.05</v>
      </c>
      <c r="L928" s="11" t="s">
        <v>30</v>
      </c>
      <c r="M928" s="66">
        <v>171360</v>
      </c>
      <c r="N928" s="66">
        <v>162792</v>
      </c>
      <c r="O928" s="13" t="s">
        <v>267</v>
      </c>
    </row>
    <row r="929" spans="1:15" x14ac:dyDescent="0.3">
      <c r="A929" s="20" t="s">
        <v>693</v>
      </c>
      <c r="B929" s="10" t="s">
        <v>262</v>
      </c>
      <c r="C929" s="32" t="s">
        <v>263</v>
      </c>
      <c r="D929" s="32" t="s">
        <v>50</v>
      </c>
      <c r="E929" s="32" t="s">
        <v>51</v>
      </c>
      <c r="F929" s="32" t="s">
        <v>34</v>
      </c>
      <c r="G929" s="32" t="s">
        <v>53</v>
      </c>
      <c r="H929" s="41">
        <v>45913</v>
      </c>
      <c r="I929" s="70">
        <v>181</v>
      </c>
      <c r="J929" s="70">
        <v>820</v>
      </c>
      <c r="K929" s="71">
        <v>0</v>
      </c>
      <c r="L929" s="10" t="s">
        <v>36</v>
      </c>
      <c r="M929" s="72">
        <v>148420</v>
      </c>
      <c r="N929" s="72">
        <v>148420</v>
      </c>
      <c r="O929" s="12" t="s">
        <v>267</v>
      </c>
    </row>
    <row r="930" spans="1:15" x14ac:dyDescent="0.3">
      <c r="A930" s="20" t="s">
        <v>694</v>
      </c>
      <c r="B930" s="11" t="s">
        <v>16</v>
      </c>
      <c r="C930" s="30" t="s">
        <v>250</v>
      </c>
      <c r="D930" s="30" t="s">
        <v>39</v>
      </c>
      <c r="E930" s="30" t="s">
        <v>51</v>
      </c>
      <c r="F930" s="30" t="s">
        <v>41</v>
      </c>
      <c r="G930" s="30" t="s">
        <v>29</v>
      </c>
      <c r="H930" s="39">
        <v>45913</v>
      </c>
      <c r="I930" s="64">
        <v>49</v>
      </c>
      <c r="J930" s="64">
        <v>990</v>
      </c>
      <c r="K930" s="65">
        <v>0.15</v>
      </c>
      <c r="L930" s="11" t="s">
        <v>36</v>
      </c>
      <c r="M930" s="66">
        <v>48510</v>
      </c>
      <c r="N930" s="66">
        <v>41233.5</v>
      </c>
      <c r="O930" s="13" t="s">
        <v>265</v>
      </c>
    </row>
    <row r="931" spans="1:15" x14ac:dyDescent="0.3">
      <c r="A931" s="20" t="s">
        <v>695</v>
      </c>
      <c r="B931" s="10" t="s">
        <v>258</v>
      </c>
      <c r="C931" s="32" t="s">
        <v>259</v>
      </c>
      <c r="D931" s="32" t="s">
        <v>26</v>
      </c>
      <c r="E931" s="32" t="s">
        <v>51</v>
      </c>
      <c r="F931" s="32" t="s">
        <v>28</v>
      </c>
      <c r="G931" s="32" t="s">
        <v>53</v>
      </c>
      <c r="H931" s="41">
        <v>45914</v>
      </c>
      <c r="I931" s="70">
        <v>198</v>
      </c>
      <c r="J931" s="70">
        <v>680</v>
      </c>
      <c r="K931" s="71">
        <v>0.14000000000000001</v>
      </c>
      <c r="L931" s="10" t="s">
        <v>30</v>
      </c>
      <c r="M931" s="72">
        <v>134640</v>
      </c>
      <c r="N931" s="72">
        <v>115790.39999999999</v>
      </c>
      <c r="O931" s="12" t="s">
        <v>267</v>
      </c>
    </row>
    <row r="932" spans="1:15" x14ac:dyDescent="0.3">
      <c r="A932" s="20" t="s">
        <v>696</v>
      </c>
      <c r="B932" s="11" t="s">
        <v>16</v>
      </c>
      <c r="C932" s="30" t="s">
        <v>250</v>
      </c>
      <c r="D932" s="30" t="s">
        <v>39</v>
      </c>
      <c r="E932" s="30" t="s">
        <v>33</v>
      </c>
      <c r="F932" s="30" t="s">
        <v>52</v>
      </c>
      <c r="G932" s="30" t="s">
        <v>35</v>
      </c>
      <c r="H932" s="39">
        <v>45914</v>
      </c>
      <c r="I932" s="64">
        <v>97</v>
      </c>
      <c r="J932" s="64">
        <v>990</v>
      </c>
      <c r="K932" s="65">
        <v>0</v>
      </c>
      <c r="L932" s="11" t="s">
        <v>36</v>
      </c>
      <c r="M932" s="66">
        <v>96030</v>
      </c>
      <c r="N932" s="66">
        <v>96030</v>
      </c>
      <c r="O932" s="13" t="s">
        <v>265</v>
      </c>
    </row>
    <row r="933" spans="1:15" x14ac:dyDescent="0.3">
      <c r="A933" s="20" t="s">
        <v>697</v>
      </c>
      <c r="B933" s="10" t="s">
        <v>58</v>
      </c>
      <c r="C933" s="32" t="s">
        <v>255</v>
      </c>
      <c r="D933" s="32" t="s">
        <v>59</v>
      </c>
      <c r="E933" s="32" t="s">
        <v>45</v>
      </c>
      <c r="F933" s="32" t="s">
        <v>46</v>
      </c>
      <c r="G933" s="32" t="s">
        <v>35</v>
      </c>
      <c r="H933" s="41">
        <v>45914</v>
      </c>
      <c r="I933" s="70">
        <v>103</v>
      </c>
      <c r="J933" s="70">
        <v>2800</v>
      </c>
      <c r="K933" s="71">
        <v>0</v>
      </c>
      <c r="L933" s="10" t="s">
        <v>36</v>
      </c>
      <c r="M933" s="72">
        <v>288400</v>
      </c>
      <c r="N933" s="72">
        <v>288400</v>
      </c>
      <c r="O933" s="12" t="s">
        <v>267</v>
      </c>
    </row>
    <row r="934" spans="1:15" x14ac:dyDescent="0.3">
      <c r="A934" s="20" t="s">
        <v>698</v>
      </c>
      <c r="B934" s="11" t="s">
        <v>49</v>
      </c>
      <c r="C934" s="30" t="s">
        <v>251</v>
      </c>
      <c r="D934" s="30" t="s">
        <v>50</v>
      </c>
      <c r="E934" s="30" t="s">
        <v>33</v>
      </c>
      <c r="F934" s="30" t="s">
        <v>52</v>
      </c>
      <c r="G934" s="30" t="s">
        <v>47</v>
      </c>
      <c r="H934" s="39">
        <v>45915</v>
      </c>
      <c r="I934" s="64">
        <v>298</v>
      </c>
      <c r="J934" s="64">
        <v>895</v>
      </c>
      <c r="K934" s="65">
        <v>0.03</v>
      </c>
      <c r="L934" s="11" t="s">
        <v>36</v>
      </c>
      <c r="M934" s="66">
        <v>266710</v>
      </c>
      <c r="N934" s="66">
        <v>258708.7</v>
      </c>
      <c r="O934" s="13" t="s">
        <v>267</v>
      </c>
    </row>
    <row r="935" spans="1:15" x14ac:dyDescent="0.3">
      <c r="A935" s="20" t="s">
        <v>699</v>
      </c>
      <c r="B935" s="10" t="s">
        <v>55</v>
      </c>
      <c r="C935" s="32" t="s">
        <v>249</v>
      </c>
      <c r="D935" s="32" t="s">
        <v>39</v>
      </c>
      <c r="E935" s="32" t="s">
        <v>27</v>
      </c>
      <c r="F935" s="32" t="s">
        <v>46</v>
      </c>
      <c r="G935" s="32" t="s">
        <v>53</v>
      </c>
      <c r="H935" s="41">
        <v>45915</v>
      </c>
      <c r="I935" s="70">
        <v>242</v>
      </c>
      <c r="J935" s="70">
        <v>650</v>
      </c>
      <c r="K935" s="71">
        <v>0.08</v>
      </c>
      <c r="L935" s="10" t="s">
        <v>36</v>
      </c>
      <c r="M935" s="72">
        <v>157300</v>
      </c>
      <c r="N935" s="72">
        <v>144716</v>
      </c>
      <c r="O935" s="12" t="s">
        <v>267</v>
      </c>
    </row>
    <row r="936" spans="1:15" x14ac:dyDescent="0.3">
      <c r="A936" s="20" t="s">
        <v>700</v>
      </c>
      <c r="B936" s="11" t="s">
        <v>61</v>
      </c>
      <c r="C936" s="30" t="s">
        <v>244</v>
      </c>
      <c r="D936" s="30" t="s">
        <v>26</v>
      </c>
      <c r="E936" s="30" t="s">
        <v>40</v>
      </c>
      <c r="F936" s="30" t="s">
        <v>46</v>
      </c>
      <c r="G936" s="30" t="s">
        <v>53</v>
      </c>
      <c r="H936" s="39">
        <v>45915</v>
      </c>
      <c r="I936" s="64">
        <v>449</v>
      </c>
      <c r="J936" s="64">
        <v>280</v>
      </c>
      <c r="K936" s="65">
        <v>0.03</v>
      </c>
      <c r="L936" s="11" t="s">
        <v>36</v>
      </c>
      <c r="M936" s="66">
        <v>125720</v>
      </c>
      <c r="N936" s="66">
        <v>121948.4</v>
      </c>
      <c r="O936" s="13" t="s">
        <v>267</v>
      </c>
    </row>
    <row r="937" spans="1:15" x14ac:dyDescent="0.3">
      <c r="A937" s="20" t="s">
        <v>701</v>
      </c>
      <c r="B937" s="10" t="s">
        <v>44</v>
      </c>
      <c r="C937" s="32" t="s">
        <v>254</v>
      </c>
      <c r="D937" s="32" t="s">
        <v>39</v>
      </c>
      <c r="E937" s="32" t="s">
        <v>45</v>
      </c>
      <c r="F937" s="32" t="s">
        <v>52</v>
      </c>
      <c r="G937" s="32" t="s">
        <v>56</v>
      </c>
      <c r="H937" s="41">
        <v>45917</v>
      </c>
      <c r="I937" s="70">
        <v>109</v>
      </c>
      <c r="J937" s="70">
        <v>200</v>
      </c>
      <c r="K937" s="71">
        <v>0.08</v>
      </c>
      <c r="L937" s="10" t="s">
        <v>36</v>
      </c>
      <c r="M937" s="72">
        <v>21800</v>
      </c>
      <c r="N937" s="72">
        <v>20056</v>
      </c>
      <c r="O937" s="12" t="s">
        <v>265</v>
      </c>
    </row>
    <row r="938" spans="1:15" x14ac:dyDescent="0.3">
      <c r="A938" s="20" t="s">
        <v>702</v>
      </c>
      <c r="B938" s="11" t="s">
        <v>61</v>
      </c>
      <c r="C938" s="30" t="s">
        <v>244</v>
      </c>
      <c r="D938" s="30" t="s">
        <v>26</v>
      </c>
      <c r="E938" s="30" t="s">
        <v>40</v>
      </c>
      <c r="F938" s="30" t="s">
        <v>46</v>
      </c>
      <c r="G938" s="30" t="s">
        <v>42</v>
      </c>
      <c r="H938" s="39">
        <v>45921</v>
      </c>
      <c r="I938" s="64">
        <v>85</v>
      </c>
      <c r="J938" s="64">
        <v>280</v>
      </c>
      <c r="K938" s="65">
        <v>7.0000000000000007E-2</v>
      </c>
      <c r="L938" s="11" t="s">
        <v>36</v>
      </c>
      <c r="M938" s="66">
        <v>23800</v>
      </c>
      <c r="N938" s="66">
        <v>22134</v>
      </c>
      <c r="O938" s="13" t="s">
        <v>265</v>
      </c>
    </row>
    <row r="939" spans="1:15" x14ac:dyDescent="0.3">
      <c r="A939" s="20" t="s">
        <v>703</v>
      </c>
      <c r="B939" s="10" t="s">
        <v>260</v>
      </c>
      <c r="C939" s="32" t="s">
        <v>261</v>
      </c>
      <c r="D939" s="32" t="s">
        <v>39</v>
      </c>
      <c r="E939" s="32" t="s">
        <v>40</v>
      </c>
      <c r="F939" s="32" t="s">
        <v>46</v>
      </c>
      <c r="G939" s="32" t="s">
        <v>35</v>
      </c>
      <c r="H939" s="41">
        <v>45923</v>
      </c>
      <c r="I939" s="70">
        <v>211</v>
      </c>
      <c r="J939" s="70">
        <v>450</v>
      </c>
      <c r="K939" s="71">
        <v>0.08</v>
      </c>
      <c r="L939" s="10" t="s">
        <v>36</v>
      </c>
      <c r="M939" s="72">
        <v>94950</v>
      </c>
      <c r="N939" s="72">
        <v>87354</v>
      </c>
      <c r="O939" s="12" t="s">
        <v>265</v>
      </c>
    </row>
    <row r="940" spans="1:15" x14ac:dyDescent="0.3">
      <c r="A940" s="20" t="s">
        <v>704</v>
      </c>
      <c r="B940" s="11" t="s">
        <v>58</v>
      </c>
      <c r="C940" s="30" t="s">
        <v>255</v>
      </c>
      <c r="D940" s="30" t="s">
        <v>59</v>
      </c>
      <c r="E940" s="30" t="s">
        <v>40</v>
      </c>
      <c r="F940" s="30" t="s">
        <v>52</v>
      </c>
      <c r="G940" s="30" t="s">
        <v>56</v>
      </c>
      <c r="H940" s="39">
        <v>45923</v>
      </c>
      <c r="I940" s="64">
        <v>324</v>
      </c>
      <c r="J940" s="64">
        <v>2800</v>
      </c>
      <c r="K940" s="65">
        <v>0</v>
      </c>
      <c r="L940" s="11" t="s">
        <v>30</v>
      </c>
      <c r="M940" s="66">
        <v>907200</v>
      </c>
      <c r="N940" s="66">
        <v>907200</v>
      </c>
      <c r="O940" s="13" t="s">
        <v>277</v>
      </c>
    </row>
    <row r="941" spans="1:15" x14ac:dyDescent="0.3">
      <c r="A941" s="20" t="s">
        <v>705</v>
      </c>
      <c r="B941" s="10" t="s">
        <v>49</v>
      </c>
      <c r="C941" s="32" t="s">
        <v>251</v>
      </c>
      <c r="D941" s="32" t="s">
        <v>50</v>
      </c>
      <c r="E941" s="32" t="s">
        <v>33</v>
      </c>
      <c r="F941" s="32" t="s">
        <v>46</v>
      </c>
      <c r="G941" s="32" t="s">
        <v>35</v>
      </c>
      <c r="H941" s="41">
        <v>45924</v>
      </c>
      <c r="I941" s="70">
        <v>381</v>
      </c>
      <c r="J941" s="70">
        <v>895</v>
      </c>
      <c r="K941" s="71">
        <v>0</v>
      </c>
      <c r="L941" s="10" t="s">
        <v>30</v>
      </c>
      <c r="M941" s="72">
        <v>340995</v>
      </c>
      <c r="N941" s="72">
        <v>340995</v>
      </c>
      <c r="O941" s="12" t="s">
        <v>267</v>
      </c>
    </row>
    <row r="942" spans="1:15" x14ac:dyDescent="0.3">
      <c r="A942" s="20" t="s">
        <v>706</v>
      </c>
      <c r="B942" s="11" t="s">
        <v>61</v>
      </c>
      <c r="C942" s="30" t="s">
        <v>244</v>
      </c>
      <c r="D942" s="30" t="s">
        <v>26</v>
      </c>
      <c r="E942" s="30" t="s">
        <v>27</v>
      </c>
      <c r="F942" s="30" t="s">
        <v>52</v>
      </c>
      <c r="G942" s="30" t="s">
        <v>47</v>
      </c>
      <c r="H942" s="39">
        <v>45924</v>
      </c>
      <c r="I942" s="64">
        <v>336</v>
      </c>
      <c r="J942" s="64">
        <v>280</v>
      </c>
      <c r="K942" s="65">
        <v>0.15</v>
      </c>
      <c r="L942" s="11" t="s">
        <v>36</v>
      </c>
      <c r="M942" s="66">
        <v>94080</v>
      </c>
      <c r="N942" s="66">
        <v>79968</v>
      </c>
      <c r="O942" s="13" t="s">
        <v>265</v>
      </c>
    </row>
    <row r="943" spans="1:15" x14ac:dyDescent="0.3">
      <c r="A943" s="20" t="s">
        <v>707</v>
      </c>
      <c r="B943" s="10" t="s">
        <v>260</v>
      </c>
      <c r="C943" s="32" t="s">
        <v>261</v>
      </c>
      <c r="D943" s="32" t="s">
        <v>39</v>
      </c>
      <c r="E943" s="32" t="s">
        <v>33</v>
      </c>
      <c r="F943" s="32" t="s">
        <v>41</v>
      </c>
      <c r="G943" s="32" t="s">
        <v>35</v>
      </c>
      <c r="H943" s="41">
        <v>45924</v>
      </c>
      <c r="I943" s="70">
        <v>276</v>
      </c>
      <c r="J943" s="70">
        <v>450</v>
      </c>
      <c r="K943" s="71">
        <v>0.14000000000000001</v>
      </c>
      <c r="L943" s="10" t="s">
        <v>30</v>
      </c>
      <c r="M943" s="72">
        <v>124200</v>
      </c>
      <c r="N943" s="72">
        <v>106812</v>
      </c>
      <c r="O943" s="12" t="s">
        <v>267</v>
      </c>
    </row>
    <row r="944" spans="1:15" x14ac:dyDescent="0.3">
      <c r="A944" s="20" t="s">
        <v>708</v>
      </c>
      <c r="B944" s="11" t="s">
        <v>44</v>
      </c>
      <c r="C944" s="30" t="s">
        <v>254</v>
      </c>
      <c r="D944" s="30" t="s">
        <v>39</v>
      </c>
      <c r="E944" s="30" t="s">
        <v>33</v>
      </c>
      <c r="F944" s="30" t="s">
        <v>34</v>
      </c>
      <c r="G944" s="30" t="s">
        <v>42</v>
      </c>
      <c r="H944" s="39">
        <v>45925</v>
      </c>
      <c r="I944" s="64">
        <v>490</v>
      </c>
      <c r="J944" s="64">
        <v>200</v>
      </c>
      <c r="K944" s="65">
        <v>0.03</v>
      </c>
      <c r="L944" s="11" t="s">
        <v>36</v>
      </c>
      <c r="M944" s="66">
        <v>98000</v>
      </c>
      <c r="N944" s="66">
        <v>95060</v>
      </c>
      <c r="O944" s="13" t="s">
        <v>265</v>
      </c>
    </row>
    <row r="945" spans="1:15" x14ac:dyDescent="0.3">
      <c r="A945" s="20" t="s">
        <v>709</v>
      </c>
      <c r="B945" s="10" t="s">
        <v>58</v>
      </c>
      <c r="C945" s="32" t="s">
        <v>255</v>
      </c>
      <c r="D945" s="32" t="s">
        <v>59</v>
      </c>
      <c r="E945" s="32" t="s">
        <v>27</v>
      </c>
      <c r="F945" s="32" t="s">
        <v>46</v>
      </c>
      <c r="G945" s="32" t="s">
        <v>42</v>
      </c>
      <c r="H945" s="41">
        <v>45925</v>
      </c>
      <c r="I945" s="70">
        <v>64</v>
      </c>
      <c r="J945" s="70">
        <v>2800</v>
      </c>
      <c r="K945" s="71">
        <v>0</v>
      </c>
      <c r="L945" s="10" t="s">
        <v>36</v>
      </c>
      <c r="M945" s="72">
        <v>179200</v>
      </c>
      <c r="N945" s="72">
        <v>179200</v>
      </c>
      <c r="O945" s="12" t="s">
        <v>267</v>
      </c>
    </row>
    <row r="946" spans="1:15" x14ac:dyDescent="0.3">
      <c r="A946" s="20" t="s">
        <v>710</v>
      </c>
      <c r="B946" s="11" t="s">
        <v>44</v>
      </c>
      <c r="C946" s="30" t="s">
        <v>254</v>
      </c>
      <c r="D946" s="30" t="s">
        <v>39</v>
      </c>
      <c r="E946" s="30" t="s">
        <v>33</v>
      </c>
      <c r="F946" s="30" t="s">
        <v>28</v>
      </c>
      <c r="G946" s="30" t="s">
        <v>53</v>
      </c>
      <c r="H946" s="39">
        <v>45926</v>
      </c>
      <c r="I946" s="64">
        <v>232</v>
      </c>
      <c r="J946" s="64">
        <v>200</v>
      </c>
      <c r="K946" s="65">
        <v>0.14000000000000001</v>
      </c>
      <c r="L946" s="11" t="s">
        <v>36</v>
      </c>
      <c r="M946" s="66">
        <v>46400</v>
      </c>
      <c r="N946" s="66">
        <v>39904</v>
      </c>
      <c r="O946" s="13" t="s">
        <v>265</v>
      </c>
    </row>
    <row r="947" spans="1:15" x14ac:dyDescent="0.3">
      <c r="A947" s="20" t="s">
        <v>711</v>
      </c>
      <c r="B947" s="10" t="s">
        <v>55</v>
      </c>
      <c r="C947" s="32" t="s">
        <v>249</v>
      </c>
      <c r="D947" s="32" t="s">
        <v>39</v>
      </c>
      <c r="E947" s="32" t="s">
        <v>51</v>
      </c>
      <c r="F947" s="32" t="s">
        <v>28</v>
      </c>
      <c r="G947" s="32" t="s">
        <v>42</v>
      </c>
      <c r="H947" s="41">
        <v>45927</v>
      </c>
      <c r="I947" s="70">
        <v>68</v>
      </c>
      <c r="J947" s="70">
        <v>650</v>
      </c>
      <c r="K947" s="71">
        <v>0</v>
      </c>
      <c r="L947" s="10" t="s">
        <v>30</v>
      </c>
      <c r="M947" s="72">
        <v>44200</v>
      </c>
      <c r="N947" s="72">
        <v>44200</v>
      </c>
      <c r="O947" s="12" t="s">
        <v>265</v>
      </c>
    </row>
    <row r="948" spans="1:15" x14ac:dyDescent="0.3">
      <c r="A948" s="20" t="s">
        <v>712</v>
      </c>
      <c r="B948" s="11" t="s">
        <v>58</v>
      </c>
      <c r="C948" s="30" t="s">
        <v>255</v>
      </c>
      <c r="D948" s="30" t="s">
        <v>59</v>
      </c>
      <c r="E948" s="30" t="s">
        <v>40</v>
      </c>
      <c r="F948" s="30" t="s">
        <v>41</v>
      </c>
      <c r="G948" s="30" t="s">
        <v>47</v>
      </c>
      <c r="H948" s="39">
        <v>45927</v>
      </c>
      <c r="I948" s="64">
        <v>373</v>
      </c>
      <c r="J948" s="64">
        <v>2800</v>
      </c>
      <c r="K948" s="65">
        <v>0.08</v>
      </c>
      <c r="L948" s="11" t="s">
        <v>36</v>
      </c>
      <c r="M948" s="66">
        <v>1044400</v>
      </c>
      <c r="N948" s="66">
        <v>960848</v>
      </c>
      <c r="O948" s="13" t="s">
        <v>277</v>
      </c>
    </row>
    <row r="949" spans="1:15" x14ac:dyDescent="0.3">
      <c r="A949" s="20" t="s">
        <v>713</v>
      </c>
      <c r="B949" s="10" t="s">
        <v>38</v>
      </c>
      <c r="C949" s="32" t="s">
        <v>247</v>
      </c>
      <c r="D949" s="32" t="s">
        <v>39</v>
      </c>
      <c r="E949" s="32" t="s">
        <v>33</v>
      </c>
      <c r="F949" s="32" t="s">
        <v>41</v>
      </c>
      <c r="G949" s="32" t="s">
        <v>56</v>
      </c>
      <c r="H949" s="41">
        <v>45927</v>
      </c>
      <c r="I949" s="70">
        <v>232</v>
      </c>
      <c r="J949" s="70">
        <v>1200</v>
      </c>
      <c r="K949" s="71">
        <v>0.15</v>
      </c>
      <c r="L949" s="10" t="s">
        <v>36</v>
      </c>
      <c r="M949" s="72">
        <v>278400</v>
      </c>
      <c r="N949" s="72">
        <v>236640</v>
      </c>
      <c r="O949" s="12" t="s">
        <v>267</v>
      </c>
    </row>
    <row r="950" spans="1:15" x14ac:dyDescent="0.3">
      <c r="A950" s="20" t="s">
        <v>714</v>
      </c>
      <c r="B950" s="11" t="s">
        <v>258</v>
      </c>
      <c r="C950" s="30" t="s">
        <v>259</v>
      </c>
      <c r="D950" s="30" t="s">
        <v>26</v>
      </c>
      <c r="E950" s="30" t="s">
        <v>40</v>
      </c>
      <c r="F950" s="30" t="s">
        <v>52</v>
      </c>
      <c r="G950" s="30" t="s">
        <v>53</v>
      </c>
      <c r="H950" s="39">
        <v>45928</v>
      </c>
      <c r="I950" s="64">
        <v>119</v>
      </c>
      <c r="J950" s="64">
        <v>680</v>
      </c>
      <c r="K950" s="65">
        <v>0.11</v>
      </c>
      <c r="L950" s="11" t="s">
        <v>36</v>
      </c>
      <c r="M950" s="66">
        <v>80920</v>
      </c>
      <c r="N950" s="66">
        <v>72018.8</v>
      </c>
      <c r="O950" s="13" t="s">
        <v>265</v>
      </c>
    </row>
    <row r="951" spans="1:15" x14ac:dyDescent="0.3">
      <c r="A951" s="20" t="s">
        <v>715</v>
      </c>
      <c r="B951" s="10" t="s">
        <v>55</v>
      </c>
      <c r="C951" s="32" t="s">
        <v>249</v>
      </c>
      <c r="D951" s="32" t="s">
        <v>39</v>
      </c>
      <c r="E951" s="32" t="s">
        <v>33</v>
      </c>
      <c r="F951" s="32" t="s">
        <v>46</v>
      </c>
      <c r="G951" s="32" t="s">
        <v>29</v>
      </c>
      <c r="H951" s="41">
        <v>45928</v>
      </c>
      <c r="I951" s="70">
        <v>78</v>
      </c>
      <c r="J951" s="70">
        <v>650</v>
      </c>
      <c r="K951" s="71">
        <v>0.03</v>
      </c>
      <c r="L951" s="10" t="s">
        <v>36</v>
      </c>
      <c r="M951" s="72">
        <v>50700</v>
      </c>
      <c r="N951" s="72">
        <v>49179</v>
      </c>
      <c r="O951" s="12" t="s">
        <v>265</v>
      </c>
    </row>
    <row r="952" spans="1:15" x14ac:dyDescent="0.3">
      <c r="A952" s="20" t="s">
        <v>716</v>
      </c>
      <c r="B952" s="11" t="s">
        <v>55</v>
      </c>
      <c r="C952" s="30" t="s">
        <v>249</v>
      </c>
      <c r="D952" s="30" t="s">
        <v>39</v>
      </c>
      <c r="E952" s="30" t="s">
        <v>27</v>
      </c>
      <c r="F952" s="30" t="s">
        <v>52</v>
      </c>
      <c r="G952" s="30" t="s">
        <v>35</v>
      </c>
      <c r="H952" s="39">
        <v>45930</v>
      </c>
      <c r="I952" s="64">
        <v>429</v>
      </c>
      <c r="J952" s="64">
        <v>650</v>
      </c>
      <c r="K952" s="65">
        <v>0.03</v>
      </c>
      <c r="L952" s="11" t="s">
        <v>36</v>
      </c>
      <c r="M952" s="66">
        <v>278850</v>
      </c>
      <c r="N952" s="66">
        <v>270484.5</v>
      </c>
      <c r="O952" s="13" t="s">
        <v>267</v>
      </c>
    </row>
    <row r="953" spans="1:15" x14ac:dyDescent="0.3">
      <c r="A953" s="20" t="s">
        <v>717</v>
      </c>
      <c r="B953" s="10" t="s">
        <v>25</v>
      </c>
      <c r="C953" s="32" t="s">
        <v>257</v>
      </c>
      <c r="D953" s="32" t="s">
        <v>26</v>
      </c>
      <c r="E953" s="32" t="s">
        <v>40</v>
      </c>
      <c r="F953" s="32" t="s">
        <v>34</v>
      </c>
      <c r="G953" s="32" t="s">
        <v>53</v>
      </c>
      <c r="H953" s="41">
        <v>45930</v>
      </c>
      <c r="I953" s="70">
        <v>180</v>
      </c>
      <c r="J953" s="70">
        <v>350</v>
      </c>
      <c r="K953" s="71">
        <v>0.12</v>
      </c>
      <c r="L953" s="10" t="s">
        <v>36</v>
      </c>
      <c r="M953" s="72">
        <v>63000</v>
      </c>
      <c r="N953" s="72">
        <v>55440</v>
      </c>
      <c r="O953" s="12" t="s">
        <v>265</v>
      </c>
    </row>
    <row r="954" spans="1:15" x14ac:dyDescent="0.3">
      <c r="A954" s="20" t="s">
        <v>718</v>
      </c>
      <c r="B954" s="11" t="s">
        <v>38</v>
      </c>
      <c r="C954" s="30" t="s">
        <v>247</v>
      </c>
      <c r="D954" s="30" t="s">
        <v>39</v>
      </c>
      <c r="E954" s="30" t="s">
        <v>51</v>
      </c>
      <c r="F954" s="30" t="s">
        <v>41</v>
      </c>
      <c r="G954" s="30" t="s">
        <v>53</v>
      </c>
      <c r="H954" s="39">
        <v>45930</v>
      </c>
      <c r="I954" s="64">
        <v>291</v>
      </c>
      <c r="J954" s="64">
        <v>1200</v>
      </c>
      <c r="K954" s="65">
        <v>0.13</v>
      </c>
      <c r="L954" s="11" t="s">
        <v>36</v>
      </c>
      <c r="M954" s="66">
        <v>349200</v>
      </c>
      <c r="N954" s="66">
        <v>303804</v>
      </c>
      <c r="O954" s="13" t="s">
        <v>267</v>
      </c>
    </row>
    <row r="955" spans="1:15" x14ac:dyDescent="0.3">
      <c r="A955" s="20" t="s">
        <v>719</v>
      </c>
      <c r="B955" s="10" t="s">
        <v>16</v>
      </c>
      <c r="C955" s="32" t="s">
        <v>250</v>
      </c>
      <c r="D955" s="32" t="s">
        <v>39</v>
      </c>
      <c r="E955" s="32" t="s">
        <v>33</v>
      </c>
      <c r="F955" s="32" t="s">
        <v>41</v>
      </c>
      <c r="G955" s="32" t="s">
        <v>47</v>
      </c>
      <c r="H955" s="41">
        <v>45932</v>
      </c>
      <c r="I955" s="70">
        <v>131</v>
      </c>
      <c r="J955" s="70">
        <v>990</v>
      </c>
      <c r="K955" s="71">
        <v>0.03</v>
      </c>
      <c r="L955" s="10" t="s">
        <v>30</v>
      </c>
      <c r="M955" s="72">
        <v>129690</v>
      </c>
      <c r="N955" s="72">
        <v>125799.3</v>
      </c>
      <c r="O955" s="12" t="s">
        <v>267</v>
      </c>
    </row>
    <row r="956" spans="1:15" x14ac:dyDescent="0.3">
      <c r="A956" s="20" t="s">
        <v>720</v>
      </c>
      <c r="B956" s="11" t="s">
        <v>16</v>
      </c>
      <c r="C956" s="30" t="s">
        <v>250</v>
      </c>
      <c r="D956" s="30" t="s">
        <v>39</v>
      </c>
      <c r="E956" s="30" t="s">
        <v>45</v>
      </c>
      <c r="F956" s="30" t="s">
        <v>41</v>
      </c>
      <c r="G956" s="30" t="s">
        <v>53</v>
      </c>
      <c r="H956" s="39">
        <v>45932</v>
      </c>
      <c r="I956" s="64">
        <v>69</v>
      </c>
      <c r="J956" s="64">
        <v>990</v>
      </c>
      <c r="K956" s="65">
        <v>0</v>
      </c>
      <c r="L956" s="11" t="s">
        <v>36</v>
      </c>
      <c r="M956" s="66">
        <v>68310</v>
      </c>
      <c r="N956" s="66">
        <v>68310</v>
      </c>
      <c r="O956" s="13" t="s">
        <v>265</v>
      </c>
    </row>
    <row r="957" spans="1:15" x14ac:dyDescent="0.3">
      <c r="A957" s="20" t="s">
        <v>721</v>
      </c>
      <c r="B957" s="10" t="s">
        <v>38</v>
      </c>
      <c r="C957" s="32" t="s">
        <v>247</v>
      </c>
      <c r="D957" s="32" t="s">
        <v>39</v>
      </c>
      <c r="E957" s="32" t="s">
        <v>45</v>
      </c>
      <c r="F957" s="32" t="s">
        <v>52</v>
      </c>
      <c r="G957" s="32" t="s">
        <v>47</v>
      </c>
      <c r="H957" s="41">
        <v>45934</v>
      </c>
      <c r="I957" s="70">
        <v>359</v>
      </c>
      <c r="J957" s="70">
        <v>1200</v>
      </c>
      <c r="K957" s="71">
        <v>0.12</v>
      </c>
      <c r="L957" s="10" t="s">
        <v>36</v>
      </c>
      <c r="M957" s="72">
        <v>430800</v>
      </c>
      <c r="N957" s="72">
        <v>379104</v>
      </c>
      <c r="O957" s="12" t="s">
        <v>277</v>
      </c>
    </row>
    <row r="958" spans="1:15" x14ac:dyDescent="0.3">
      <c r="A958" s="20" t="s">
        <v>722</v>
      </c>
      <c r="B958" s="11" t="s">
        <v>58</v>
      </c>
      <c r="C958" s="30" t="s">
        <v>255</v>
      </c>
      <c r="D958" s="30" t="s">
        <v>59</v>
      </c>
      <c r="E958" s="30" t="s">
        <v>51</v>
      </c>
      <c r="F958" s="30" t="s">
        <v>34</v>
      </c>
      <c r="G958" s="30" t="s">
        <v>35</v>
      </c>
      <c r="H958" s="39">
        <v>45934</v>
      </c>
      <c r="I958" s="64">
        <v>224</v>
      </c>
      <c r="J958" s="64">
        <v>2800</v>
      </c>
      <c r="K958" s="65">
        <v>0</v>
      </c>
      <c r="L958" s="11" t="s">
        <v>36</v>
      </c>
      <c r="M958" s="66">
        <v>627200</v>
      </c>
      <c r="N958" s="66">
        <v>627200</v>
      </c>
      <c r="O958" s="13" t="s">
        <v>277</v>
      </c>
    </row>
    <row r="959" spans="1:15" x14ac:dyDescent="0.3">
      <c r="A959" s="20" t="s">
        <v>723</v>
      </c>
      <c r="B959" s="10" t="s">
        <v>63</v>
      </c>
      <c r="C959" s="32" t="s">
        <v>253</v>
      </c>
      <c r="D959" s="32" t="s">
        <v>50</v>
      </c>
      <c r="E959" s="32" t="s">
        <v>40</v>
      </c>
      <c r="F959" s="32" t="s">
        <v>41</v>
      </c>
      <c r="G959" s="32" t="s">
        <v>35</v>
      </c>
      <c r="H959" s="41">
        <v>45934</v>
      </c>
      <c r="I959" s="70">
        <v>177</v>
      </c>
      <c r="J959" s="70">
        <v>750</v>
      </c>
      <c r="K959" s="71">
        <v>0.15</v>
      </c>
      <c r="L959" s="10" t="s">
        <v>36</v>
      </c>
      <c r="M959" s="72">
        <v>132750</v>
      </c>
      <c r="N959" s="72">
        <v>112837.5</v>
      </c>
      <c r="O959" s="12" t="s">
        <v>267</v>
      </c>
    </row>
    <row r="960" spans="1:15" x14ac:dyDescent="0.3">
      <c r="A960" s="20" t="s">
        <v>724</v>
      </c>
      <c r="B960" s="11" t="s">
        <v>25</v>
      </c>
      <c r="C960" s="30" t="s">
        <v>257</v>
      </c>
      <c r="D960" s="30" t="s">
        <v>26</v>
      </c>
      <c r="E960" s="30" t="s">
        <v>45</v>
      </c>
      <c r="F960" s="30" t="s">
        <v>34</v>
      </c>
      <c r="G960" s="30" t="s">
        <v>47</v>
      </c>
      <c r="H960" s="39">
        <v>45935</v>
      </c>
      <c r="I960" s="64">
        <v>256</v>
      </c>
      <c r="J960" s="64">
        <v>350</v>
      </c>
      <c r="K960" s="65">
        <v>0.05</v>
      </c>
      <c r="L960" s="11" t="s">
        <v>30</v>
      </c>
      <c r="M960" s="66">
        <v>89600</v>
      </c>
      <c r="N960" s="66">
        <v>85120</v>
      </c>
      <c r="O960" s="13" t="s">
        <v>265</v>
      </c>
    </row>
    <row r="961" spans="1:15" x14ac:dyDescent="0.3">
      <c r="A961" s="20" t="s">
        <v>725</v>
      </c>
      <c r="B961" s="10" t="s">
        <v>25</v>
      </c>
      <c r="C961" s="32" t="s">
        <v>257</v>
      </c>
      <c r="D961" s="32" t="s">
        <v>26</v>
      </c>
      <c r="E961" s="32" t="s">
        <v>45</v>
      </c>
      <c r="F961" s="32" t="s">
        <v>28</v>
      </c>
      <c r="G961" s="32" t="s">
        <v>53</v>
      </c>
      <c r="H961" s="41">
        <v>45936</v>
      </c>
      <c r="I961" s="70">
        <v>131</v>
      </c>
      <c r="J961" s="70">
        <v>350</v>
      </c>
      <c r="K961" s="71">
        <v>0.1</v>
      </c>
      <c r="L961" s="10" t="s">
        <v>36</v>
      </c>
      <c r="M961" s="72">
        <v>45850</v>
      </c>
      <c r="N961" s="72">
        <v>41265</v>
      </c>
      <c r="O961" s="12" t="s">
        <v>265</v>
      </c>
    </row>
    <row r="962" spans="1:15" x14ac:dyDescent="0.3">
      <c r="A962" s="20" t="s">
        <v>726</v>
      </c>
      <c r="B962" s="11" t="s">
        <v>61</v>
      </c>
      <c r="C962" s="30" t="s">
        <v>244</v>
      </c>
      <c r="D962" s="30" t="s">
        <v>26</v>
      </c>
      <c r="E962" s="30" t="s">
        <v>45</v>
      </c>
      <c r="F962" s="30" t="s">
        <v>34</v>
      </c>
      <c r="G962" s="30" t="s">
        <v>47</v>
      </c>
      <c r="H962" s="39">
        <v>45936</v>
      </c>
      <c r="I962" s="64">
        <v>143</v>
      </c>
      <c r="J962" s="64">
        <v>280</v>
      </c>
      <c r="K962" s="65">
        <v>0</v>
      </c>
      <c r="L962" s="11" t="s">
        <v>36</v>
      </c>
      <c r="M962" s="66">
        <v>40040</v>
      </c>
      <c r="N962" s="66">
        <v>40040</v>
      </c>
      <c r="O962" s="13" t="s">
        <v>265</v>
      </c>
    </row>
    <row r="963" spans="1:15" x14ac:dyDescent="0.3">
      <c r="A963" s="20" t="s">
        <v>727</v>
      </c>
      <c r="B963" s="10" t="s">
        <v>38</v>
      </c>
      <c r="C963" s="32" t="s">
        <v>247</v>
      </c>
      <c r="D963" s="32" t="s">
        <v>39</v>
      </c>
      <c r="E963" s="32" t="s">
        <v>40</v>
      </c>
      <c r="F963" s="32" t="s">
        <v>46</v>
      </c>
      <c r="G963" s="32" t="s">
        <v>53</v>
      </c>
      <c r="H963" s="41">
        <v>45937</v>
      </c>
      <c r="I963" s="70">
        <v>277</v>
      </c>
      <c r="J963" s="70">
        <v>1200</v>
      </c>
      <c r="K963" s="71">
        <v>7.0000000000000007E-2</v>
      </c>
      <c r="L963" s="10" t="s">
        <v>36</v>
      </c>
      <c r="M963" s="72">
        <v>332400</v>
      </c>
      <c r="N963" s="72">
        <v>309132</v>
      </c>
      <c r="O963" s="12" t="s">
        <v>267</v>
      </c>
    </row>
    <row r="964" spans="1:15" x14ac:dyDescent="0.3">
      <c r="A964" s="20" t="s">
        <v>728</v>
      </c>
      <c r="B964" s="11" t="s">
        <v>49</v>
      </c>
      <c r="C964" s="30" t="s">
        <v>251</v>
      </c>
      <c r="D964" s="30" t="s">
        <v>50</v>
      </c>
      <c r="E964" s="30" t="s">
        <v>27</v>
      </c>
      <c r="F964" s="30" t="s">
        <v>41</v>
      </c>
      <c r="G964" s="30" t="s">
        <v>29</v>
      </c>
      <c r="H964" s="39">
        <v>45938</v>
      </c>
      <c r="I964" s="64">
        <v>282</v>
      </c>
      <c r="J964" s="64">
        <v>895</v>
      </c>
      <c r="K964" s="65">
        <v>0.14000000000000001</v>
      </c>
      <c r="L964" s="11" t="s">
        <v>36</v>
      </c>
      <c r="M964" s="66">
        <v>252390</v>
      </c>
      <c r="N964" s="66">
        <v>217055.4</v>
      </c>
      <c r="O964" s="13" t="s">
        <v>267</v>
      </c>
    </row>
    <row r="965" spans="1:15" x14ac:dyDescent="0.3">
      <c r="A965" s="20" t="s">
        <v>729</v>
      </c>
      <c r="B965" s="10" t="s">
        <v>58</v>
      </c>
      <c r="C965" s="32" t="s">
        <v>255</v>
      </c>
      <c r="D965" s="32" t="s">
        <v>59</v>
      </c>
      <c r="E965" s="32" t="s">
        <v>33</v>
      </c>
      <c r="F965" s="32" t="s">
        <v>28</v>
      </c>
      <c r="G965" s="32" t="s">
        <v>42</v>
      </c>
      <c r="H965" s="41">
        <v>45941</v>
      </c>
      <c r="I965" s="70">
        <v>152</v>
      </c>
      <c r="J965" s="70">
        <v>2800</v>
      </c>
      <c r="K965" s="71">
        <v>0.13</v>
      </c>
      <c r="L965" s="10" t="s">
        <v>36</v>
      </c>
      <c r="M965" s="72">
        <v>425600</v>
      </c>
      <c r="N965" s="72">
        <v>370272</v>
      </c>
      <c r="O965" s="12" t="s">
        <v>277</v>
      </c>
    </row>
    <row r="966" spans="1:15" x14ac:dyDescent="0.3">
      <c r="A966" s="20" t="s">
        <v>730</v>
      </c>
      <c r="B966" s="11" t="s">
        <v>258</v>
      </c>
      <c r="C966" s="30" t="s">
        <v>259</v>
      </c>
      <c r="D966" s="30" t="s">
        <v>26</v>
      </c>
      <c r="E966" s="30" t="s">
        <v>51</v>
      </c>
      <c r="F966" s="30" t="s">
        <v>28</v>
      </c>
      <c r="G966" s="30" t="s">
        <v>42</v>
      </c>
      <c r="H966" s="39">
        <v>45941</v>
      </c>
      <c r="I966" s="64">
        <v>374</v>
      </c>
      <c r="J966" s="64">
        <v>680</v>
      </c>
      <c r="K966" s="65">
        <v>0.15</v>
      </c>
      <c r="L966" s="11" t="s">
        <v>36</v>
      </c>
      <c r="M966" s="66">
        <v>254320</v>
      </c>
      <c r="N966" s="66">
        <v>216172</v>
      </c>
      <c r="O966" s="13" t="s">
        <v>267</v>
      </c>
    </row>
    <row r="967" spans="1:15" x14ac:dyDescent="0.3">
      <c r="A967" s="20" t="s">
        <v>731</v>
      </c>
      <c r="B967" s="10" t="s">
        <v>25</v>
      </c>
      <c r="C967" s="32" t="s">
        <v>257</v>
      </c>
      <c r="D967" s="32" t="s">
        <v>26</v>
      </c>
      <c r="E967" s="32" t="s">
        <v>45</v>
      </c>
      <c r="F967" s="32" t="s">
        <v>28</v>
      </c>
      <c r="G967" s="32" t="s">
        <v>35</v>
      </c>
      <c r="H967" s="41">
        <v>45942</v>
      </c>
      <c r="I967" s="70">
        <v>254</v>
      </c>
      <c r="J967" s="70">
        <v>350</v>
      </c>
      <c r="K967" s="71">
        <v>0</v>
      </c>
      <c r="L967" s="10" t="s">
        <v>36</v>
      </c>
      <c r="M967" s="72">
        <v>88900</v>
      </c>
      <c r="N967" s="72">
        <v>88900</v>
      </c>
      <c r="O967" s="12" t="s">
        <v>265</v>
      </c>
    </row>
    <row r="968" spans="1:15" x14ac:dyDescent="0.3">
      <c r="A968" s="20" t="s">
        <v>732</v>
      </c>
      <c r="B968" s="11" t="s">
        <v>61</v>
      </c>
      <c r="C968" s="30" t="s">
        <v>244</v>
      </c>
      <c r="D968" s="30" t="s">
        <v>26</v>
      </c>
      <c r="E968" s="30" t="s">
        <v>27</v>
      </c>
      <c r="F968" s="30" t="s">
        <v>52</v>
      </c>
      <c r="G968" s="30" t="s">
        <v>53</v>
      </c>
      <c r="H968" s="39">
        <v>45942</v>
      </c>
      <c r="I968" s="64">
        <v>266</v>
      </c>
      <c r="J968" s="64">
        <v>280</v>
      </c>
      <c r="K968" s="65">
        <v>0</v>
      </c>
      <c r="L968" s="11" t="s">
        <v>30</v>
      </c>
      <c r="M968" s="66">
        <v>74480</v>
      </c>
      <c r="N968" s="66">
        <v>74480</v>
      </c>
      <c r="O968" s="13" t="s">
        <v>265</v>
      </c>
    </row>
    <row r="969" spans="1:15" x14ac:dyDescent="0.3">
      <c r="A969" s="20" t="s">
        <v>733</v>
      </c>
      <c r="B969" s="10" t="s">
        <v>61</v>
      </c>
      <c r="C969" s="32" t="s">
        <v>244</v>
      </c>
      <c r="D969" s="32" t="s">
        <v>26</v>
      </c>
      <c r="E969" s="32" t="s">
        <v>33</v>
      </c>
      <c r="F969" s="32" t="s">
        <v>34</v>
      </c>
      <c r="G969" s="32" t="s">
        <v>29</v>
      </c>
      <c r="H969" s="41">
        <v>45942</v>
      </c>
      <c r="I969" s="70">
        <v>396</v>
      </c>
      <c r="J969" s="70">
        <v>280</v>
      </c>
      <c r="K969" s="71">
        <v>0.1</v>
      </c>
      <c r="L969" s="10" t="s">
        <v>36</v>
      </c>
      <c r="M969" s="72">
        <v>110880</v>
      </c>
      <c r="N969" s="72">
        <v>99792</v>
      </c>
      <c r="O969" s="12" t="s">
        <v>265</v>
      </c>
    </row>
    <row r="970" spans="1:15" x14ac:dyDescent="0.3">
      <c r="A970" s="20" t="s">
        <v>734</v>
      </c>
      <c r="B970" s="11" t="s">
        <v>44</v>
      </c>
      <c r="C970" s="30" t="s">
        <v>254</v>
      </c>
      <c r="D970" s="30" t="s">
        <v>39</v>
      </c>
      <c r="E970" s="30" t="s">
        <v>33</v>
      </c>
      <c r="F970" s="30" t="s">
        <v>52</v>
      </c>
      <c r="G970" s="30" t="s">
        <v>47</v>
      </c>
      <c r="H970" s="39">
        <v>45946</v>
      </c>
      <c r="I970" s="64">
        <v>94</v>
      </c>
      <c r="J970" s="64">
        <v>200</v>
      </c>
      <c r="K970" s="65">
        <v>0.03</v>
      </c>
      <c r="L970" s="11" t="s">
        <v>30</v>
      </c>
      <c r="M970" s="66">
        <v>18800</v>
      </c>
      <c r="N970" s="66">
        <v>18236</v>
      </c>
      <c r="O970" s="13" t="s">
        <v>265</v>
      </c>
    </row>
    <row r="971" spans="1:15" x14ac:dyDescent="0.3">
      <c r="A971" s="20" t="s">
        <v>735</v>
      </c>
      <c r="B971" s="10" t="s">
        <v>38</v>
      </c>
      <c r="C971" s="32" t="s">
        <v>247</v>
      </c>
      <c r="D971" s="32" t="s">
        <v>39</v>
      </c>
      <c r="E971" s="32" t="s">
        <v>33</v>
      </c>
      <c r="F971" s="32" t="s">
        <v>46</v>
      </c>
      <c r="G971" s="32" t="s">
        <v>53</v>
      </c>
      <c r="H971" s="41">
        <v>45947</v>
      </c>
      <c r="I971" s="70">
        <v>221</v>
      </c>
      <c r="J971" s="70">
        <v>1200</v>
      </c>
      <c r="K971" s="71">
        <v>0.05</v>
      </c>
      <c r="L971" s="10" t="s">
        <v>30</v>
      </c>
      <c r="M971" s="72">
        <v>265200</v>
      </c>
      <c r="N971" s="72">
        <v>251940</v>
      </c>
      <c r="O971" s="12" t="s">
        <v>267</v>
      </c>
    </row>
    <row r="972" spans="1:15" x14ac:dyDescent="0.3">
      <c r="A972" s="20" t="s">
        <v>736</v>
      </c>
      <c r="B972" s="11" t="s">
        <v>44</v>
      </c>
      <c r="C972" s="30" t="s">
        <v>254</v>
      </c>
      <c r="D972" s="30" t="s">
        <v>39</v>
      </c>
      <c r="E972" s="30" t="s">
        <v>27</v>
      </c>
      <c r="F972" s="30" t="s">
        <v>52</v>
      </c>
      <c r="G972" s="30" t="s">
        <v>29</v>
      </c>
      <c r="H972" s="39">
        <v>45948</v>
      </c>
      <c r="I972" s="64">
        <v>211</v>
      </c>
      <c r="J972" s="64">
        <v>200</v>
      </c>
      <c r="K972" s="65">
        <v>0.05</v>
      </c>
      <c r="L972" s="11" t="s">
        <v>36</v>
      </c>
      <c r="M972" s="66">
        <v>42200</v>
      </c>
      <c r="N972" s="66">
        <v>40090</v>
      </c>
      <c r="O972" s="13" t="s">
        <v>265</v>
      </c>
    </row>
    <row r="973" spans="1:15" x14ac:dyDescent="0.3">
      <c r="A973" s="20" t="s">
        <v>737</v>
      </c>
      <c r="B973" s="10" t="s">
        <v>44</v>
      </c>
      <c r="C973" s="32" t="s">
        <v>254</v>
      </c>
      <c r="D973" s="32" t="s">
        <v>39</v>
      </c>
      <c r="E973" s="32" t="s">
        <v>45</v>
      </c>
      <c r="F973" s="32" t="s">
        <v>41</v>
      </c>
      <c r="G973" s="32" t="s">
        <v>29</v>
      </c>
      <c r="H973" s="41">
        <v>45948</v>
      </c>
      <c r="I973" s="70">
        <v>474</v>
      </c>
      <c r="J973" s="70">
        <v>200</v>
      </c>
      <c r="K973" s="71">
        <v>0.05</v>
      </c>
      <c r="L973" s="10" t="s">
        <v>36</v>
      </c>
      <c r="M973" s="72">
        <v>94800</v>
      </c>
      <c r="N973" s="72">
        <v>90060</v>
      </c>
      <c r="O973" s="12" t="s">
        <v>265</v>
      </c>
    </row>
    <row r="974" spans="1:15" x14ac:dyDescent="0.3">
      <c r="A974" s="20" t="s">
        <v>738</v>
      </c>
      <c r="B974" s="11" t="s">
        <v>55</v>
      </c>
      <c r="C974" s="30" t="s">
        <v>249</v>
      </c>
      <c r="D974" s="30" t="s">
        <v>39</v>
      </c>
      <c r="E974" s="30" t="s">
        <v>33</v>
      </c>
      <c r="F974" s="30" t="s">
        <v>34</v>
      </c>
      <c r="G974" s="30" t="s">
        <v>47</v>
      </c>
      <c r="H974" s="39">
        <v>45948</v>
      </c>
      <c r="I974" s="64">
        <v>239</v>
      </c>
      <c r="J974" s="64">
        <v>650</v>
      </c>
      <c r="K974" s="65">
        <v>0.1</v>
      </c>
      <c r="L974" s="11" t="s">
        <v>36</v>
      </c>
      <c r="M974" s="66">
        <v>155350</v>
      </c>
      <c r="N974" s="66">
        <v>139815</v>
      </c>
      <c r="O974" s="13" t="s">
        <v>267</v>
      </c>
    </row>
    <row r="975" spans="1:15" x14ac:dyDescent="0.3">
      <c r="A975" s="20" t="s">
        <v>739</v>
      </c>
      <c r="B975" s="10" t="s">
        <v>55</v>
      </c>
      <c r="C975" s="32" t="s">
        <v>249</v>
      </c>
      <c r="D975" s="32" t="s">
        <v>39</v>
      </c>
      <c r="E975" s="32" t="s">
        <v>33</v>
      </c>
      <c r="F975" s="32" t="s">
        <v>34</v>
      </c>
      <c r="G975" s="32" t="s">
        <v>35</v>
      </c>
      <c r="H975" s="41">
        <v>45949</v>
      </c>
      <c r="I975" s="70">
        <v>92</v>
      </c>
      <c r="J975" s="70">
        <v>650</v>
      </c>
      <c r="K975" s="71">
        <v>0.05</v>
      </c>
      <c r="L975" s="10" t="s">
        <v>36</v>
      </c>
      <c r="M975" s="72">
        <v>59800</v>
      </c>
      <c r="N975" s="72">
        <v>56810</v>
      </c>
      <c r="O975" s="12" t="s">
        <v>265</v>
      </c>
    </row>
    <row r="976" spans="1:15" x14ac:dyDescent="0.3">
      <c r="A976" s="20" t="s">
        <v>740</v>
      </c>
      <c r="B976" s="11" t="s">
        <v>49</v>
      </c>
      <c r="C976" s="30" t="s">
        <v>251</v>
      </c>
      <c r="D976" s="30" t="s">
        <v>50</v>
      </c>
      <c r="E976" s="30" t="s">
        <v>40</v>
      </c>
      <c r="F976" s="30" t="s">
        <v>34</v>
      </c>
      <c r="G976" s="30" t="s">
        <v>47</v>
      </c>
      <c r="H976" s="39">
        <v>45949</v>
      </c>
      <c r="I976" s="64">
        <v>256</v>
      </c>
      <c r="J976" s="64">
        <v>895</v>
      </c>
      <c r="K976" s="65">
        <v>0.03</v>
      </c>
      <c r="L976" s="11" t="s">
        <v>36</v>
      </c>
      <c r="M976" s="66">
        <v>229120</v>
      </c>
      <c r="N976" s="66">
        <v>222246.39999999999</v>
      </c>
      <c r="O976" s="13" t="s">
        <v>267</v>
      </c>
    </row>
    <row r="977" spans="1:15" x14ac:dyDescent="0.3">
      <c r="A977" s="20" t="s">
        <v>741</v>
      </c>
      <c r="B977" s="10" t="s">
        <v>38</v>
      </c>
      <c r="C977" s="32" t="s">
        <v>247</v>
      </c>
      <c r="D977" s="32" t="s">
        <v>39</v>
      </c>
      <c r="E977" s="32" t="s">
        <v>40</v>
      </c>
      <c r="F977" s="32" t="s">
        <v>52</v>
      </c>
      <c r="G977" s="32" t="s">
        <v>47</v>
      </c>
      <c r="H977" s="41">
        <v>45949</v>
      </c>
      <c r="I977" s="70">
        <v>130</v>
      </c>
      <c r="J977" s="70">
        <v>1200</v>
      </c>
      <c r="K977" s="71">
        <v>0.03</v>
      </c>
      <c r="L977" s="10" t="s">
        <v>36</v>
      </c>
      <c r="M977" s="72">
        <v>156000</v>
      </c>
      <c r="N977" s="72">
        <v>151320</v>
      </c>
      <c r="O977" s="12" t="s">
        <v>267</v>
      </c>
    </row>
    <row r="978" spans="1:15" x14ac:dyDescent="0.3">
      <c r="A978" s="20" t="s">
        <v>742</v>
      </c>
      <c r="B978" s="11" t="s">
        <v>16</v>
      </c>
      <c r="C978" s="30" t="s">
        <v>250</v>
      </c>
      <c r="D978" s="30" t="s">
        <v>39</v>
      </c>
      <c r="E978" s="30" t="s">
        <v>40</v>
      </c>
      <c r="F978" s="30" t="s">
        <v>34</v>
      </c>
      <c r="G978" s="30" t="s">
        <v>56</v>
      </c>
      <c r="H978" s="39">
        <v>45950</v>
      </c>
      <c r="I978" s="64">
        <v>297</v>
      </c>
      <c r="J978" s="64">
        <v>990</v>
      </c>
      <c r="K978" s="65">
        <v>0.08</v>
      </c>
      <c r="L978" s="11" t="s">
        <v>36</v>
      </c>
      <c r="M978" s="66">
        <v>294030</v>
      </c>
      <c r="N978" s="66">
        <v>270507.59999999998</v>
      </c>
      <c r="O978" s="13" t="s">
        <v>267</v>
      </c>
    </row>
    <row r="979" spans="1:15" x14ac:dyDescent="0.3">
      <c r="A979" s="20" t="s">
        <v>743</v>
      </c>
      <c r="B979" s="10" t="s">
        <v>25</v>
      </c>
      <c r="C979" s="32" t="s">
        <v>257</v>
      </c>
      <c r="D979" s="32" t="s">
        <v>26</v>
      </c>
      <c r="E979" s="32" t="s">
        <v>51</v>
      </c>
      <c r="F979" s="32" t="s">
        <v>34</v>
      </c>
      <c r="G979" s="32" t="s">
        <v>42</v>
      </c>
      <c r="H979" s="41">
        <v>45950</v>
      </c>
      <c r="I979" s="70">
        <v>122</v>
      </c>
      <c r="J979" s="70">
        <v>350</v>
      </c>
      <c r="K979" s="71">
        <v>0</v>
      </c>
      <c r="L979" s="10" t="s">
        <v>36</v>
      </c>
      <c r="M979" s="72">
        <v>42700</v>
      </c>
      <c r="N979" s="72">
        <v>42700</v>
      </c>
      <c r="O979" s="12" t="s">
        <v>265</v>
      </c>
    </row>
    <row r="980" spans="1:15" x14ac:dyDescent="0.3">
      <c r="A980" s="20" t="s">
        <v>744</v>
      </c>
      <c r="B980" s="11" t="s">
        <v>25</v>
      </c>
      <c r="C980" s="30" t="s">
        <v>257</v>
      </c>
      <c r="D980" s="30" t="s">
        <v>26</v>
      </c>
      <c r="E980" s="30" t="s">
        <v>51</v>
      </c>
      <c r="F980" s="30" t="s">
        <v>46</v>
      </c>
      <c r="G980" s="30" t="s">
        <v>56</v>
      </c>
      <c r="H980" s="39">
        <v>45950</v>
      </c>
      <c r="I980" s="64">
        <v>295</v>
      </c>
      <c r="J980" s="64">
        <v>350</v>
      </c>
      <c r="K980" s="65">
        <v>0.13</v>
      </c>
      <c r="L980" s="11" t="s">
        <v>30</v>
      </c>
      <c r="M980" s="66">
        <v>103250</v>
      </c>
      <c r="N980" s="66">
        <v>89827.5</v>
      </c>
      <c r="O980" s="13" t="s">
        <v>265</v>
      </c>
    </row>
    <row r="981" spans="1:15" x14ac:dyDescent="0.3">
      <c r="A981" s="20" t="s">
        <v>745</v>
      </c>
      <c r="B981" s="10" t="s">
        <v>262</v>
      </c>
      <c r="C981" s="32" t="s">
        <v>263</v>
      </c>
      <c r="D981" s="32" t="s">
        <v>50</v>
      </c>
      <c r="E981" s="32" t="s">
        <v>40</v>
      </c>
      <c r="F981" s="32" t="s">
        <v>41</v>
      </c>
      <c r="G981" s="32" t="s">
        <v>35</v>
      </c>
      <c r="H981" s="41">
        <v>45953</v>
      </c>
      <c r="I981" s="70">
        <v>254</v>
      </c>
      <c r="J981" s="70">
        <v>820</v>
      </c>
      <c r="K981" s="71">
        <v>0.14000000000000001</v>
      </c>
      <c r="L981" s="10" t="s">
        <v>36</v>
      </c>
      <c r="M981" s="72">
        <v>208280</v>
      </c>
      <c r="N981" s="72">
        <v>179120.8</v>
      </c>
      <c r="O981" s="12" t="s">
        <v>267</v>
      </c>
    </row>
    <row r="982" spans="1:15" x14ac:dyDescent="0.3">
      <c r="A982" s="20" t="s">
        <v>746</v>
      </c>
      <c r="B982" s="11" t="s">
        <v>260</v>
      </c>
      <c r="C982" s="30" t="s">
        <v>261</v>
      </c>
      <c r="D982" s="30" t="s">
        <v>39</v>
      </c>
      <c r="E982" s="30" t="s">
        <v>45</v>
      </c>
      <c r="F982" s="30" t="s">
        <v>41</v>
      </c>
      <c r="G982" s="30" t="s">
        <v>56</v>
      </c>
      <c r="H982" s="39">
        <v>45954</v>
      </c>
      <c r="I982" s="64">
        <v>265</v>
      </c>
      <c r="J982" s="64">
        <v>450</v>
      </c>
      <c r="K982" s="65">
        <v>0.14000000000000001</v>
      </c>
      <c r="L982" s="11" t="s">
        <v>30</v>
      </c>
      <c r="M982" s="66">
        <v>119250</v>
      </c>
      <c r="N982" s="66">
        <v>102555</v>
      </c>
      <c r="O982" s="13" t="s">
        <v>267</v>
      </c>
    </row>
    <row r="983" spans="1:15" x14ac:dyDescent="0.3">
      <c r="A983" s="20" t="s">
        <v>747</v>
      </c>
      <c r="B983" s="10" t="s">
        <v>61</v>
      </c>
      <c r="C983" s="32" t="s">
        <v>244</v>
      </c>
      <c r="D983" s="32" t="s">
        <v>26</v>
      </c>
      <c r="E983" s="32" t="s">
        <v>45</v>
      </c>
      <c r="F983" s="32" t="s">
        <v>41</v>
      </c>
      <c r="G983" s="32" t="s">
        <v>47</v>
      </c>
      <c r="H983" s="41">
        <v>45956</v>
      </c>
      <c r="I983" s="70">
        <v>287</v>
      </c>
      <c r="J983" s="70">
        <v>280</v>
      </c>
      <c r="K983" s="71">
        <v>0</v>
      </c>
      <c r="L983" s="10" t="s">
        <v>36</v>
      </c>
      <c r="M983" s="72">
        <v>80360</v>
      </c>
      <c r="N983" s="72">
        <v>80360</v>
      </c>
      <c r="O983" s="12" t="s">
        <v>265</v>
      </c>
    </row>
    <row r="984" spans="1:15" x14ac:dyDescent="0.3">
      <c r="A984" s="20" t="s">
        <v>748</v>
      </c>
      <c r="B984" s="11" t="s">
        <v>260</v>
      </c>
      <c r="C984" s="30" t="s">
        <v>261</v>
      </c>
      <c r="D984" s="30" t="s">
        <v>39</v>
      </c>
      <c r="E984" s="30" t="s">
        <v>40</v>
      </c>
      <c r="F984" s="30" t="s">
        <v>34</v>
      </c>
      <c r="G984" s="30" t="s">
        <v>56</v>
      </c>
      <c r="H984" s="39">
        <v>45956</v>
      </c>
      <c r="I984" s="64">
        <v>158</v>
      </c>
      <c r="J984" s="64">
        <v>450</v>
      </c>
      <c r="K984" s="65">
        <v>0</v>
      </c>
      <c r="L984" s="11" t="s">
        <v>30</v>
      </c>
      <c r="M984" s="66">
        <v>71100</v>
      </c>
      <c r="N984" s="66">
        <v>71100</v>
      </c>
      <c r="O984" s="13" t="s">
        <v>265</v>
      </c>
    </row>
    <row r="985" spans="1:15" x14ac:dyDescent="0.3">
      <c r="A985" s="20" t="s">
        <v>749</v>
      </c>
      <c r="B985" s="10" t="s">
        <v>32</v>
      </c>
      <c r="C985" s="32" t="s">
        <v>246</v>
      </c>
      <c r="D985" s="32" t="s">
        <v>26</v>
      </c>
      <c r="E985" s="32" t="s">
        <v>40</v>
      </c>
      <c r="F985" s="32" t="s">
        <v>28</v>
      </c>
      <c r="G985" s="32" t="s">
        <v>47</v>
      </c>
      <c r="H985" s="41">
        <v>45956</v>
      </c>
      <c r="I985" s="70">
        <v>338</v>
      </c>
      <c r="J985" s="70">
        <v>420</v>
      </c>
      <c r="K985" s="71">
        <v>0.12</v>
      </c>
      <c r="L985" s="10" t="s">
        <v>36</v>
      </c>
      <c r="M985" s="72">
        <v>141960</v>
      </c>
      <c r="N985" s="72">
        <v>124924.8</v>
      </c>
      <c r="O985" s="12" t="s">
        <v>267</v>
      </c>
    </row>
    <row r="986" spans="1:15" x14ac:dyDescent="0.3">
      <c r="A986" s="20" t="s">
        <v>750</v>
      </c>
      <c r="B986" s="11" t="s">
        <v>258</v>
      </c>
      <c r="C986" s="30" t="s">
        <v>259</v>
      </c>
      <c r="D986" s="30" t="s">
        <v>26</v>
      </c>
      <c r="E986" s="30" t="s">
        <v>51</v>
      </c>
      <c r="F986" s="30" t="s">
        <v>46</v>
      </c>
      <c r="G986" s="30" t="s">
        <v>29</v>
      </c>
      <c r="H986" s="39">
        <v>45957</v>
      </c>
      <c r="I986" s="64">
        <v>162</v>
      </c>
      <c r="J986" s="64">
        <v>680</v>
      </c>
      <c r="K986" s="65">
        <v>0.15</v>
      </c>
      <c r="L986" s="11" t="s">
        <v>36</v>
      </c>
      <c r="M986" s="66">
        <v>110160</v>
      </c>
      <c r="N986" s="66">
        <v>93636</v>
      </c>
      <c r="O986" s="13" t="s">
        <v>265</v>
      </c>
    </row>
    <row r="987" spans="1:15" x14ac:dyDescent="0.3">
      <c r="A987" s="20" t="s">
        <v>751</v>
      </c>
      <c r="B987" s="10" t="s">
        <v>260</v>
      </c>
      <c r="C987" s="32" t="s">
        <v>261</v>
      </c>
      <c r="D987" s="32" t="s">
        <v>39</v>
      </c>
      <c r="E987" s="32" t="s">
        <v>33</v>
      </c>
      <c r="F987" s="32" t="s">
        <v>28</v>
      </c>
      <c r="G987" s="32" t="s">
        <v>35</v>
      </c>
      <c r="H987" s="41">
        <v>45958</v>
      </c>
      <c r="I987" s="70">
        <v>141</v>
      </c>
      <c r="J987" s="70">
        <v>450</v>
      </c>
      <c r="K987" s="71">
        <v>7.0000000000000007E-2</v>
      </c>
      <c r="L987" s="10" t="s">
        <v>36</v>
      </c>
      <c r="M987" s="72">
        <v>63450</v>
      </c>
      <c r="N987" s="72">
        <v>59008.5</v>
      </c>
      <c r="O987" s="12" t="s">
        <v>265</v>
      </c>
    </row>
    <row r="988" spans="1:15" x14ac:dyDescent="0.3">
      <c r="A988" s="20" t="s">
        <v>752</v>
      </c>
      <c r="B988" s="11" t="s">
        <v>16</v>
      </c>
      <c r="C988" s="30" t="s">
        <v>250</v>
      </c>
      <c r="D988" s="30" t="s">
        <v>39</v>
      </c>
      <c r="E988" s="30" t="s">
        <v>45</v>
      </c>
      <c r="F988" s="30" t="s">
        <v>46</v>
      </c>
      <c r="G988" s="30" t="s">
        <v>47</v>
      </c>
      <c r="H988" s="39">
        <v>45960</v>
      </c>
      <c r="I988" s="64">
        <v>199</v>
      </c>
      <c r="J988" s="64">
        <v>990</v>
      </c>
      <c r="K988" s="65">
        <v>0.08</v>
      </c>
      <c r="L988" s="11" t="s">
        <v>36</v>
      </c>
      <c r="M988" s="66">
        <v>197010</v>
      </c>
      <c r="N988" s="66">
        <v>181249.2</v>
      </c>
      <c r="O988" s="13" t="s">
        <v>267</v>
      </c>
    </row>
    <row r="989" spans="1:15" x14ac:dyDescent="0.3">
      <c r="A989" s="20" t="s">
        <v>753</v>
      </c>
      <c r="B989" s="10" t="s">
        <v>38</v>
      </c>
      <c r="C989" s="32" t="s">
        <v>247</v>
      </c>
      <c r="D989" s="32" t="s">
        <v>39</v>
      </c>
      <c r="E989" s="32" t="s">
        <v>33</v>
      </c>
      <c r="F989" s="32" t="s">
        <v>52</v>
      </c>
      <c r="G989" s="32" t="s">
        <v>47</v>
      </c>
      <c r="H989" s="41">
        <v>45961</v>
      </c>
      <c r="I989" s="70">
        <v>68</v>
      </c>
      <c r="J989" s="70">
        <v>1200</v>
      </c>
      <c r="K989" s="71">
        <v>0.12</v>
      </c>
      <c r="L989" s="10" t="s">
        <v>30</v>
      </c>
      <c r="M989" s="72">
        <v>81600</v>
      </c>
      <c r="N989" s="72">
        <v>71808</v>
      </c>
      <c r="O989" s="12" t="s">
        <v>265</v>
      </c>
    </row>
    <row r="990" spans="1:15" x14ac:dyDescent="0.3">
      <c r="A990" s="20" t="s">
        <v>754</v>
      </c>
      <c r="B990" s="11" t="s">
        <v>44</v>
      </c>
      <c r="C990" s="30" t="s">
        <v>254</v>
      </c>
      <c r="D990" s="30" t="s">
        <v>39</v>
      </c>
      <c r="E990" s="30" t="s">
        <v>51</v>
      </c>
      <c r="F990" s="30" t="s">
        <v>52</v>
      </c>
      <c r="G990" s="30" t="s">
        <v>29</v>
      </c>
      <c r="H990" s="39">
        <v>45961</v>
      </c>
      <c r="I990" s="64">
        <v>454</v>
      </c>
      <c r="J990" s="64">
        <v>200</v>
      </c>
      <c r="K990" s="65">
        <v>0.15</v>
      </c>
      <c r="L990" s="11" t="s">
        <v>36</v>
      </c>
      <c r="M990" s="66">
        <v>90800</v>
      </c>
      <c r="N990" s="66">
        <v>77180</v>
      </c>
      <c r="O990" s="13" t="s">
        <v>265</v>
      </c>
    </row>
    <row r="991" spans="1:15" x14ac:dyDescent="0.3">
      <c r="A991" s="20" t="s">
        <v>755</v>
      </c>
      <c r="B991" s="10" t="s">
        <v>262</v>
      </c>
      <c r="C991" s="32" t="s">
        <v>263</v>
      </c>
      <c r="D991" s="32" t="s">
        <v>50</v>
      </c>
      <c r="E991" s="32" t="s">
        <v>27</v>
      </c>
      <c r="F991" s="32" t="s">
        <v>46</v>
      </c>
      <c r="G991" s="32" t="s">
        <v>53</v>
      </c>
      <c r="H991" s="41">
        <v>45962</v>
      </c>
      <c r="I991" s="70">
        <v>372</v>
      </c>
      <c r="J991" s="70">
        <v>820</v>
      </c>
      <c r="K991" s="71">
        <v>0</v>
      </c>
      <c r="L991" s="10" t="s">
        <v>30</v>
      </c>
      <c r="M991" s="72">
        <v>305040</v>
      </c>
      <c r="N991" s="72">
        <v>305040</v>
      </c>
      <c r="O991" s="12" t="s">
        <v>267</v>
      </c>
    </row>
    <row r="992" spans="1:15" x14ac:dyDescent="0.3">
      <c r="A992" s="20" t="s">
        <v>756</v>
      </c>
      <c r="B992" s="11" t="s">
        <v>38</v>
      </c>
      <c r="C992" s="30" t="s">
        <v>247</v>
      </c>
      <c r="D992" s="30" t="s">
        <v>39</v>
      </c>
      <c r="E992" s="30" t="s">
        <v>51</v>
      </c>
      <c r="F992" s="30" t="s">
        <v>46</v>
      </c>
      <c r="G992" s="30" t="s">
        <v>35</v>
      </c>
      <c r="H992" s="39">
        <v>45962</v>
      </c>
      <c r="I992" s="64">
        <v>216</v>
      </c>
      <c r="J992" s="64">
        <v>1200</v>
      </c>
      <c r="K992" s="65">
        <v>7.0000000000000007E-2</v>
      </c>
      <c r="L992" s="11" t="s">
        <v>30</v>
      </c>
      <c r="M992" s="66">
        <v>259200</v>
      </c>
      <c r="N992" s="66">
        <v>241056</v>
      </c>
      <c r="O992" s="13" t="s">
        <v>267</v>
      </c>
    </row>
    <row r="993" spans="1:15" x14ac:dyDescent="0.3">
      <c r="A993" s="20" t="s">
        <v>757</v>
      </c>
      <c r="B993" s="10" t="s">
        <v>63</v>
      </c>
      <c r="C993" s="32" t="s">
        <v>253</v>
      </c>
      <c r="D993" s="32" t="s">
        <v>50</v>
      </c>
      <c r="E993" s="32" t="s">
        <v>40</v>
      </c>
      <c r="F993" s="32" t="s">
        <v>28</v>
      </c>
      <c r="G993" s="32" t="s">
        <v>35</v>
      </c>
      <c r="H993" s="41">
        <v>45962</v>
      </c>
      <c r="I993" s="70">
        <v>154</v>
      </c>
      <c r="J993" s="70">
        <v>750</v>
      </c>
      <c r="K993" s="71">
        <v>0.03</v>
      </c>
      <c r="L993" s="10" t="s">
        <v>30</v>
      </c>
      <c r="M993" s="72">
        <v>115500</v>
      </c>
      <c r="N993" s="72">
        <v>112035</v>
      </c>
      <c r="O993" s="12" t="s">
        <v>267</v>
      </c>
    </row>
    <row r="994" spans="1:15" x14ac:dyDescent="0.3">
      <c r="A994" s="20" t="s">
        <v>758</v>
      </c>
      <c r="B994" s="11" t="s">
        <v>63</v>
      </c>
      <c r="C994" s="30" t="s">
        <v>253</v>
      </c>
      <c r="D994" s="30" t="s">
        <v>50</v>
      </c>
      <c r="E994" s="30" t="s">
        <v>51</v>
      </c>
      <c r="F994" s="30" t="s">
        <v>46</v>
      </c>
      <c r="G994" s="30" t="s">
        <v>35</v>
      </c>
      <c r="H994" s="39">
        <v>45963</v>
      </c>
      <c r="I994" s="64">
        <v>289</v>
      </c>
      <c r="J994" s="64">
        <v>750</v>
      </c>
      <c r="K994" s="65">
        <v>0.14000000000000001</v>
      </c>
      <c r="L994" s="11" t="s">
        <v>30</v>
      </c>
      <c r="M994" s="66">
        <v>216750</v>
      </c>
      <c r="N994" s="66">
        <v>186405</v>
      </c>
      <c r="O994" s="13" t="s">
        <v>267</v>
      </c>
    </row>
    <row r="995" spans="1:15" x14ac:dyDescent="0.3">
      <c r="A995" s="20" t="s">
        <v>759</v>
      </c>
      <c r="B995" s="10" t="s">
        <v>61</v>
      </c>
      <c r="C995" s="32" t="s">
        <v>244</v>
      </c>
      <c r="D995" s="32" t="s">
        <v>26</v>
      </c>
      <c r="E995" s="32" t="s">
        <v>33</v>
      </c>
      <c r="F995" s="32" t="s">
        <v>34</v>
      </c>
      <c r="G995" s="32" t="s">
        <v>35</v>
      </c>
      <c r="H995" s="41">
        <v>45964</v>
      </c>
      <c r="I995" s="70">
        <v>193</v>
      </c>
      <c r="J995" s="70">
        <v>280</v>
      </c>
      <c r="K995" s="71">
        <v>0.12</v>
      </c>
      <c r="L995" s="10" t="s">
        <v>36</v>
      </c>
      <c r="M995" s="72">
        <v>54040</v>
      </c>
      <c r="N995" s="72">
        <v>47555.199999999997</v>
      </c>
      <c r="O995" s="12" t="s">
        <v>265</v>
      </c>
    </row>
    <row r="996" spans="1:15" x14ac:dyDescent="0.3">
      <c r="A996" s="20" t="s">
        <v>760</v>
      </c>
      <c r="B996" s="11" t="s">
        <v>260</v>
      </c>
      <c r="C996" s="30" t="s">
        <v>261</v>
      </c>
      <c r="D996" s="30" t="s">
        <v>39</v>
      </c>
      <c r="E996" s="30" t="s">
        <v>45</v>
      </c>
      <c r="F996" s="30" t="s">
        <v>28</v>
      </c>
      <c r="G996" s="30" t="s">
        <v>42</v>
      </c>
      <c r="H996" s="39">
        <v>45964</v>
      </c>
      <c r="I996" s="64">
        <v>281</v>
      </c>
      <c r="J996" s="64">
        <v>450</v>
      </c>
      <c r="K996" s="65">
        <v>0.1</v>
      </c>
      <c r="L996" s="11" t="s">
        <v>36</v>
      </c>
      <c r="M996" s="66">
        <v>126450</v>
      </c>
      <c r="N996" s="66">
        <v>113805</v>
      </c>
      <c r="O996" s="13" t="s">
        <v>267</v>
      </c>
    </row>
    <row r="997" spans="1:15" x14ac:dyDescent="0.3">
      <c r="A997" s="20" t="s">
        <v>761</v>
      </c>
      <c r="B997" s="10" t="s">
        <v>25</v>
      </c>
      <c r="C997" s="32" t="s">
        <v>257</v>
      </c>
      <c r="D997" s="32" t="s">
        <v>26</v>
      </c>
      <c r="E997" s="32" t="s">
        <v>40</v>
      </c>
      <c r="F997" s="32" t="s">
        <v>46</v>
      </c>
      <c r="G997" s="32" t="s">
        <v>53</v>
      </c>
      <c r="H997" s="41">
        <v>45965</v>
      </c>
      <c r="I997" s="70">
        <v>125</v>
      </c>
      <c r="J997" s="70">
        <v>350</v>
      </c>
      <c r="K997" s="71">
        <v>0.11</v>
      </c>
      <c r="L997" s="10" t="s">
        <v>30</v>
      </c>
      <c r="M997" s="72">
        <v>43750</v>
      </c>
      <c r="N997" s="72">
        <v>38937.5</v>
      </c>
      <c r="O997" s="12" t="s">
        <v>265</v>
      </c>
    </row>
    <row r="998" spans="1:15" x14ac:dyDescent="0.3">
      <c r="A998" s="20" t="s">
        <v>762</v>
      </c>
      <c r="B998" s="11" t="s">
        <v>49</v>
      </c>
      <c r="C998" s="30" t="s">
        <v>251</v>
      </c>
      <c r="D998" s="30" t="s">
        <v>50</v>
      </c>
      <c r="E998" s="30" t="s">
        <v>51</v>
      </c>
      <c r="F998" s="30" t="s">
        <v>46</v>
      </c>
      <c r="G998" s="30" t="s">
        <v>56</v>
      </c>
      <c r="H998" s="39">
        <v>45965</v>
      </c>
      <c r="I998" s="64">
        <v>142</v>
      </c>
      <c r="J998" s="64">
        <v>895</v>
      </c>
      <c r="K998" s="65">
        <v>0.12</v>
      </c>
      <c r="L998" s="11" t="s">
        <v>36</v>
      </c>
      <c r="M998" s="66">
        <v>127090</v>
      </c>
      <c r="N998" s="66">
        <v>111839.2</v>
      </c>
      <c r="O998" s="13" t="s">
        <v>267</v>
      </c>
    </row>
    <row r="999" spans="1:15" x14ac:dyDescent="0.3">
      <c r="A999" s="20" t="s">
        <v>763</v>
      </c>
      <c r="B999" s="10" t="s">
        <v>49</v>
      </c>
      <c r="C999" s="32" t="s">
        <v>251</v>
      </c>
      <c r="D999" s="32" t="s">
        <v>50</v>
      </c>
      <c r="E999" s="32" t="s">
        <v>40</v>
      </c>
      <c r="F999" s="32" t="s">
        <v>46</v>
      </c>
      <c r="G999" s="32" t="s">
        <v>42</v>
      </c>
      <c r="H999" s="41">
        <v>45968</v>
      </c>
      <c r="I999" s="70">
        <v>370</v>
      </c>
      <c r="J999" s="70">
        <v>895</v>
      </c>
      <c r="K999" s="71">
        <v>0.13</v>
      </c>
      <c r="L999" s="10" t="s">
        <v>36</v>
      </c>
      <c r="M999" s="72">
        <v>331150</v>
      </c>
      <c r="N999" s="72">
        <v>288100.5</v>
      </c>
      <c r="O999" s="12" t="s">
        <v>267</v>
      </c>
    </row>
    <row r="1000" spans="1:15" x14ac:dyDescent="0.3">
      <c r="A1000" s="20" t="s">
        <v>764</v>
      </c>
      <c r="B1000" s="11" t="s">
        <v>16</v>
      </c>
      <c r="C1000" s="30" t="s">
        <v>250</v>
      </c>
      <c r="D1000" s="30" t="s">
        <v>39</v>
      </c>
      <c r="E1000" s="30" t="s">
        <v>45</v>
      </c>
      <c r="F1000" s="30" t="s">
        <v>41</v>
      </c>
      <c r="G1000" s="30" t="s">
        <v>42</v>
      </c>
      <c r="H1000" s="39">
        <v>45969</v>
      </c>
      <c r="I1000" s="64">
        <v>108</v>
      </c>
      <c r="J1000" s="64">
        <v>990</v>
      </c>
      <c r="K1000" s="65">
        <v>0</v>
      </c>
      <c r="L1000" s="11" t="s">
        <v>36</v>
      </c>
      <c r="M1000" s="66">
        <v>106920</v>
      </c>
      <c r="N1000" s="66">
        <v>106920</v>
      </c>
      <c r="O1000" s="13" t="s">
        <v>267</v>
      </c>
    </row>
    <row r="1001" spans="1:15" x14ac:dyDescent="0.3">
      <c r="A1001" s="20" t="s">
        <v>765</v>
      </c>
      <c r="B1001" s="10" t="s">
        <v>262</v>
      </c>
      <c r="C1001" s="32" t="s">
        <v>263</v>
      </c>
      <c r="D1001" s="32" t="s">
        <v>50</v>
      </c>
      <c r="E1001" s="32" t="s">
        <v>27</v>
      </c>
      <c r="F1001" s="32" t="s">
        <v>34</v>
      </c>
      <c r="G1001" s="32" t="s">
        <v>35</v>
      </c>
      <c r="H1001" s="41">
        <v>45969</v>
      </c>
      <c r="I1001" s="70">
        <v>164</v>
      </c>
      <c r="J1001" s="70">
        <v>820</v>
      </c>
      <c r="K1001" s="71">
        <v>0.13</v>
      </c>
      <c r="L1001" s="10" t="s">
        <v>30</v>
      </c>
      <c r="M1001" s="72">
        <v>134480</v>
      </c>
      <c r="N1001" s="72">
        <v>116997.6</v>
      </c>
      <c r="O1001" s="12" t="s">
        <v>267</v>
      </c>
    </row>
    <row r="1002" spans="1:15" x14ac:dyDescent="0.3">
      <c r="A1002" s="20" t="s">
        <v>766</v>
      </c>
      <c r="B1002" s="11" t="s">
        <v>16</v>
      </c>
      <c r="C1002" s="30" t="s">
        <v>250</v>
      </c>
      <c r="D1002" s="30" t="s">
        <v>39</v>
      </c>
      <c r="E1002" s="30" t="s">
        <v>27</v>
      </c>
      <c r="F1002" s="30" t="s">
        <v>46</v>
      </c>
      <c r="G1002" s="30" t="s">
        <v>42</v>
      </c>
      <c r="H1002" s="39">
        <v>45969</v>
      </c>
      <c r="I1002" s="64">
        <v>161</v>
      </c>
      <c r="J1002" s="64">
        <v>990</v>
      </c>
      <c r="K1002" s="65">
        <v>0.11</v>
      </c>
      <c r="L1002" s="11" t="s">
        <v>36</v>
      </c>
      <c r="M1002" s="66">
        <v>159390</v>
      </c>
      <c r="N1002" s="66">
        <v>141857.1</v>
      </c>
      <c r="O1002" s="13" t="s">
        <v>267</v>
      </c>
    </row>
    <row r="1003" spans="1:15" x14ac:dyDescent="0.3">
      <c r="A1003" s="20" t="s">
        <v>767</v>
      </c>
      <c r="B1003" s="10" t="s">
        <v>38</v>
      </c>
      <c r="C1003" s="32" t="s">
        <v>247</v>
      </c>
      <c r="D1003" s="32" t="s">
        <v>39</v>
      </c>
      <c r="E1003" s="32" t="s">
        <v>27</v>
      </c>
      <c r="F1003" s="32" t="s">
        <v>46</v>
      </c>
      <c r="G1003" s="32" t="s">
        <v>53</v>
      </c>
      <c r="H1003" s="41">
        <v>45970</v>
      </c>
      <c r="I1003" s="70">
        <v>224</v>
      </c>
      <c r="J1003" s="70">
        <v>1200</v>
      </c>
      <c r="K1003" s="71">
        <v>0.15</v>
      </c>
      <c r="L1003" s="10" t="s">
        <v>30</v>
      </c>
      <c r="M1003" s="72">
        <v>268800</v>
      </c>
      <c r="N1003" s="72">
        <v>228480</v>
      </c>
      <c r="O1003" s="12" t="s">
        <v>267</v>
      </c>
    </row>
    <row r="1004" spans="1:15" x14ac:dyDescent="0.3">
      <c r="A1004" s="20" t="s">
        <v>768</v>
      </c>
      <c r="B1004" s="11" t="s">
        <v>260</v>
      </c>
      <c r="C1004" s="30" t="s">
        <v>261</v>
      </c>
      <c r="D1004" s="30" t="s">
        <v>39</v>
      </c>
      <c r="E1004" s="30" t="s">
        <v>40</v>
      </c>
      <c r="F1004" s="30" t="s">
        <v>34</v>
      </c>
      <c r="G1004" s="30" t="s">
        <v>56</v>
      </c>
      <c r="H1004" s="39">
        <v>45970</v>
      </c>
      <c r="I1004" s="64">
        <v>213</v>
      </c>
      <c r="J1004" s="64">
        <v>450</v>
      </c>
      <c r="K1004" s="65">
        <v>0.13</v>
      </c>
      <c r="L1004" s="11" t="s">
        <v>36</v>
      </c>
      <c r="M1004" s="66">
        <v>95850</v>
      </c>
      <c r="N1004" s="66">
        <v>83389.5</v>
      </c>
      <c r="O1004" s="13" t="s">
        <v>265</v>
      </c>
    </row>
    <row r="1005" spans="1:15" x14ac:dyDescent="0.3">
      <c r="A1005" s="20" t="s">
        <v>769</v>
      </c>
      <c r="B1005" s="10" t="s">
        <v>262</v>
      </c>
      <c r="C1005" s="32" t="s">
        <v>263</v>
      </c>
      <c r="D1005" s="32" t="s">
        <v>50</v>
      </c>
      <c r="E1005" s="32" t="s">
        <v>33</v>
      </c>
      <c r="F1005" s="32" t="s">
        <v>28</v>
      </c>
      <c r="G1005" s="32" t="s">
        <v>29</v>
      </c>
      <c r="H1005" s="41">
        <v>45970</v>
      </c>
      <c r="I1005" s="70">
        <v>358</v>
      </c>
      <c r="J1005" s="70">
        <v>820</v>
      </c>
      <c r="K1005" s="71">
        <v>0.12</v>
      </c>
      <c r="L1005" s="10" t="s">
        <v>36</v>
      </c>
      <c r="M1005" s="72">
        <v>293560</v>
      </c>
      <c r="N1005" s="72">
        <v>258332.79999999999</v>
      </c>
      <c r="O1005" s="12" t="s">
        <v>267</v>
      </c>
    </row>
    <row r="1006" spans="1:15" x14ac:dyDescent="0.3">
      <c r="A1006" s="20" t="s">
        <v>770</v>
      </c>
      <c r="B1006" s="11" t="s">
        <v>32</v>
      </c>
      <c r="C1006" s="30" t="s">
        <v>246</v>
      </c>
      <c r="D1006" s="30" t="s">
        <v>26</v>
      </c>
      <c r="E1006" s="30" t="s">
        <v>51</v>
      </c>
      <c r="F1006" s="30" t="s">
        <v>34</v>
      </c>
      <c r="G1006" s="30" t="s">
        <v>42</v>
      </c>
      <c r="H1006" s="39">
        <v>45971</v>
      </c>
      <c r="I1006" s="64">
        <v>181</v>
      </c>
      <c r="J1006" s="64">
        <v>420</v>
      </c>
      <c r="K1006" s="65">
        <v>7.0000000000000007E-2</v>
      </c>
      <c r="L1006" s="11" t="s">
        <v>36</v>
      </c>
      <c r="M1006" s="66">
        <v>76020</v>
      </c>
      <c r="N1006" s="66">
        <v>70698.600000000006</v>
      </c>
      <c r="O1006" s="13" t="s">
        <v>265</v>
      </c>
    </row>
    <row r="1007" spans="1:15" x14ac:dyDescent="0.3">
      <c r="A1007" s="20" t="s">
        <v>771</v>
      </c>
      <c r="B1007" s="10" t="s">
        <v>32</v>
      </c>
      <c r="C1007" s="32" t="s">
        <v>246</v>
      </c>
      <c r="D1007" s="32" t="s">
        <v>26</v>
      </c>
      <c r="E1007" s="32" t="s">
        <v>33</v>
      </c>
      <c r="F1007" s="32" t="s">
        <v>41</v>
      </c>
      <c r="G1007" s="32" t="s">
        <v>47</v>
      </c>
      <c r="H1007" s="41">
        <v>45972</v>
      </c>
      <c r="I1007" s="70">
        <v>53</v>
      </c>
      <c r="J1007" s="70">
        <v>420</v>
      </c>
      <c r="K1007" s="71">
        <v>0</v>
      </c>
      <c r="L1007" s="10" t="s">
        <v>36</v>
      </c>
      <c r="M1007" s="72">
        <v>22260</v>
      </c>
      <c r="N1007" s="72">
        <v>22260</v>
      </c>
      <c r="O1007" s="12" t="s">
        <v>265</v>
      </c>
    </row>
    <row r="1008" spans="1:15" x14ac:dyDescent="0.3">
      <c r="A1008" s="20" t="s">
        <v>772</v>
      </c>
      <c r="B1008" s="11" t="s">
        <v>260</v>
      </c>
      <c r="C1008" s="30" t="s">
        <v>261</v>
      </c>
      <c r="D1008" s="30" t="s">
        <v>39</v>
      </c>
      <c r="E1008" s="30" t="s">
        <v>40</v>
      </c>
      <c r="F1008" s="30" t="s">
        <v>52</v>
      </c>
      <c r="G1008" s="30" t="s">
        <v>29</v>
      </c>
      <c r="H1008" s="39">
        <v>45973</v>
      </c>
      <c r="I1008" s="64">
        <v>163</v>
      </c>
      <c r="J1008" s="64">
        <v>450</v>
      </c>
      <c r="K1008" s="65">
        <v>0.03</v>
      </c>
      <c r="L1008" s="11" t="s">
        <v>30</v>
      </c>
      <c r="M1008" s="66">
        <v>73350</v>
      </c>
      <c r="N1008" s="66">
        <v>71149.5</v>
      </c>
      <c r="O1008" s="13" t="s">
        <v>265</v>
      </c>
    </row>
    <row r="1009" spans="1:15" x14ac:dyDescent="0.3">
      <c r="A1009" s="20" t="s">
        <v>773</v>
      </c>
      <c r="B1009" s="10" t="s">
        <v>16</v>
      </c>
      <c r="C1009" s="32" t="s">
        <v>250</v>
      </c>
      <c r="D1009" s="32" t="s">
        <v>39</v>
      </c>
      <c r="E1009" s="32" t="s">
        <v>51</v>
      </c>
      <c r="F1009" s="32" t="s">
        <v>52</v>
      </c>
      <c r="G1009" s="32" t="s">
        <v>56</v>
      </c>
      <c r="H1009" s="41">
        <v>45973</v>
      </c>
      <c r="I1009" s="70">
        <v>60</v>
      </c>
      <c r="J1009" s="70">
        <v>990</v>
      </c>
      <c r="K1009" s="71">
        <v>0.11</v>
      </c>
      <c r="L1009" s="10" t="s">
        <v>36</v>
      </c>
      <c r="M1009" s="72">
        <v>59400</v>
      </c>
      <c r="N1009" s="72">
        <v>52866</v>
      </c>
      <c r="O1009" s="12" t="s">
        <v>265</v>
      </c>
    </row>
    <row r="1010" spans="1:15" x14ac:dyDescent="0.3">
      <c r="A1010" s="20" t="s">
        <v>774</v>
      </c>
      <c r="B1010" s="11" t="s">
        <v>44</v>
      </c>
      <c r="C1010" s="30" t="s">
        <v>254</v>
      </c>
      <c r="D1010" s="30" t="s">
        <v>39</v>
      </c>
      <c r="E1010" s="30" t="s">
        <v>33</v>
      </c>
      <c r="F1010" s="30" t="s">
        <v>52</v>
      </c>
      <c r="G1010" s="30" t="s">
        <v>35</v>
      </c>
      <c r="H1010" s="39">
        <v>45975</v>
      </c>
      <c r="I1010" s="64">
        <v>187</v>
      </c>
      <c r="J1010" s="64">
        <v>200</v>
      </c>
      <c r="K1010" s="65">
        <v>0.05</v>
      </c>
      <c r="L1010" s="11" t="s">
        <v>30</v>
      </c>
      <c r="M1010" s="66">
        <v>37400</v>
      </c>
      <c r="N1010" s="66">
        <v>35530</v>
      </c>
      <c r="O1010" s="13" t="s">
        <v>265</v>
      </c>
    </row>
    <row r="1011" spans="1:15" x14ac:dyDescent="0.3">
      <c r="A1011" s="20" t="s">
        <v>775</v>
      </c>
      <c r="B1011" s="10" t="s">
        <v>260</v>
      </c>
      <c r="C1011" s="32" t="s">
        <v>261</v>
      </c>
      <c r="D1011" s="32" t="s">
        <v>39</v>
      </c>
      <c r="E1011" s="32" t="s">
        <v>27</v>
      </c>
      <c r="F1011" s="32" t="s">
        <v>34</v>
      </c>
      <c r="G1011" s="32" t="s">
        <v>42</v>
      </c>
      <c r="H1011" s="41">
        <v>45975</v>
      </c>
      <c r="I1011" s="70">
        <v>446</v>
      </c>
      <c r="J1011" s="70">
        <v>450</v>
      </c>
      <c r="K1011" s="71">
        <v>0.1</v>
      </c>
      <c r="L1011" s="10" t="s">
        <v>36</v>
      </c>
      <c r="M1011" s="72">
        <v>200700</v>
      </c>
      <c r="N1011" s="72">
        <v>180630</v>
      </c>
      <c r="O1011" s="12" t="s">
        <v>267</v>
      </c>
    </row>
    <row r="1012" spans="1:15" x14ac:dyDescent="0.3">
      <c r="A1012" s="20" t="s">
        <v>776</v>
      </c>
      <c r="B1012" s="11" t="s">
        <v>32</v>
      </c>
      <c r="C1012" s="30" t="s">
        <v>246</v>
      </c>
      <c r="D1012" s="30" t="s">
        <v>26</v>
      </c>
      <c r="E1012" s="30" t="s">
        <v>27</v>
      </c>
      <c r="F1012" s="30" t="s">
        <v>28</v>
      </c>
      <c r="G1012" s="30" t="s">
        <v>56</v>
      </c>
      <c r="H1012" s="39">
        <v>45977</v>
      </c>
      <c r="I1012" s="64">
        <v>237</v>
      </c>
      <c r="J1012" s="64">
        <v>420</v>
      </c>
      <c r="K1012" s="65">
        <v>0.12</v>
      </c>
      <c r="L1012" s="11" t="s">
        <v>36</v>
      </c>
      <c r="M1012" s="66">
        <v>99540</v>
      </c>
      <c r="N1012" s="66">
        <v>87595.199999999997</v>
      </c>
      <c r="O1012" s="13" t="s">
        <v>265</v>
      </c>
    </row>
    <row r="1013" spans="1:15" x14ac:dyDescent="0.3">
      <c r="A1013" s="20" t="s">
        <v>777</v>
      </c>
      <c r="B1013" s="10" t="s">
        <v>55</v>
      </c>
      <c r="C1013" s="32" t="s">
        <v>249</v>
      </c>
      <c r="D1013" s="32" t="s">
        <v>39</v>
      </c>
      <c r="E1013" s="32" t="s">
        <v>45</v>
      </c>
      <c r="F1013" s="32" t="s">
        <v>28</v>
      </c>
      <c r="G1013" s="32" t="s">
        <v>53</v>
      </c>
      <c r="H1013" s="41">
        <v>45977</v>
      </c>
      <c r="I1013" s="70">
        <v>291</v>
      </c>
      <c r="J1013" s="70">
        <v>650</v>
      </c>
      <c r="K1013" s="71">
        <v>0.05</v>
      </c>
      <c r="L1013" s="10" t="s">
        <v>30</v>
      </c>
      <c r="M1013" s="72">
        <v>189150</v>
      </c>
      <c r="N1013" s="72">
        <v>179692.5</v>
      </c>
      <c r="O1013" s="12" t="s">
        <v>267</v>
      </c>
    </row>
    <row r="1014" spans="1:15" x14ac:dyDescent="0.3">
      <c r="A1014" s="20" t="s">
        <v>778</v>
      </c>
      <c r="B1014" s="11" t="s">
        <v>61</v>
      </c>
      <c r="C1014" s="30" t="s">
        <v>244</v>
      </c>
      <c r="D1014" s="30" t="s">
        <v>26</v>
      </c>
      <c r="E1014" s="30" t="s">
        <v>40</v>
      </c>
      <c r="F1014" s="30" t="s">
        <v>34</v>
      </c>
      <c r="G1014" s="30" t="s">
        <v>29</v>
      </c>
      <c r="H1014" s="39">
        <v>45977</v>
      </c>
      <c r="I1014" s="64">
        <v>100</v>
      </c>
      <c r="J1014" s="64">
        <v>280</v>
      </c>
      <c r="K1014" s="65">
        <v>0.05</v>
      </c>
      <c r="L1014" s="11" t="s">
        <v>36</v>
      </c>
      <c r="M1014" s="66">
        <v>28000</v>
      </c>
      <c r="N1014" s="66">
        <v>26600</v>
      </c>
      <c r="O1014" s="13" t="s">
        <v>265</v>
      </c>
    </row>
    <row r="1015" spans="1:15" x14ac:dyDescent="0.3">
      <c r="A1015" s="20" t="s">
        <v>779</v>
      </c>
      <c r="B1015" s="10" t="s">
        <v>63</v>
      </c>
      <c r="C1015" s="32" t="s">
        <v>253</v>
      </c>
      <c r="D1015" s="32" t="s">
        <v>50</v>
      </c>
      <c r="E1015" s="32" t="s">
        <v>40</v>
      </c>
      <c r="F1015" s="32" t="s">
        <v>28</v>
      </c>
      <c r="G1015" s="32" t="s">
        <v>35</v>
      </c>
      <c r="H1015" s="41">
        <v>45978</v>
      </c>
      <c r="I1015" s="70">
        <v>161</v>
      </c>
      <c r="J1015" s="70">
        <v>750</v>
      </c>
      <c r="K1015" s="71">
        <v>0.08</v>
      </c>
      <c r="L1015" s="10" t="s">
        <v>36</v>
      </c>
      <c r="M1015" s="72">
        <v>120750</v>
      </c>
      <c r="N1015" s="72">
        <v>111090</v>
      </c>
      <c r="O1015" s="12" t="s">
        <v>267</v>
      </c>
    </row>
    <row r="1016" spans="1:15" x14ac:dyDescent="0.3">
      <c r="A1016" s="20" t="s">
        <v>780</v>
      </c>
      <c r="B1016" s="11" t="s">
        <v>58</v>
      </c>
      <c r="C1016" s="30" t="s">
        <v>255</v>
      </c>
      <c r="D1016" s="30" t="s">
        <v>59</v>
      </c>
      <c r="E1016" s="30" t="s">
        <v>51</v>
      </c>
      <c r="F1016" s="30" t="s">
        <v>46</v>
      </c>
      <c r="G1016" s="30" t="s">
        <v>56</v>
      </c>
      <c r="H1016" s="39">
        <v>45978</v>
      </c>
      <c r="I1016" s="64">
        <v>287</v>
      </c>
      <c r="J1016" s="64">
        <v>2800</v>
      </c>
      <c r="K1016" s="65">
        <v>0.12</v>
      </c>
      <c r="L1016" s="11" t="s">
        <v>30</v>
      </c>
      <c r="M1016" s="66">
        <v>803600</v>
      </c>
      <c r="N1016" s="66">
        <v>707168</v>
      </c>
      <c r="O1016" s="13" t="s">
        <v>277</v>
      </c>
    </row>
    <row r="1017" spans="1:15" x14ac:dyDescent="0.3">
      <c r="A1017" s="20" t="s">
        <v>781</v>
      </c>
      <c r="B1017" s="10" t="s">
        <v>16</v>
      </c>
      <c r="C1017" s="32" t="s">
        <v>250</v>
      </c>
      <c r="D1017" s="32" t="s">
        <v>39</v>
      </c>
      <c r="E1017" s="32" t="s">
        <v>45</v>
      </c>
      <c r="F1017" s="32" t="s">
        <v>41</v>
      </c>
      <c r="G1017" s="32" t="s">
        <v>53</v>
      </c>
      <c r="H1017" s="41">
        <v>45979</v>
      </c>
      <c r="I1017" s="70">
        <v>268</v>
      </c>
      <c r="J1017" s="70">
        <v>990</v>
      </c>
      <c r="K1017" s="71">
        <v>0.05</v>
      </c>
      <c r="L1017" s="10" t="s">
        <v>36</v>
      </c>
      <c r="M1017" s="72">
        <v>265320</v>
      </c>
      <c r="N1017" s="72">
        <v>252054</v>
      </c>
      <c r="O1017" s="12" t="s">
        <v>267</v>
      </c>
    </row>
    <row r="1018" spans="1:15" x14ac:dyDescent="0.3">
      <c r="A1018" s="20" t="s">
        <v>782</v>
      </c>
      <c r="B1018" s="11" t="s">
        <v>258</v>
      </c>
      <c r="C1018" s="30" t="s">
        <v>259</v>
      </c>
      <c r="D1018" s="30" t="s">
        <v>26</v>
      </c>
      <c r="E1018" s="30" t="s">
        <v>51</v>
      </c>
      <c r="F1018" s="30" t="s">
        <v>28</v>
      </c>
      <c r="G1018" s="30" t="s">
        <v>42</v>
      </c>
      <c r="H1018" s="39">
        <v>45981</v>
      </c>
      <c r="I1018" s="64">
        <v>403</v>
      </c>
      <c r="J1018" s="64">
        <v>680</v>
      </c>
      <c r="K1018" s="65">
        <v>0</v>
      </c>
      <c r="L1018" s="11" t="s">
        <v>36</v>
      </c>
      <c r="M1018" s="66">
        <v>274040</v>
      </c>
      <c r="N1018" s="66">
        <v>274040</v>
      </c>
      <c r="O1018" s="13" t="s">
        <v>267</v>
      </c>
    </row>
    <row r="1019" spans="1:15" x14ac:dyDescent="0.3">
      <c r="A1019" s="20" t="s">
        <v>783</v>
      </c>
      <c r="B1019" s="10" t="s">
        <v>58</v>
      </c>
      <c r="C1019" s="32" t="s">
        <v>255</v>
      </c>
      <c r="D1019" s="32" t="s">
        <v>59</v>
      </c>
      <c r="E1019" s="32" t="s">
        <v>33</v>
      </c>
      <c r="F1019" s="32" t="s">
        <v>52</v>
      </c>
      <c r="G1019" s="32" t="s">
        <v>56</v>
      </c>
      <c r="H1019" s="41">
        <v>45981</v>
      </c>
      <c r="I1019" s="70">
        <v>339</v>
      </c>
      <c r="J1019" s="70">
        <v>2800</v>
      </c>
      <c r="K1019" s="71">
        <v>0.15</v>
      </c>
      <c r="L1019" s="10" t="s">
        <v>36</v>
      </c>
      <c r="M1019" s="72">
        <v>949200</v>
      </c>
      <c r="N1019" s="72">
        <v>806820</v>
      </c>
      <c r="O1019" s="12" t="s">
        <v>277</v>
      </c>
    </row>
    <row r="1020" spans="1:15" x14ac:dyDescent="0.3">
      <c r="A1020" s="20" t="s">
        <v>784</v>
      </c>
      <c r="B1020" s="11" t="s">
        <v>63</v>
      </c>
      <c r="C1020" s="30" t="s">
        <v>253</v>
      </c>
      <c r="D1020" s="30" t="s">
        <v>50</v>
      </c>
      <c r="E1020" s="30" t="s">
        <v>40</v>
      </c>
      <c r="F1020" s="30" t="s">
        <v>28</v>
      </c>
      <c r="G1020" s="30" t="s">
        <v>56</v>
      </c>
      <c r="H1020" s="39">
        <v>45984</v>
      </c>
      <c r="I1020" s="64">
        <v>33</v>
      </c>
      <c r="J1020" s="64">
        <v>750</v>
      </c>
      <c r="K1020" s="65">
        <v>7.0000000000000007E-2</v>
      </c>
      <c r="L1020" s="11" t="s">
        <v>30</v>
      </c>
      <c r="M1020" s="66">
        <v>24750</v>
      </c>
      <c r="N1020" s="66">
        <v>23017.5</v>
      </c>
      <c r="O1020" s="13" t="s">
        <v>265</v>
      </c>
    </row>
    <row r="1021" spans="1:15" x14ac:dyDescent="0.3">
      <c r="A1021" s="20" t="s">
        <v>785</v>
      </c>
      <c r="B1021" s="10" t="s">
        <v>258</v>
      </c>
      <c r="C1021" s="32" t="s">
        <v>259</v>
      </c>
      <c r="D1021" s="32" t="s">
        <v>26</v>
      </c>
      <c r="E1021" s="32" t="s">
        <v>51</v>
      </c>
      <c r="F1021" s="32" t="s">
        <v>28</v>
      </c>
      <c r="G1021" s="32" t="s">
        <v>29</v>
      </c>
      <c r="H1021" s="41">
        <v>45984</v>
      </c>
      <c r="I1021" s="70">
        <v>198</v>
      </c>
      <c r="J1021" s="70">
        <v>680</v>
      </c>
      <c r="K1021" s="71">
        <v>0.08</v>
      </c>
      <c r="L1021" s="10" t="s">
        <v>36</v>
      </c>
      <c r="M1021" s="72">
        <v>134640</v>
      </c>
      <c r="N1021" s="72">
        <v>123868.8</v>
      </c>
      <c r="O1021" s="12" t="s">
        <v>267</v>
      </c>
    </row>
    <row r="1022" spans="1:15" x14ac:dyDescent="0.3">
      <c r="A1022" s="20" t="s">
        <v>786</v>
      </c>
      <c r="B1022" s="11" t="s">
        <v>262</v>
      </c>
      <c r="C1022" s="30" t="s">
        <v>263</v>
      </c>
      <c r="D1022" s="30" t="s">
        <v>50</v>
      </c>
      <c r="E1022" s="30" t="s">
        <v>33</v>
      </c>
      <c r="F1022" s="30" t="s">
        <v>34</v>
      </c>
      <c r="G1022" s="30" t="s">
        <v>47</v>
      </c>
      <c r="H1022" s="39">
        <v>45984</v>
      </c>
      <c r="I1022" s="64">
        <v>177</v>
      </c>
      <c r="J1022" s="64">
        <v>820</v>
      </c>
      <c r="K1022" s="65">
        <v>0.1</v>
      </c>
      <c r="L1022" s="11" t="s">
        <v>30</v>
      </c>
      <c r="M1022" s="66">
        <v>145140</v>
      </c>
      <c r="N1022" s="66">
        <v>130626</v>
      </c>
      <c r="O1022" s="13" t="s">
        <v>267</v>
      </c>
    </row>
    <row r="1023" spans="1:15" x14ac:dyDescent="0.3">
      <c r="A1023" s="20" t="s">
        <v>787</v>
      </c>
      <c r="B1023" s="10" t="s">
        <v>44</v>
      </c>
      <c r="C1023" s="32" t="s">
        <v>254</v>
      </c>
      <c r="D1023" s="32" t="s">
        <v>39</v>
      </c>
      <c r="E1023" s="32" t="s">
        <v>27</v>
      </c>
      <c r="F1023" s="32" t="s">
        <v>28</v>
      </c>
      <c r="G1023" s="32" t="s">
        <v>47</v>
      </c>
      <c r="H1023" s="41">
        <v>45985</v>
      </c>
      <c r="I1023" s="70">
        <v>89</v>
      </c>
      <c r="J1023" s="70">
        <v>200</v>
      </c>
      <c r="K1023" s="71">
        <v>0.08</v>
      </c>
      <c r="L1023" s="10" t="s">
        <v>30</v>
      </c>
      <c r="M1023" s="72">
        <v>17800</v>
      </c>
      <c r="N1023" s="72">
        <v>16376</v>
      </c>
      <c r="O1023" s="12" t="s">
        <v>265</v>
      </c>
    </row>
    <row r="1024" spans="1:15" x14ac:dyDescent="0.3">
      <c r="A1024" s="20" t="s">
        <v>788</v>
      </c>
      <c r="B1024" s="11" t="s">
        <v>44</v>
      </c>
      <c r="C1024" s="30" t="s">
        <v>254</v>
      </c>
      <c r="D1024" s="30" t="s">
        <v>39</v>
      </c>
      <c r="E1024" s="30" t="s">
        <v>33</v>
      </c>
      <c r="F1024" s="30" t="s">
        <v>28</v>
      </c>
      <c r="G1024" s="30" t="s">
        <v>42</v>
      </c>
      <c r="H1024" s="39">
        <v>45986</v>
      </c>
      <c r="I1024" s="64">
        <v>193</v>
      </c>
      <c r="J1024" s="64">
        <v>200</v>
      </c>
      <c r="K1024" s="65">
        <v>0.05</v>
      </c>
      <c r="L1024" s="11" t="s">
        <v>36</v>
      </c>
      <c r="M1024" s="66">
        <v>38600</v>
      </c>
      <c r="N1024" s="66">
        <v>36670</v>
      </c>
      <c r="O1024" s="13" t="s">
        <v>265</v>
      </c>
    </row>
    <row r="1025" spans="1:15" x14ac:dyDescent="0.3">
      <c r="A1025" s="20" t="s">
        <v>789</v>
      </c>
      <c r="B1025" s="10" t="s">
        <v>32</v>
      </c>
      <c r="C1025" s="32" t="s">
        <v>246</v>
      </c>
      <c r="D1025" s="32" t="s">
        <v>26</v>
      </c>
      <c r="E1025" s="32" t="s">
        <v>51</v>
      </c>
      <c r="F1025" s="32" t="s">
        <v>28</v>
      </c>
      <c r="G1025" s="32" t="s">
        <v>29</v>
      </c>
      <c r="H1025" s="41">
        <v>45986</v>
      </c>
      <c r="I1025" s="70">
        <v>283</v>
      </c>
      <c r="J1025" s="70">
        <v>420</v>
      </c>
      <c r="K1025" s="71">
        <v>0.14000000000000001</v>
      </c>
      <c r="L1025" s="10" t="s">
        <v>36</v>
      </c>
      <c r="M1025" s="72">
        <v>118860</v>
      </c>
      <c r="N1025" s="72">
        <v>102219.6</v>
      </c>
      <c r="O1025" s="12" t="s">
        <v>267</v>
      </c>
    </row>
    <row r="1026" spans="1:15" x14ac:dyDescent="0.3">
      <c r="A1026" s="20" t="s">
        <v>790</v>
      </c>
      <c r="B1026" s="11" t="s">
        <v>25</v>
      </c>
      <c r="C1026" s="30" t="s">
        <v>257</v>
      </c>
      <c r="D1026" s="30" t="s">
        <v>26</v>
      </c>
      <c r="E1026" s="30" t="s">
        <v>27</v>
      </c>
      <c r="F1026" s="30" t="s">
        <v>52</v>
      </c>
      <c r="G1026" s="30" t="s">
        <v>29</v>
      </c>
      <c r="H1026" s="39">
        <v>45987</v>
      </c>
      <c r="I1026" s="64">
        <v>121</v>
      </c>
      <c r="J1026" s="64">
        <v>350</v>
      </c>
      <c r="K1026" s="65">
        <v>0.13</v>
      </c>
      <c r="L1026" s="11" t="s">
        <v>36</v>
      </c>
      <c r="M1026" s="66">
        <v>42350</v>
      </c>
      <c r="N1026" s="66">
        <v>36844.5</v>
      </c>
      <c r="O1026" s="13" t="s">
        <v>265</v>
      </c>
    </row>
    <row r="1027" spans="1:15" x14ac:dyDescent="0.3">
      <c r="A1027" s="20" t="s">
        <v>791</v>
      </c>
      <c r="B1027" s="10" t="s">
        <v>32</v>
      </c>
      <c r="C1027" s="32" t="s">
        <v>246</v>
      </c>
      <c r="D1027" s="32" t="s">
        <v>26</v>
      </c>
      <c r="E1027" s="32" t="s">
        <v>45</v>
      </c>
      <c r="F1027" s="32" t="s">
        <v>41</v>
      </c>
      <c r="G1027" s="32" t="s">
        <v>29</v>
      </c>
      <c r="H1027" s="41">
        <v>45987</v>
      </c>
      <c r="I1027" s="70">
        <v>231</v>
      </c>
      <c r="J1027" s="70">
        <v>420</v>
      </c>
      <c r="K1027" s="71">
        <v>0.11</v>
      </c>
      <c r="L1027" s="10" t="s">
        <v>36</v>
      </c>
      <c r="M1027" s="72">
        <v>97020</v>
      </c>
      <c r="N1027" s="72">
        <v>86347.8</v>
      </c>
      <c r="O1027" s="12" t="s">
        <v>265</v>
      </c>
    </row>
    <row r="1028" spans="1:15" x14ac:dyDescent="0.3">
      <c r="A1028" s="20" t="s">
        <v>792</v>
      </c>
      <c r="B1028" s="11" t="s">
        <v>49</v>
      </c>
      <c r="C1028" s="30" t="s">
        <v>251</v>
      </c>
      <c r="D1028" s="30" t="s">
        <v>50</v>
      </c>
      <c r="E1028" s="30" t="s">
        <v>51</v>
      </c>
      <c r="F1028" s="30" t="s">
        <v>46</v>
      </c>
      <c r="G1028" s="30" t="s">
        <v>47</v>
      </c>
      <c r="H1028" s="39">
        <v>45988</v>
      </c>
      <c r="I1028" s="64">
        <v>296</v>
      </c>
      <c r="J1028" s="64">
        <v>895</v>
      </c>
      <c r="K1028" s="65">
        <v>0.05</v>
      </c>
      <c r="L1028" s="11" t="s">
        <v>36</v>
      </c>
      <c r="M1028" s="66">
        <v>264920</v>
      </c>
      <c r="N1028" s="66">
        <v>251674</v>
      </c>
      <c r="O1028" s="13" t="s">
        <v>267</v>
      </c>
    </row>
    <row r="1029" spans="1:15" x14ac:dyDescent="0.3">
      <c r="A1029" s="20" t="s">
        <v>793</v>
      </c>
      <c r="B1029" s="10" t="s">
        <v>63</v>
      </c>
      <c r="C1029" s="32" t="s">
        <v>253</v>
      </c>
      <c r="D1029" s="32" t="s">
        <v>50</v>
      </c>
      <c r="E1029" s="32" t="s">
        <v>33</v>
      </c>
      <c r="F1029" s="32" t="s">
        <v>46</v>
      </c>
      <c r="G1029" s="32" t="s">
        <v>29</v>
      </c>
      <c r="H1029" s="41">
        <v>45988</v>
      </c>
      <c r="I1029" s="70">
        <v>152</v>
      </c>
      <c r="J1029" s="70">
        <v>750</v>
      </c>
      <c r="K1029" s="71">
        <v>0.05</v>
      </c>
      <c r="L1029" s="10" t="s">
        <v>30</v>
      </c>
      <c r="M1029" s="72">
        <v>114000</v>
      </c>
      <c r="N1029" s="72">
        <v>108300</v>
      </c>
      <c r="O1029" s="12" t="s">
        <v>267</v>
      </c>
    </row>
    <row r="1030" spans="1:15" x14ac:dyDescent="0.3">
      <c r="A1030" s="20" t="s">
        <v>794</v>
      </c>
      <c r="B1030" s="11" t="s">
        <v>262</v>
      </c>
      <c r="C1030" s="30" t="s">
        <v>263</v>
      </c>
      <c r="D1030" s="30" t="s">
        <v>50</v>
      </c>
      <c r="E1030" s="30" t="s">
        <v>45</v>
      </c>
      <c r="F1030" s="30" t="s">
        <v>34</v>
      </c>
      <c r="G1030" s="30" t="s">
        <v>35</v>
      </c>
      <c r="H1030" s="39">
        <v>45989</v>
      </c>
      <c r="I1030" s="64">
        <v>368</v>
      </c>
      <c r="J1030" s="64">
        <v>820</v>
      </c>
      <c r="K1030" s="65">
        <v>0.05</v>
      </c>
      <c r="L1030" s="11" t="s">
        <v>36</v>
      </c>
      <c r="M1030" s="66">
        <v>301760</v>
      </c>
      <c r="N1030" s="66">
        <v>286672</v>
      </c>
      <c r="O1030" s="13" t="s">
        <v>267</v>
      </c>
    </row>
    <row r="1031" spans="1:15" x14ac:dyDescent="0.3">
      <c r="A1031" s="20" t="s">
        <v>795</v>
      </c>
      <c r="B1031" s="10" t="s">
        <v>260</v>
      </c>
      <c r="C1031" s="32" t="s">
        <v>261</v>
      </c>
      <c r="D1031" s="32" t="s">
        <v>39</v>
      </c>
      <c r="E1031" s="32" t="s">
        <v>40</v>
      </c>
      <c r="F1031" s="32" t="s">
        <v>28</v>
      </c>
      <c r="G1031" s="32" t="s">
        <v>47</v>
      </c>
      <c r="H1031" s="41">
        <v>45991</v>
      </c>
      <c r="I1031" s="70">
        <v>417</v>
      </c>
      <c r="J1031" s="70">
        <v>450</v>
      </c>
      <c r="K1031" s="71">
        <v>0.1</v>
      </c>
      <c r="L1031" s="10" t="s">
        <v>36</v>
      </c>
      <c r="M1031" s="72">
        <v>187650</v>
      </c>
      <c r="N1031" s="72">
        <v>168885</v>
      </c>
      <c r="O1031" s="12" t="s">
        <v>267</v>
      </c>
    </row>
    <row r="1032" spans="1:15" x14ac:dyDescent="0.3">
      <c r="A1032" s="20" t="s">
        <v>796</v>
      </c>
      <c r="B1032" s="11" t="s">
        <v>32</v>
      </c>
      <c r="C1032" s="30" t="s">
        <v>246</v>
      </c>
      <c r="D1032" s="30" t="s">
        <v>26</v>
      </c>
      <c r="E1032" s="30" t="s">
        <v>27</v>
      </c>
      <c r="F1032" s="30" t="s">
        <v>41</v>
      </c>
      <c r="G1032" s="30" t="s">
        <v>53</v>
      </c>
      <c r="H1032" s="39">
        <v>45994</v>
      </c>
      <c r="I1032" s="64">
        <v>71</v>
      </c>
      <c r="J1032" s="64">
        <v>420</v>
      </c>
      <c r="K1032" s="65">
        <v>0.13</v>
      </c>
      <c r="L1032" s="11" t="s">
        <v>30</v>
      </c>
      <c r="M1032" s="66">
        <v>29820</v>
      </c>
      <c r="N1032" s="66">
        <v>25943.4</v>
      </c>
      <c r="O1032" s="13" t="s">
        <v>265</v>
      </c>
    </row>
    <row r="1033" spans="1:15" x14ac:dyDescent="0.3">
      <c r="A1033" s="20" t="s">
        <v>797</v>
      </c>
      <c r="B1033" s="10" t="s">
        <v>25</v>
      </c>
      <c r="C1033" s="32" t="s">
        <v>257</v>
      </c>
      <c r="D1033" s="32" t="s">
        <v>26</v>
      </c>
      <c r="E1033" s="32" t="s">
        <v>45</v>
      </c>
      <c r="F1033" s="32" t="s">
        <v>46</v>
      </c>
      <c r="G1033" s="32" t="s">
        <v>29</v>
      </c>
      <c r="H1033" s="41">
        <v>45996</v>
      </c>
      <c r="I1033" s="70">
        <v>297</v>
      </c>
      <c r="J1033" s="70">
        <v>350</v>
      </c>
      <c r="K1033" s="71">
        <v>0.13</v>
      </c>
      <c r="L1033" s="10" t="s">
        <v>36</v>
      </c>
      <c r="M1033" s="72">
        <v>103950</v>
      </c>
      <c r="N1033" s="72">
        <v>90436.5</v>
      </c>
      <c r="O1033" s="12" t="s">
        <v>265</v>
      </c>
    </row>
    <row r="1034" spans="1:15" x14ac:dyDescent="0.3">
      <c r="A1034" s="20" t="s">
        <v>798</v>
      </c>
      <c r="B1034" s="11" t="s">
        <v>262</v>
      </c>
      <c r="C1034" s="30" t="s">
        <v>263</v>
      </c>
      <c r="D1034" s="30" t="s">
        <v>50</v>
      </c>
      <c r="E1034" s="30" t="s">
        <v>51</v>
      </c>
      <c r="F1034" s="30" t="s">
        <v>46</v>
      </c>
      <c r="G1034" s="30" t="s">
        <v>29</v>
      </c>
      <c r="H1034" s="39">
        <v>45997</v>
      </c>
      <c r="I1034" s="64">
        <v>181</v>
      </c>
      <c r="J1034" s="64">
        <v>820</v>
      </c>
      <c r="K1034" s="65">
        <v>0</v>
      </c>
      <c r="L1034" s="11" t="s">
        <v>36</v>
      </c>
      <c r="M1034" s="66">
        <v>148420</v>
      </c>
      <c r="N1034" s="66">
        <v>148420</v>
      </c>
      <c r="O1034" s="13" t="s">
        <v>267</v>
      </c>
    </row>
    <row r="1035" spans="1:15" x14ac:dyDescent="0.3">
      <c r="A1035" s="20" t="s">
        <v>799</v>
      </c>
      <c r="B1035" s="10" t="s">
        <v>49</v>
      </c>
      <c r="C1035" s="32" t="s">
        <v>251</v>
      </c>
      <c r="D1035" s="32" t="s">
        <v>50</v>
      </c>
      <c r="E1035" s="32" t="s">
        <v>45</v>
      </c>
      <c r="F1035" s="32" t="s">
        <v>41</v>
      </c>
      <c r="G1035" s="32" t="s">
        <v>47</v>
      </c>
      <c r="H1035" s="41">
        <v>45997</v>
      </c>
      <c r="I1035" s="70">
        <v>356</v>
      </c>
      <c r="J1035" s="70">
        <v>895</v>
      </c>
      <c r="K1035" s="71">
        <v>0.1</v>
      </c>
      <c r="L1035" s="10" t="s">
        <v>36</v>
      </c>
      <c r="M1035" s="72">
        <v>318620</v>
      </c>
      <c r="N1035" s="72">
        <v>286758</v>
      </c>
      <c r="O1035" s="12" t="s">
        <v>267</v>
      </c>
    </row>
    <row r="1036" spans="1:15" x14ac:dyDescent="0.3">
      <c r="A1036" s="20" t="s">
        <v>800</v>
      </c>
      <c r="B1036" s="11" t="s">
        <v>260</v>
      </c>
      <c r="C1036" s="30" t="s">
        <v>261</v>
      </c>
      <c r="D1036" s="30" t="s">
        <v>39</v>
      </c>
      <c r="E1036" s="30" t="s">
        <v>33</v>
      </c>
      <c r="F1036" s="30" t="s">
        <v>34</v>
      </c>
      <c r="G1036" s="30" t="s">
        <v>35</v>
      </c>
      <c r="H1036" s="39">
        <v>45997</v>
      </c>
      <c r="I1036" s="64">
        <v>178</v>
      </c>
      <c r="J1036" s="64">
        <v>450</v>
      </c>
      <c r="K1036" s="65">
        <v>0.08</v>
      </c>
      <c r="L1036" s="11" t="s">
        <v>36</v>
      </c>
      <c r="M1036" s="66">
        <v>80100</v>
      </c>
      <c r="N1036" s="66">
        <v>73692</v>
      </c>
      <c r="O1036" s="13" t="s">
        <v>265</v>
      </c>
    </row>
    <row r="1037" spans="1:15" x14ac:dyDescent="0.3">
      <c r="A1037" s="20" t="s">
        <v>801</v>
      </c>
      <c r="B1037" s="10" t="s">
        <v>49</v>
      </c>
      <c r="C1037" s="32" t="s">
        <v>251</v>
      </c>
      <c r="D1037" s="32" t="s">
        <v>50</v>
      </c>
      <c r="E1037" s="32" t="s">
        <v>27</v>
      </c>
      <c r="F1037" s="32" t="s">
        <v>34</v>
      </c>
      <c r="G1037" s="32" t="s">
        <v>35</v>
      </c>
      <c r="H1037" s="41">
        <v>45999</v>
      </c>
      <c r="I1037" s="70">
        <v>93</v>
      </c>
      <c r="J1037" s="70">
        <v>895</v>
      </c>
      <c r="K1037" s="71">
        <v>0</v>
      </c>
      <c r="L1037" s="10" t="s">
        <v>30</v>
      </c>
      <c r="M1037" s="72">
        <v>83235</v>
      </c>
      <c r="N1037" s="72">
        <v>83235</v>
      </c>
      <c r="O1037" s="12" t="s">
        <v>265</v>
      </c>
    </row>
    <row r="1038" spans="1:15" x14ac:dyDescent="0.3">
      <c r="A1038" s="20" t="s">
        <v>802</v>
      </c>
      <c r="B1038" s="11" t="s">
        <v>16</v>
      </c>
      <c r="C1038" s="30" t="s">
        <v>250</v>
      </c>
      <c r="D1038" s="30" t="s">
        <v>39</v>
      </c>
      <c r="E1038" s="30" t="s">
        <v>45</v>
      </c>
      <c r="F1038" s="30" t="s">
        <v>34</v>
      </c>
      <c r="G1038" s="30" t="s">
        <v>42</v>
      </c>
      <c r="H1038" s="39">
        <v>46005</v>
      </c>
      <c r="I1038" s="64">
        <v>110</v>
      </c>
      <c r="J1038" s="64">
        <v>990</v>
      </c>
      <c r="K1038" s="65">
        <v>0.03</v>
      </c>
      <c r="L1038" s="11" t="s">
        <v>36</v>
      </c>
      <c r="M1038" s="66">
        <v>108900</v>
      </c>
      <c r="N1038" s="66">
        <v>105633</v>
      </c>
      <c r="O1038" s="13" t="s">
        <v>267</v>
      </c>
    </row>
    <row r="1039" spans="1:15" x14ac:dyDescent="0.3">
      <c r="A1039" s="20" t="s">
        <v>803</v>
      </c>
      <c r="B1039" s="10" t="s">
        <v>38</v>
      </c>
      <c r="C1039" s="32" t="s">
        <v>247</v>
      </c>
      <c r="D1039" s="32" t="s">
        <v>39</v>
      </c>
      <c r="E1039" s="32" t="s">
        <v>51</v>
      </c>
      <c r="F1039" s="32" t="s">
        <v>34</v>
      </c>
      <c r="G1039" s="32" t="s">
        <v>56</v>
      </c>
      <c r="H1039" s="41">
        <v>46005</v>
      </c>
      <c r="I1039" s="70">
        <v>139</v>
      </c>
      <c r="J1039" s="70">
        <v>1200</v>
      </c>
      <c r="K1039" s="71">
        <v>0.1</v>
      </c>
      <c r="L1039" s="10" t="s">
        <v>30</v>
      </c>
      <c r="M1039" s="72">
        <v>166800</v>
      </c>
      <c r="N1039" s="72">
        <v>150120</v>
      </c>
      <c r="O1039" s="12" t="s">
        <v>267</v>
      </c>
    </row>
    <row r="1040" spans="1:15" x14ac:dyDescent="0.3">
      <c r="A1040" s="20" t="s">
        <v>804</v>
      </c>
      <c r="B1040" s="11" t="s">
        <v>262</v>
      </c>
      <c r="C1040" s="30" t="s">
        <v>263</v>
      </c>
      <c r="D1040" s="30" t="s">
        <v>50</v>
      </c>
      <c r="E1040" s="30" t="s">
        <v>33</v>
      </c>
      <c r="F1040" s="30" t="s">
        <v>34</v>
      </c>
      <c r="G1040" s="30" t="s">
        <v>35</v>
      </c>
      <c r="H1040" s="39">
        <v>46008</v>
      </c>
      <c r="I1040" s="64">
        <v>256</v>
      </c>
      <c r="J1040" s="64">
        <v>820</v>
      </c>
      <c r="K1040" s="65">
        <v>7.0000000000000007E-2</v>
      </c>
      <c r="L1040" s="11" t="s">
        <v>36</v>
      </c>
      <c r="M1040" s="66">
        <v>209920</v>
      </c>
      <c r="N1040" s="66">
        <v>195225.60000000001</v>
      </c>
      <c r="O1040" s="13" t="s">
        <v>267</v>
      </c>
    </row>
    <row r="1041" spans="1:15" x14ac:dyDescent="0.3">
      <c r="A1041" s="20" t="s">
        <v>805</v>
      </c>
      <c r="B1041" s="10" t="s">
        <v>25</v>
      </c>
      <c r="C1041" s="32" t="s">
        <v>257</v>
      </c>
      <c r="D1041" s="32" t="s">
        <v>26</v>
      </c>
      <c r="E1041" s="32" t="s">
        <v>45</v>
      </c>
      <c r="F1041" s="32" t="s">
        <v>34</v>
      </c>
      <c r="G1041" s="32" t="s">
        <v>53</v>
      </c>
      <c r="H1041" s="41">
        <v>46010</v>
      </c>
      <c r="I1041" s="70">
        <v>352</v>
      </c>
      <c r="J1041" s="70">
        <v>350</v>
      </c>
      <c r="K1041" s="71">
        <v>7.0000000000000007E-2</v>
      </c>
      <c r="L1041" s="10" t="s">
        <v>36</v>
      </c>
      <c r="M1041" s="72">
        <v>123200</v>
      </c>
      <c r="N1041" s="72">
        <v>114576</v>
      </c>
      <c r="O1041" s="12" t="s">
        <v>267</v>
      </c>
    </row>
    <row r="1042" spans="1:15" x14ac:dyDescent="0.3">
      <c r="A1042" s="20" t="s">
        <v>806</v>
      </c>
      <c r="B1042" s="11" t="s">
        <v>260</v>
      </c>
      <c r="C1042" s="30" t="s">
        <v>261</v>
      </c>
      <c r="D1042" s="30" t="s">
        <v>39</v>
      </c>
      <c r="E1042" s="30" t="s">
        <v>45</v>
      </c>
      <c r="F1042" s="30" t="s">
        <v>34</v>
      </c>
      <c r="G1042" s="30" t="s">
        <v>35</v>
      </c>
      <c r="H1042" s="39">
        <v>46013</v>
      </c>
      <c r="I1042" s="64">
        <v>326</v>
      </c>
      <c r="J1042" s="64">
        <v>450</v>
      </c>
      <c r="K1042" s="65">
        <v>0.1</v>
      </c>
      <c r="L1042" s="11" t="s">
        <v>30</v>
      </c>
      <c r="M1042" s="66">
        <v>146700</v>
      </c>
      <c r="N1042" s="66">
        <v>132030</v>
      </c>
      <c r="O1042" s="13" t="s">
        <v>267</v>
      </c>
    </row>
    <row r="1043" spans="1:15" x14ac:dyDescent="0.3">
      <c r="A1043" s="20" t="s">
        <v>807</v>
      </c>
      <c r="B1043" s="10" t="s">
        <v>44</v>
      </c>
      <c r="C1043" s="32" t="s">
        <v>254</v>
      </c>
      <c r="D1043" s="32" t="s">
        <v>39</v>
      </c>
      <c r="E1043" s="32" t="s">
        <v>33</v>
      </c>
      <c r="F1043" s="32" t="s">
        <v>34</v>
      </c>
      <c r="G1043" s="32" t="s">
        <v>53</v>
      </c>
      <c r="H1043" s="41">
        <v>46013</v>
      </c>
      <c r="I1043" s="70">
        <v>204</v>
      </c>
      <c r="J1043" s="70">
        <v>200</v>
      </c>
      <c r="K1043" s="71">
        <v>0.14000000000000001</v>
      </c>
      <c r="L1043" s="10" t="s">
        <v>30</v>
      </c>
      <c r="M1043" s="72">
        <v>40800</v>
      </c>
      <c r="N1043" s="72">
        <v>35088</v>
      </c>
      <c r="O1043" s="12" t="s">
        <v>265</v>
      </c>
    </row>
    <row r="1044" spans="1:15" x14ac:dyDescent="0.3">
      <c r="A1044" s="20" t="s">
        <v>808</v>
      </c>
      <c r="B1044" s="11" t="s">
        <v>44</v>
      </c>
      <c r="C1044" s="30" t="s">
        <v>254</v>
      </c>
      <c r="D1044" s="30" t="s">
        <v>39</v>
      </c>
      <c r="E1044" s="30" t="s">
        <v>27</v>
      </c>
      <c r="F1044" s="30" t="s">
        <v>28</v>
      </c>
      <c r="G1044" s="30" t="s">
        <v>47</v>
      </c>
      <c r="H1044" s="39">
        <v>46016</v>
      </c>
      <c r="I1044" s="64">
        <v>376</v>
      </c>
      <c r="J1044" s="64">
        <v>200</v>
      </c>
      <c r="K1044" s="65">
        <v>0.05</v>
      </c>
      <c r="L1044" s="11" t="s">
        <v>36</v>
      </c>
      <c r="M1044" s="66">
        <v>75200</v>
      </c>
      <c r="N1044" s="66">
        <v>71440</v>
      </c>
      <c r="O1044" s="13" t="s">
        <v>265</v>
      </c>
    </row>
    <row r="1045" spans="1:15" x14ac:dyDescent="0.3">
      <c r="A1045" s="20" t="s">
        <v>809</v>
      </c>
      <c r="B1045" s="10" t="s">
        <v>61</v>
      </c>
      <c r="C1045" s="32" t="s">
        <v>244</v>
      </c>
      <c r="D1045" s="32" t="s">
        <v>26</v>
      </c>
      <c r="E1045" s="32" t="s">
        <v>51</v>
      </c>
      <c r="F1045" s="32" t="s">
        <v>28</v>
      </c>
      <c r="G1045" s="32" t="s">
        <v>47</v>
      </c>
      <c r="H1045" s="41">
        <v>46019</v>
      </c>
      <c r="I1045" s="70">
        <v>481</v>
      </c>
      <c r="J1045" s="70">
        <v>280</v>
      </c>
      <c r="K1045" s="71">
        <v>0.1</v>
      </c>
      <c r="L1045" s="10" t="s">
        <v>36</v>
      </c>
      <c r="M1045" s="72">
        <v>134680</v>
      </c>
      <c r="N1045" s="72">
        <v>121212</v>
      </c>
      <c r="O1045" s="12" t="s">
        <v>267</v>
      </c>
    </row>
    <row r="1046" spans="1:15" x14ac:dyDescent="0.3">
      <c r="A1046" s="20" t="s">
        <v>810</v>
      </c>
      <c r="B1046" s="11" t="s">
        <v>25</v>
      </c>
      <c r="C1046" s="30" t="s">
        <v>257</v>
      </c>
      <c r="D1046" s="30" t="s">
        <v>26</v>
      </c>
      <c r="E1046" s="30" t="s">
        <v>27</v>
      </c>
      <c r="F1046" s="30" t="s">
        <v>28</v>
      </c>
      <c r="G1046" s="30" t="s">
        <v>56</v>
      </c>
      <c r="H1046" s="39">
        <v>46019</v>
      </c>
      <c r="I1046" s="64">
        <v>434</v>
      </c>
      <c r="J1046" s="64">
        <v>350</v>
      </c>
      <c r="K1046" s="65">
        <v>0</v>
      </c>
      <c r="L1046" s="11" t="s">
        <v>36</v>
      </c>
      <c r="M1046" s="66">
        <v>151900</v>
      </c>
      <c r="N1046" s="66">
        <v>151900</v>
      </c>
      <c r="O1046" s="13" t="s">
        <v>267</v>
      </c>
    </row>
    <row r="1047" spans="1:15" x14ac:dyDescent="0.3">
      <c r="A1047" s="20" t="s">
        <v>811</v>
      </c>
      <c r="B1047" s="10" t="s">
        <v>44</v>
      </c>
      <c r="C1047" s="32" t="s">
        <v>254</v>
      </c>
      <c r="D1047" s="32" t="s">
        <v>39</v>
      </c>
      <c r="E1047" s="32" t="s">
        <v>45</v>
      </c>
      <c r="F1047" s="32" t="s">
        <v>41</v>
      </c>
      <c r="G1047" s="32" t="s">
        <v>47</v>
      </c>
      <c r="H1047" s="41">
        <v>46023</v>
      </c>
      <c r="I1047" s="70">
        <v>259</v>
      </c>
      <c r="J1047" s="70">
        <v>200</v>
      </c>
      <c r="K1047" s="71">
        <v>0.15</v>
      </c>
      <c r="L1047" s="10" t="s">
        <v>36</v>
      </c>
      <c r="M1047" s="72">
        <v>51800</v>
      </c>
      <c r="N1047" s="72">
        <v>44030</v>
      </c>
      <c r="O1047" s="12" t="s">
        <v>265</v>
      </c>
    </row>
    <row r="1048" spans="1:15" x14ac:dyDescent="0.3">
      <c r="A1048" s="20" t="s">
        <v>812</v>
      </c>
      <c r="B1048" s="11" t="s">
        <v>25</v>
      </c>
      <c r="C1048" s="30" t="s">
        <v>257</v>
      </c>
      <c r="D1048" s="30" t="s">
        <v>26</v>
      </c>
      <c r="E1048" s="30" t="s">
        <v>27</v>
      </c>
      <c r="F1048" s="30" t="s">
        <v>41</v>
      </c>
      <c r="G1048" s="30" t="s">
        <v>35</v>
      </c>
      <c r="H1048" s="39">
        <v>46023</v>
      </c>
      <c r="I1048" s="64">
        <v>63</v>
      </c>
      <c r="J1048" s="64">
        <v>350</v>
      </c>
      <c r="K1048" s="65">
        <v>0</v>
      </c>
      <c r="L1048" s="11" t="s">
        <v>30</v>
      </c>
      <c r="M1048" s="66">
        <v>22050</v>
      </c>
      <c r="N1048" s="66">
        <v>22050</v>
      </c>
      <c r="O1048" s="13" t="s">
        <v>265</v>
      </c>
    </row>
    <row r="1049" spans="1:15" x14ac:dyDescent="0.3">
      <c r="A1049" s="20" t="s">
        <v>813</v>
      </c>
      <c r="B1049" s="10" t="s">
        <v>32</v>
      </c>
      <c r="C1049" s="32" t="s">
        <v>246</v>
      </c>
      <c r="D1049" s="32" t="s">
        <v>26</v>
      </c>
      <c r="E1049" s="32" t="s">
        <v>40</v>
      </c>
      <c r="F1049" s="32" t="s">
        <v>41</v>
      </c>
      <c r="G1049" s="32" t="s">
        <v>42</v>
      </c>
      <c r="H1049" s="41">
        <v>46023</v>
      </c>
      <c r="I1049" s="70">
        <v>336</v>
      </c>
      <c r="J1049" s="70">
        <v>420</v>
      </c>
      <c r="K1049" s="71">
        <v>0.12</v>
      </c>
      <c r="L1049" s="10" t="s">
        <v>30</v>
      </c>
      <c r="M1049" s="72">
        <v>141120</v>
      </c>
      <c r="N1049" s="72">
        <v>124185.60000000001</v>
      </c>
      <c r="O1049" s="12" t="s">
        <v>267</v>
      </c>
    </row>
    <row r="1050" spans="1:15" x14ac:dyDescent="0.3">
      <c r="A1050" s="20" t="s">
        <v>814</v>
      </c>
      <c r="B1050" s="11" t="s">
        <v>58</v>
      </c>
      <c r="C1050" s="30" t="s">
        <v>255</v>
      </c>
      <c r="D1050" s="30" t="s">
        <v>59</v>
      </c>
      <c r="E1050" s="30" t="s">
        <v>40</v>
      </c>
      <c r="F1050" s="30" t="s">
        <v>41</v>
      </c>
      <c r="G1050" s="30" t="s">
        <v>29</v>
      </c>
      <c r="H1050" s="39">
        <v>46024</v>
      </c>
      <c r="I1050" s="64">
        <v>196</v>
      </c>
      <c r="J1050" s="64">
        <v>2800</v>
      </c>
      <c r="K1050" s="65">
        <v>0</v>
      </c>
      <c r="L1050" s="11" t="s">
        <v>30</v>
      </c>
      <c r="M1050" s="66">
        <v>548800</v>
      </c>
      <c r="N1050" s="66">
        <v>548800</v>
      </c>
      <c r="O1050" s="13" t="s">
        <v>277</v>
      </c>
    </row>
    <row r="1051" spans="1:15" x14ac:dyDescent="0.3">
      <c r="A1051" s="20" t="s">
        <v>815</v>
      </c>
      <c r="B1051" s="10" t="s">
        <v>260</v>
      </c>
      <c r="C1051" s="32" t="s">
        <v>261</v>
      </c>
      <c r="D1051" s="32" t="s">
        <v>39</v>
      </c>
      <c r="E1051" s="32" t="s">
        <v>33</v>
      </c>
      <c r="F1051" s="32" t="s">
        <v>34</v>
      </c>
      <c r="G1051" s="32" t="s">
        <v>29</v>
      </c>
      <c r="H1051" s="41">
        <v>46024</v>
      </c>
      <c r="I1051" s="70">
        <v>314</v>
      </c>
      <c r="J1051" s="70">
        <v>450</v>
      </c>
      <c r="K1051" s="71">
        <v>0.12</v>
      </c>
      <c r="L1051" s="10" t="s">
        <v>36</v>
      </c>
      <c r="M1051" s="72">
        <v>141300</v>
      </c>
      <c r="N1051" s="72">
        <v>124344</v>
      </c>
      <c r="O1051" s="12" t="s">
        <v>267</v>
      </c>
    </row>
    <row r="1052" spans="1:15" x14ac:dyDescent="0.3">
      <c r="A1052" s="20" t="s">
        <v>816</v>
      </c>
      <c r="B1052" s="11" t="s">
        <v>44</v>
      </c>
      <c r="C1052" s="30" t="s">
        <v>254</v>
      </c>
      <c r="D1052" s="30" t="s">
        <v>39</v>
      </c>
      <c r="E1052" s="30" t="s">
        <v>40</v>
      </c>
      <c r="F1052" s="30" t="s">
        <v>28</v>
      </c>
      <c r="G1052" s="30" t="s">
        <v>56</v>
      </c>
      <c r="H1052" s="39">
        <v>46024</v>
      </c>
      <c r="I1052" s="64">
        <v>218</v>
      </c>
      <c r="J1052" s="64">
        <v>200</v>
      </c>
      <c r="K1052" s="65">
        <v>0.12</v>
      </c>
      <c r="L1052" s="11" t="s">
        <v>36</v>
      </c>
      <c r="M1052" s="66">
        <v>43600</v>
      </c>
      <c r="N1052" s="66">
        <v>38368</v>
      </c>
      <c r="O1052" s="13" t="s">
        <v>265</v>
      </c>
    </row>
    <row r="1053" spans="1:15" x14ac:dyDescent="0.3">
      <c r="A1053" s="20" t="s">
        <v>817</v>
      </c>
      <c r="B1053" s="10" t="s">
        <v>32</v>
      </c>
      <c r="C1053" s="32" t="s">
        <v>246</v>
      </c>
      <c r="D1053" s="32" t="s">
        <v>26</v>
      </c>
      <c r="E1053" s="32" t="s">
        <v>40</v>
      </c>
      <c r="F1053" s="32" t="s">
        <v>28</v>
      </c>
      <c r="G1053" s="32" t="s">
        <v>47</v>
      </c>
      <c r="H1053" s="41">
        <v>46025</v>
      </c>
      <c r="I1053" s="70">
        <v>427</v>
      </c>
      <c r="J1053" s="70">
        <v>420</v>
      </c>
      <c r="K1053" s="71">
        <v>0.11</v>
      </c>
      <c r="L1053" s="10" t="s">
        <v>36</v>
      </c>
      <c r="M1053" s="72">
        <v>179340</v>
      </c>
      <c r="N1053" s="72">
        <v>159612.6</v>
      </c>
      <c r="O1053" s="12" t="s">
        <v>267</v>
      </c>
    </row>
    <row r="1054" spans="1:15" x14ac:dyDescent="0.3">
      <c r="A1054" s="20" t="s">
        <v>818</v>
      </c>
      <c r="B1054" s="11" t="s">
        <v>262</v>
      </c>
      <c r="C1054" s="30" t="s">
        <v>263</v>
      </c>
      <c r="D1054" s="30" t="s">
        <v>50</v>
      </c>
      <c r="E1054" s="30" t="s">
        <v>27</v>
      </c>
      <c r="F1054" s="30" t="s">
        <v>28</v>
      </c>
      <c r="G1054" s="30" t="s">
        <v>35</v>
      </c>
      <c r="H1054" s="39">
        <v>46025</v>
      </c>
      <c r="I1054" s="64">
        <v>95</v>
      </c>
      <c r="J1054" s="64">
        <v>820</v>
      </c>
      <c r="K1054" s="65">
        <v>0.14000000000000001</v>
      </c>
      <c r="L1054" s="11" t="s">
        <v>36</v>
      </c>
      <c r="M1054" s="66">
        <v>77900</v>
      </c>
      <c r="N1054" s="66">
        <v>66994</v>
      </c>
      <c r="O1054" s="13" t="s">
        <v>265</v>
      </c>
    </row>
    <row r="1055" spans="1:15" x14ac:dyDescent="0.3">
      <c r="A1055" s="20" t="s">
        <v>819</v>
      </c>
      <c r="B1055" s="10" t="s">
        <v>49</v>
      </c>
      <c r="C1055" s="32" t="s">
        <v>251</v>
      </c>
      <c r="D1055" s="32" t="s">
        <v>50</v>
      </c>
      <c r="E1055" s="32" t="s">
        <v>33</v>
      </c>
      <c r="F1055" s="32" t="s">
        <v>46</v>
      </c>
      <c r="G1055" s="32" t="s">
        <v>29</v>
      </c>
      <c r="H1055" s="41">
        <v>46026</v>
      </c>
      <c r="I1055" s="70">
        <v>181</v>
      </c>
      <c r="J1055" s="70">
        <v>895</v>
      </c>
      <c r="K1055" s="71">
        <v>0</v>
      </c>
      <c r="L1055" s="10" t="s">
        <v>30</v>
      </c>
      <c r="M1055" s="72">
        <v>161995</v>
      </c>
      <c r="N1055" s="72">
        <v>161995</v>
      </c>
      <c r="O1055" s="12" t="s">
        <v>267</v>
      </c>
    </row>
    <row r="1056" spans="1:15" x14ac:dyDescent="0.3">
      <c r="A1056" s="20" t="s">
        <v>820</v>
      </c>
      <c r="B1056" s="11" t="s">
        <v>38</v>
      </c>
      <c r="C1056" s="30" t="s">
        <v>247</v>
      </c>
      <c r="D1056" s="30" t="s">
        <v>39</v>
      </c>
      <c r="E1056" s="30" t="s">
        <v>27</v>
      </c>
      <c r="F1056" s="30" t="s">
        <v>46</v>
      </c>
      <c r="G1056" s="30" t="s">
        <v>35</v>
      </c>
      <c r="H1056" s="39">
        <v>46026</v>
      </c>
      <c r="I1056" s="64">
        <v>131</v>
      </c>
      <c r="J1056" s="64">
        <v>1200</v>
      </c>
      <c r="K1056" s="65">
        <v>0</v>
      </c>
      <c r="L1056" s="11" t="s">
        <v>30</v>
      </c>
      <c r="M1056" s="66">
        <v>157200</v>
      </c>
      <c r="N1056" s="66">
        <v>157200</v>
      </c>
      <c r="O1056" s="13" t="s">
        <v>267</v>
      </c>
    </row>
    <row r="1057" spans="1:15" x14ac:dyDescent="0.3">
      <c r="A1057" s="20" t="s">
        <v>821</v>
      </c>
      <c r="B1057" s="10" t="s">
        <v>38</v>
      </c>
      <c r="C1057" s="32" t="s">
        <v>247</v>
      </c>
      <c r="D1057" s="32" t="s">
        <v>39</v>
      </c>
      <c r="E1057" s="32" t="s">
        <v>45</v>
      </c>
      <c r="F1057" s="32" t="s">
        <v>28</v>
      </c>
      <c r="G1057" s="32" t="s">
        <v>35</v>
      </c>
      <c r="H1057" s="41">
        <v>46026</v>
      </c>
      <c r="I1057" s="70">
        <v>175</v>
      </c>
      <c r="J1057" s="70">
        <v>1200</v>
      </c>
      <c r="K1057" s="71">
        <v>0.13</v>
      </c>
      <c r="L1057" s="10" t="s">
        <v>36</v>
      </c>
      <c r="M1057" s="72">
        <v>210000</v>
      </c>
      <c r="N1057" s="72">
        <v>182700</v>
      </c>
      <c r="O1057" s="12" t="s">
        <v>267</v>
      </c>
    </row>
    <row r="1058" spans="1:15" x14ac:dyDescent="0.3">
      <c r="A1058" s="20" t="s">
        <v>822</v>
      </c>
      <c r="B1058" s="11" t="s">
        <v>260</v>
      </c>
      <c r="C1058" s="30" t="s">
        <v>261</v>
      </c>
      <c r="D1058" s="30" t="s">
        <v>39</v>
      </c>
      <c r="E1058" s="30" t="s">
        <v>33</v>
      </c>
      <c r="F1058" s="30" t="s">
        <v>34</v>
      </c>
      <c r="G1058" s="30" t="s">
        <v>42</v>
      </c>
      <c r="H1058" s="39">
        <v>46027</v>
      </c>
      <c r="I1058" s="64">
        <v>260</v>
      </c>
      <c r="J1058" s="64">
        <v>450</v>
      </c>
      <c r="K1058" s="65">
        <v>0.11</v>
      </c>
      <c r="L1058" s="11" t="s">
        <v>36</v>
      </c>
      <c r="M1058" s="66">
        <v>117000</v>
      </c>
      <c r="N1058" s="66">
        <v>104130</v>
      </c>
      <c r="O1058" s="13" t="s">
        <v>267</v>
      </c>
    </row>
    <row r="1059" spans="1:15" x14ac:dyDescent="0.3">
      <c r="A1059" s="20" t="s">
        <v>823</v>
      </c>
      <c r="B1059" s="10" t="s">
        <v>63</v>
      </c>
      <c r="C1059" s="32" t="s">
        <v>253</v>
      </c>
      <c r="D1059" s="32" t="s">
        <v>50</v>
      </c>
      <c r="E1059" s="32" t="s">
        <v>51</v>
      </c>
      <c r="F1059" s="32" t="s">
        <v>41</v>
      </c>
      <c r="G1059" s="32" t="s">
        <v>42</v>
      </c>
      <c r="H1059" s="41">
        <v>46027</v>
      </c>
      <c r="I1059" s="70">
        <v>138</v>
      </c>
      <c r="J1059" s="70">
        <v>750</v>
      </c>
      <c r="K1059" s="71">
        <v>0.13</v>
      </c>
      <c r="L1059" s="10" t="s">
        <v>36</v>
      </c>
      <c r="M1059" s="72">
        <v>103500</v>
      </c>
      <c r="N1059" s="72">
        <v>90045</v>
      </c>
      <c r="O1059" s="12" t="s">
        <v>265</v>
      </c>
    </row>
    <row r="1060" spans="1:15" x14ac:dyDescent="0.3">
      <c r="A1060" s="20" t="s">
        <v>824</v>
      </c>
      <c r="B1060" s="11" t="s">
        <v>61</v>
      </c>
      <c r="C1060" s="30" t="s">
        <v>244</v>
      </c>
      <c r="D1060" s="30" t="s">
        <v>26</v>
      </c>
      <c r="E1060" s="30" t="s">
        <v>27</v>
      </c>
      <c r="F1060" s="30" t="s">
        <v>52</v>
      </c>
      <c r="G1060" s="30" t="s">
        <v>42</v>
      </c>
      <c r="H1060" s="39">
        <v>46028</v>
      </c>
      <c r="I1060" s="64">
        <v>371</v>
      </c>
      <c r="J1060" s="64">
        <v>280</v>
      </c>
      <c r="K1060" s="65">
        <v>0.14000000000000001</v>
      </c>
      <c r="L1060" s="11" t="s">
        <v>36</v>
      </c>
      <c r="M1060" s="66">
        <v>103880</v>
      </c>
      <c r="N1060" s="66">
        <v>89336.8</v>
      </c>
      <c r="O1060" s="13" t="s">
        <v>265</v>
      </c>
    </row>
    <row r="1061" spans="1:15" x14ac:dyDescent="0.3">
      <c r="A1061" s="20" t="s">
        <v>825</v>
      </c>
      <c r="B1061" s="10" t="s">
        <v>44</v>
      </c>
      <c r="C1061" s="32" t="s">
        <v>254</v>
      </c>
      <c r="D1061" s="32" t="s">
        <v>39</v>
      </c>
      <c r="E1061" s="32" t="s">
        <v>51</v>
      </c>
      <c r="F1061" s="32" t="s">
        <v>34</v>
      </c>
      <c r="G1061" s="32" t="s">
        <v>35</v>
      </c>
      <c r="H1061" s="41">
        <v>46028</v>
      </c>
      <c r="I1061" s="70">
        <v>212</v>
      </c>
      <c r="J1061" s="70">
        <v>200</v>
      </c>
      <c r="K1061" s="71">
        <v>0.03</v>
      </c>
      <c r="L1061" s="10" t="s">
        <v>36</v>
      </c>
      <c r="M1061" s="72">
        <v>42400</v>
      </c>
      <c r="N1061" s="72">
        <v>41128</v>
      </c>
      <c r="O1061" s="12" t="s">
        <v>265</v>
      </c>
    </row>
    <row r="1062" spans="1:15" x14ac:dyDescent="0.3">
      <c r="A1062" s="20" t="s">
        <v>826</v>
      </c>
      <c r="B1062" s="11" t="s">
        <v>32</v>
      </c>
      <c r="C1062" s="30" t="s">
        <v>246</v>
      </c>
      <c r="D1062" s="30" t="s">
        <v>26</v>
      </c>
      <c r="E1062" s="30" t="s">
        <v>40</v>
      </c>
      <c r="F1062" s="30" t="s">
        <v>46</v>
      </c>
      <c r="G1062" s="30" t="s">
        <v>47</v>
      </c>
      <c r="H1062" s="39">
        <v>46028</v>
      </c>
      <c r="I1062" s="64">
        <v>121</v>
      </c>
      <c r="J1062" s="64">
        <v>420</v>
      </c>
      <c r="K1062" s="65">
        <v>0.1</v>
      </c>
      <c r="L1062" s="11" t="s">
        <v>30</v>
      </c>
      <c r="M1062" s="66">
        <v>50820</v>
      </c>
      <c r="N1062" s="66">
        <v>45738</v>
      </c>
      <c r="O1062" s="13" t="s">
        <v>265</v>
      </c>
    </row>
    <row r="1063" spans="1:15" x14ac:dyDescent="0.3">
      <c r="A1063" s="20" t="s">
        <v>827</v>
      </c>
      <c r="B1063" s="10" t="s">
        <v>32</v>
      </c>
      <c r="C1063" s="32" t="s">
        <v>246</v>
      </c>
      <c r="D1063" s="32" t="s">
        <v>26</v>
      </c>
      <c r="E1063" s="32" t="s">
        <v>33</v>
      </c>
      <c r="F1063" s="32" t="s">
        <v>46</v>
      </c>
      <c r="G1063" s="32" t="s">
        <v>53</v>
      </c>
      <c r="H1063" s="41">
        <v>46029</v>
      </c>
      <c r="I1063" s="70">
        <v>115</v>
      </c>
      <c r="J1063" s="70">
        <v>420</v>
      </c>
      <c r="K1063" s="71">
        <v>0.03</v>
      </c>
      <c r="L1063" s="10" t="s">
        <v>36</v>
      </c>
      <c r="M1063" s="72">
        <v>48300</v>
      </c>
      <c r="N1063" s="72">
        <v>46851</v>
      </c>
      <c r="O1063" s="12" t="s">
        <v>265</v>
      </c>
    </row>
    <row r="1064" spans="1:15" x14ac:dyDescent="0.3">
      <c r="A1064" s="20" t="s">
        <v>828</v>
      </c>
      <c r="B1064" s="11" t="s">
        <v>16</v>
      </c>
      <c r="C1064" s="30" t="s">
        <v>250</v>
      </c>
      <c r="D1064" s="30" t="s">
        <v>39</v>
      </c>
      <c r="E1064" s="30" t="s">
        <v>27</v>
      </c>
      <c r="F1064" s="30" t="s">
        <v>28</v>
      </c>
      <c r="G1064" s="30" t="s">
        <v>35</v>
      </c>
      <c r="H1064" s="39">
        <v>46029</v>
      </c>
      <c r="I1064" s="64">
        <v>66</v>
      </c>
      <c r="J1064" s="64">
        <v>990</v>
      </c>
      <c r="K1064" s="65">
        <v>0.13</v>
      </c>
      <c r="L1064" s="11" t="s">
        <v>36</v>
      </c>
      <c r="M1064" s="66">
        <v>65340</v>
      </c>
      <c r="N1064" s="66">
        <v>56845.8</v>
      </c>
      <c r="O1064" s="13" t="s">
        <v>265</v>
      </c>
    </row>
    <row r="1065" spans="1:15" x14ac:dyDescent="0.3">
      <c r="A1065" s="20" t="s">
        <v>829</v>
      </c>
      <c r="B1065" s="10" t="s">
        <v>49</v>
      </c>
      <c r="C1065" s="32" t="s">
        <v>251</v>
      </c>
      <c r="D1065" s="32" t="s">
        <v>50</v>
      </c>
      <c r="E1065" s="32" t="s">
        <v>40</v>
      </c>
      <c r="F1065" s="32" t="s">
        <v>52</v>
      </c>
      <c r="G1065" s="32" t="s">
        <v>42</v>
      </c>
      <c r="H1065" s="41">
        <v>46029</v>
      </c>
      <c r="I1065" s="70">
        <v>262</v>
      </c>
      <c r="J1065" s="70">
        <v>895</v>
      </c>
      <c r="K1065" s="71">
        <v>0.13</v>
      </c>
      <c r="L1065" s="10" t="s">
        <v>36</v>
      </c>
      <c r="M1065" s="72">
        <v>234490</v>
      </c>
      <c r="N1065" s="72">
        <v>204006.3</v>
      </c>
      <c r="O1065" s="12" t="s">
        <v>267</v>
      </c>
    </row>
    <row r="1066" spans="1:15" x14ac:dyDescent="0.3">
      <c r="A1066" s="20" t="s">
        <v>830</v>
      </c>
      <c r="B1066" s="11" t="s">
        <v>61</v>
      </c>
      <c r="C1066" s="30" t="s">
        <v>244</v>
      </c>
      <c r="D1066" s="30" t="s">
        <v>26</v>
      </c>
      <c r="E1066" s="30" t="s">
        <v>33</v>
      </c>
      <c r="F1066" s="30" t="s">
        <v>41</v>
      </c>
      <c r="G1066" s="30" t="s">
        <v>56</v>
      </c>
      <c r="H1066" s="39">
        <v>46030</v>
      </c>
      <c r="I1066" s="64">
        <v>212</v>
      </c>
      <c r="J1066" s="64">
        <v>280</v>
      </c>
      <c r="K1066" s="65">
        <v>0.03</v>
      </c>
      <c r="L1066" s="11" t="s">
        <v>30</v>
      </c>
      <c r="M1066" s="66">
        <v>59360</v>
      </c>
      <c r="N1066" s="66">
        <v>57579.199999999997</v>
      </c>
      <c r="O1066" s="13" t="s">
        <v>265</v>
      </c>
    </row>
    <row r="1067" spans="1:15" x14ac:dyDescent="0.3">
      <c r="A1067" s="20" t="s">
        <v>831</v>
      </c>
      <c r="B1067" s="10" t="s">
        <v>25</v>
      </c>
      <c r="C1067" s="32" t="s">
        <v>257</v>
      </c>
      <c r="D1067" s="32" t="s">
        <v>26</v>
      </c>
      <c r="E1067" s="32" t="s">
        <v>45</v>
      </c>
      <c r="F1067" s="32" t="s">
        <v>41</v>
      </c>
      <c r="G1067" s="32" t="s">
        <v>56</v>
      </c>
      <c r="H1067" s="41">
        <v>46030</v>
      </c>
      <c r="I1067" s="70">
        <v>239</v>
      </c>
      <c r="J1067" s="70">
        <v>350</v>
      </c>
      <c r="K1067" s="71">
        <v>0.03</v>
      </c>
      <c r="L1067" s="10" t="s">
        <v>30</v>
      </c>
      <c r="M1067" s="72">
        <v>83650</v>
      </c>
      <c r="N1067" s="72">
        <v>81140.5</v>
      </c>
      <c r="O1067" s="12" t="s">
        <v>265</v>
      </c>
    </row>
    <row r="1068" spans="1:15" x14ac:dyDescent="0.3">
      <c r="A1068" s="20" t="s">
        <v>832</v>
      </c>
      <c r="B1068" s="11" t="s">
        <v>258</v>
      </c>
      <c r="C1068" s="30" t="s">
        <v>259</v>
      </c>
      <c r="D1068" s="30" t="s">
        <v>26</v>
      </c>
      <c r="E1068" s="30" t="s">
        <v>45</v>
      </c>
      <c r="F1068" s="30" t="s">
        <v>34</v>
      </c>
      <c r="G1068" s="30" t="s">
        <v>29</v>
      </c>
      <c r="H1068" s="39">
        <v>46030</v>
      </c>
      <c r="I1068" s="64">
        <v>406</v>
      </c>
      <c r="J1068" s="64">
        <v>680</v>
      </c>
      <c r="K1068" s="65">
        <v>0</v>
      </c>
      <c r="L1068" s="11" t="s">
        <v>30</v>
      </c>
      <c r="M1068" s="66">
        <v>276080</v>
      </c>
      <c r="N1068" s="66">
        <v>276080</v>
      </c>
      <c r="O1068" s="13" t="s">
        <v>267</v>
      </c>
    </row>
    <row r="1069" spans="1:15" x14ac:dyDescent="0.3">
      <c r="A1069" s="20" t="s">
        <v>833</v>
      </c>
      <c r="B1069" s="10" t="s">
        <v>262</v>
      </c>
      <c r="C1069" s="32" t="s">
        <v>263</v>
      </c>
      <c r="D1069" s="32" t="s">
        <v>50</v>
      </c>
      <c r="E1069" s="32" t="s">
        <v>51</v>
      </c>
      <c r="F1069" s="32" t="s">
        <v>34</v>
      </c>
      <c r="G1069" s="32" t="s">
        <v>35</v>
      </c>
      <c r="H1069" s="41">
        <v>46031</v>
      </c>
      <c r="I1069" s="70">
        <v>124</v>
      </c>
      <c r="J1069" s="70">
        <v>820</v>
      </c>
      <c r="K1069" s="71">
        <v>0.11</v>
      </c>
      <c r="L1069" s="10" t="s">
        <v>30</v>
      </c>
      <c r="M1069" s="72">
        <v>101680</v>
      </c>
      <c r="N1069" s="72">
        <v>90495.2</v>
      </c>
      <c r="O1069" s="12" t="s">
        <v>265</v>
      </c>
    </row>
    <row r="1070" spans="1:15" x14ac:dyDescent="0.3">
      <c r="A1070" s="20" t="s">
        <v>834</v>
      </c>
      <c r="B1070" s="11" t="s">
        <v>32</v>
      </c>
      <c r="C1070" s="30" t="s">
        <v>246</v>
      </c>
      <c r="D1070" s="30" t="s">
        <v>26</v>
      </c>
      <c r="E1070" s="30" t="s">
        <v>51</v>
      </c>
      <c r="F1070" s="30" t="s">
        <v>34</v>
      </c>
      <c r="G1070" s="30" t="s">
        <v>35</v>
      </c>
      <c r="H1070" s="39">
        <v>46031</v>
      </c>
      <c r="I1070" s="64">
        <v>443</v>
      </c>
      <c r="J1070" s="64">
        <v>420</v>
      </c>
      <c r="K1070" s="65">
        <v>0</v>
      </c>
      <c r="L1070" s="11" t="s">
        <v>30</v>
      </c>
      <c r="M1070" s="66">
        <v>186060</v>
      </c>
      <c r="N1070" s="66">
        <v>186060</v>
      </c>
      <c r="O1070" s="13" t="s">
        <v>267</v>
      </c>
    </row>
    <row r="1071" spans="1:15" x14ac:dyDescent="0.3">
      <c r="A1071" s="20" t="s">
        <v>835</v>
      </c>
      <c r="B1071" s="10" t="s">
        <v>25</v>
      </c>
      <c r="C1071" s="32" t="s">
        <v>257</v>
      </c>
      <c r="D1071" s="32" t="s">
        <v>26</v>
      </c>
      <c r="E1071" s="32" t="s">
        <v>40</v>
      </c>
      <c r="F1071" s="32" t="s">
        <v>28</v>
      </c>
      <c r="G1071" s="32" t="s">
        <v>35</v>
      </c>
      <c r="H1071" s="41">
        <v>46031</v>
      </c>
      <c r="I1071" s="70">
        <v>102</v>
      </c>
      <c r="J1071" s="70">
        <v>350</v>
      </c>
      <c r="K1071" s="71">
        <v>7.0000000000000007E-2</v>
      </c>
      <c r="L1071" s="10" t="s">
        <v>36</v>
      </c>
      <c r="M1071" s="72">
        <v>35700</v>
      </c>
      <c r="N1071" s="72">
        <v>33201</v>
      </c>
      <c r="O1071" s="12" t="s">
        <v>265</v>
      </c>
    </row>
    <row r="1072" spans="1:15" x14ac:dyDescent="0.3">
      <c r="A1072" s="20" t="s">
        <v>836</v>
      </c>
      <c r="B1072" s="11" t="s">
        <v>44</v>
      </c>
      <c r="C1072" s="30" t="s">
        <v>254</v>
      </c>
      <c r="D1072" s="30" t="s">
        <v>39</v>
      </c>
      <c r="E1072" s="30" t="s">
        <v>33</v>
      </c>
      <c r="F1072" s="30" t="s">
        <v>52</v>
      </c>
      <c r="G1072" s="30" t="s">
        <v>29</v>
      </c>
      <c r="H1072" s="39">
        <v>46032</v>
      </c>
      <c r="I1072" s="64">
        <v>162</v>
      </c>
      <c r="J1072" s="64">
        <v>200</v>
      </c>
      <c r="K1072" s="65">
        <v>0.14000000000000001</v>
      </c>
      <c r="L1072" s="11" t="s">
        <v>36</v>
      </c>
      <c r="M1072" s="66">
        <v>32400</v>
      </c>
      <c r="N1072" s="66">
        <v>27864</v>
      </c>
      <c r="O1072" s="13" t="s">
        <v>265</v>
      </c>
    </row>
    <row r="1073" spans="1:15" x14ac:dyDescent="0.3">
      <c r="A1073" s="20" t="s">
        <v>837</v>
      </c>
      <c r="B1073" s="10" t="s">
        <v>49</v>
      </c>
      <c r="C1073" s="32" t="s">
        <v>251</v>
      </c>
      <c r="D1073" s="32" t="s">
        <v>50</v>
      </c>
      <c r="E1073" s="32" t="s">
        <v>51</v>
      </c>
      <c r="F1073" s="32" t="s">
        <v>52</v>
      </c>
      <c r="G1073" s="32" t="s">
        <v>29</v>
      </c>
      <c r="H1073" s="41">
        <v>46032</v>
      </c>
      <c r="I1073" s="70">
        <v>130</v>
      </c>
      <c r="J1073" s="70">
        <v>895</v>
      </c>
      <c r="K1073" s="71">
        <v>0</v>
      </c>
      <c r="L1073" s="10" t="s">
        <v>30</v>
      </c>
      <c r="M1073" s="72">
        <v>116350</v>
      </c>
      <c r="N1073" s="72">
        <v>116350</v>
      </c>
      <c r="O1073" s="12" t="s">
        <v>267</v>
      </c>
    </row>
    <row r="1074" spans="1:15" x14ac:dyDescent="0.3">
      <c r="A1074" s="20" t="s">
        <v>838</v>
      </c>
      <c r="B1074" s="11" t="s">
        <v>262</v>
      </c>
      <c r="C1074" s="30" t="s">
        <v>263</v>
      </c>
      <c r="D1074" s="30" t="s">
        <v>50</v>
      </c>
      <c r="E1074" s="30" t="s">
        <v>45</v>
      </c>
      <c r="F1074" s="30" t="s">
        <v>34</v>
      </c>
      <c r="G1074" s="30" t="s">
        <v>29</v>
      </c>
      <c r="H1074" s="39">
        <v>46035</v>
      </c>
      <c r="I1074" s="64">
        <v>297</v>
      </c>
      <c r="J1074" s="64">
        <v>820</v>
      </c>
      <c r="K1074" s="65">
        <v>0.13</v>
      </c>
      <c r="L1074" s="11" t="s">
        <v>30</v>
      </c>
      <c r="M1074" s="66">
        <v>243540</v>
      </c>
      <c r="N1074" s="66">
        <v>211879.8</v>
      </c>
      <c r="O1074" s="13" t="s">
        <v>267</v>
      </c>
    </row>
    <row r="1075" spans="1:15" x14ac:dyDescent="0.3">
      <c r="A1075" s="20" t="s">
        <v>839</v>
      </c>
      <c r="B1075" s="10" t="s">
        <v>61</v>
      </c>
      <c r="C1075" s="32" t="s">
        <v>244</v>
      </c>
      <c r="D1075" s="32" t="s">
        <v>26</v>
      </c>
      <c r="E1075" s="32" t="s">
        <v>45</v>
      </c>
      <c r="F1075" s="32" t="s">
        <v>46</v>
      </c>
      <c r="G1075" s="32" t="s">
        <v>47</v>
      </c>
      <c r="H1075" s="41">
        <v>46035</v>
      </c>
      <c r="I1075" s="70">
        <v>331</v>
      </c>
      <c r="J1075" s="70">
        <v>280</v>
      </c>
      <c r="K1075" s="71">
        <v>0.05</v>
      </c>
      <c r="L1075" s="10" t="s">
        <v>36</v>
      </c>
      <c r="M1075" s="72">
        <v>92680</v>
      </c>
      <c r="N1075" s="72">
        <v>88046</v>
      </c>
      <c r="O1075" s="12" t="s">
        <v>265</v>
      </c>
    </row>
    <row r="1076" spans="1:15" x14ac:dyDescent="0.3">
      <c r="A1076" s="20" t="s">
        <v>840</v>
      </c>
      <c r="B1076" s="11" t="s">
        <v>38</v>
      </c>
      <c r="C1076" s="30" t="s">
        <v>247</v>
      </c>
      <c r="D1076" s="30" t="s">
        <v>39</v>
      </c>
      <c r="E1076" s="30" t="s">
        <v>33</v>
      </c>
      <c r="F1076" s="30" t="s">
        <v>41</v>
      </c>
      <c r="G1076" s="30" t="s">
        <v>56</v>
      </c>
      <c r="H1076" s="39">
        <v>46038</v>
      </c>
      <c r="I1076" s="64">
        <v>242</v>
      </c>
      <c r="J1076" s="64">
        <v>1200</v>
      </c>
      <c r="K1076" s="65">
        <v>0.15</v>
      </c>
      <c r="L1076" s="11" t="s">
        <v>36</v>
      </c>
      <c r="M1076" s="66">
        <v>290400</v>
      </c>
      <c r="N1076" s="66">
        <v>246840</v>
      </c>
      <c r="O1076" s="13" t="s">
        <v>267</v>
      </c>
    </row>
    <row r="1077" spans="1:15" x14ac:dyDescent="0.3">
      <c r="A1077" s="20" t="s">
        <v>841</v>
      </c>
      <c r="B1077" s="10" t="s">
        <v>49</v>
      </c>
      <c r="C1077" s="32" t="s">
        <v>251</v>
      </c>
      <c r="D1077" s="32" t="s">
        <v>50</v>
      </c>
      <c r="E1077" s="32" t="s">
        <v>45</v>
      </c>
      <c r="F1077" s="32" t="s">
        <v>52</v>
      </c>
      <c r="G1077" s="32" t="s">
        <v>53</v>
      </c>
      <c r="H1077" s="41">
        <v>46039</v>
      </c>
      <c r="I1077" s="70">
        <v>34</v>
      </c>
      <c r="J1077" s="70">
        <v>895</v>
      </c>
      <c r="K1077" s="71">
        <v>0.05</v>
      </c>
      <c r="L1077" s="10" t="s">
        <v>30</v>
      </c>
      <c r="M1077" s="72">
        <v>30430</v>
      </c>
      <c r="N1077" s="72">
        <v>28908.5</v>
      </c>
      <c r="O1077" s="12" t="s">
        <v>265</v>
      </c>
    </row>
    <row r="1078" spans="1:15" x14ac:dyDescent="0.3">
      <c r="A1078" s="20" t="s">
        <v>842</v>
      </c>
      <c r="B1078" s="11" t="s">
        <v>55</v>
      </c>
      <c r="C1078" s="30" t="s">
        <v>249</v>
      </c>
      <c r="D1078" s="30" t="s">
        <v>39</v>
      </c>
      <c r="E1078" s="30" t="s">
        <v>33</v>
      </c>
      <c r="F1078" s="30" t="s">
        <v>52</v>
      </c>
      <c r="G1078" s="30" t="s">
        <v>29</v>
      </c>
      <c r="H1078" s="39">
        <v>46039</v>
      </c>
      <c r="I1078" s="64">
        <v>220</v>
      </c>
      <c r="J1078" s="64">
        <v>650</v>
      </c>
      <c r="K1078" s="65">
        <v>0</v>
      </c>
      <c r="L1078" s="11" t="s">
        <v>30</v>
      </c>
      <c r="M1078" s="66">
        <v>143000</v>
      </c>
      <c r="N1078" s="66">
        <v>143000</v>
      </c>
      <c r="O1078" s="13" t="s">
        <v>267</v>
      </c>
    </row>
    <row r="1079" spans="1:15" x14ac:dyDescent="0.3">
      <c r="A1079" s="20" t="s">
        <v>843</v>
      </c>
      <c r="B1079" s="10" t="s">
        <v>44</v>
      </c>
      <c r="C1079" s="32" t="s">
        <v>254</v>
      </c>
      <c r="D1079" s="32" t="s">
        <v>39</v>
      </c>
      <c r="E1079" s="32" t="s">
        <v>27</v>
      </c>
      <c r="F1079" s="32" t="s">
        <v>46</v>
      </c>
      <c r="G1079" s="32" t="s">
        <v>35</v>
      </c>
      <c r="H1079" s="41">
        <v>46039</v>
      </c>
      <c r="I1079" s="70">
        <v>483</v>
      </c>
      <c r="J1079" s="70">
        <v>200</v>
      </c>
      <c r="K1079" s="71">
        <v>0.14000000000000001</v>
      </c>
      <c r="L1079" s="10" t="s">
        <v>36</v>
      </c>
      <c r="M1079" s="72">
        <v>96600</v>
      </c>
      <c r="N1079" s="72">
        <v>83076</v>
      </c>
      <c r="O1079" s="12" t="s">
        <v>265</v>
      </c>
    </row>
    <row r="1080" spans="1:15" x14ac:dyDescent="0.3">
      <c r="A1080" s="20" t="s">
        <v>844</v>
      </c>
      <c r="B1080" s="11" t="s">
        <v>38</v>
      </c>
      <c r="C1080" s="30" t="s">
        <v>247</v>
      </c>
      <c r="D1080" s="30" t="s">
        <v>39</v>
      </c>
      <c r="E1080" s="30" t="s">
        <v>45</v>
      </c>
      <c r="F1080" s="30" t="s">
        <v>52</v>
      </c>
      <c r="G1080" s="30" t="s">
        <v>29</v>
      </c>
      <c r="H1080" s="39">
        <v>46040</v>
      </c>
      <c r="I1080" s="64">
        <v>353</v>
      </c>
      <c r="J1080" s="64">
        <v>1200</v>
      </c>
      <c r="K1080" s="65">
        <v>0</v>
      </c>
      <c r="L1080" s="11" t="s">
        <v>36</v>
      </c>
      <c r="M1080" s="66">
        <v>423600</v>
      </c>
      <c r="N1080" s="66">
        <v>423600</v>
      </c>
      <c r="O1080" s="13" t="s">
        <v>277</v>
      </c>
    </row>
    <row r="1081" spans="1:15" x14ac:dyDescent="0.3">
      <c r="A1081" s="20" t="s">
        <v>845</v>
      </c>
      <c r="B1081" s="10" t="s">
        <v>49</v>
      </c>
      <c r="C1081" s="32" t="s">
        <v>251</v>
      </c>
      <c r="D1081" s="32" t="s">
        <v>50</v>
      </c>
      <c r="E1081" s="32" t="s">
        <v>45</v>
      </c>
      <c r="F1081" s="32" t="s">
        <v>41</v>
      </c>
      <c r="G1081" s="32" t="s">
        <v>53</v>
      </c>
      <c r="H1081" s="41">
        <v>46041</v>
      </c>
      <c r="I1081" s="70">
        <v>381</v>
      </c>
      <c r="J1081" s="70">
        <v>895</v>
      </c>
      <c r="K1081" s="71">
        <v>0</v>
      </c>
      <c r="L1081" s="10" t="s">
        <v>36</v>
      </c>
      <c r="M1081" s="72">
        <v>340995</v>
      </c>
      <c r="N1081" s="72">
        <v>340995</v>
      </c>
      <c r="O1081" s="12" t="s">
        <v>267</v>
      </c>
    </row>
    <row r="1082" spans="1:15" x14ac:dyDescent="0.3">
      <c r="A1082" s="20" t="s">
        <v>846</v>
      </c>
      <c r="B1082" s="11" t="s">
        <v>262</v>
      </c>
      <c r="C1082" s="30" t="s">
        <v>263</v>
      </c>
      <c r="D1082" s="30" t="s">
        <v>50</v>
      </c>
      <c r="E1082" s="30" t="s">
        <v>27</v>
      </c>
      <c r="F1082" s="30" t="s">
        <v>28</v>
      </c>
      <c r="G1082" s="30" t="s">
        <v>47</v>
      </c>
      <c r="H1082" s="39">
        <v>46041</v>
      </c>
      <c r="I1082" s="64">
        <v>170</v>
      </c>
      <c r="J1082" s="64">
        <v>820</v>
      </c>
      <c r="K1082" s="65">
        <v>0.05</v>
      </c>
      <c r="L1082" s="11" t="s">
        <v>36</v>
      </c>
      <c r="M1082" s="66">
        <v>139400</v>
      </c>
      <c r="N1082" s="66">
        <v>132430</v>
      </c>
      <c r="O1082" s="13" t="s">
        <v>267</v>
      </c>
    </row>
    <row r="1083" spans="1:15" x14ac:dyDescent="0.3">
      <c r="A1083" s="20" t="s">
        <v>847</v>
      </c>
      <c r="B1083" s="10" t="s">
        <v>32</v>
      </c>
      <c r="C1083" s="32" t="s">
        <v>246</v>
      </c>
      <c r="D1083" s="32" t="s">
        <v>26</v>
      </c>
      <c r="E1083" s="32" t="s">
        <v>51</v>
      </c>
      <c r="F1083" s="32" t="s">
        <v>28</v>
      </c>
      <c r="G1083" s="32" t="s">
        <v>35</v>
      </c>
      <c r="H1083" s="41">
        <v>46041</v>
      </c>
      <c r="I1083" s="70">
        <v>393</v>
      </c>
      <c r="J1083" s="70">
        <v>420</v>
      </c>
      <c r="K1083" s="71">
        <v>0.11</v>
      </c>
      <c r="L1083" s="10" t="s">
        <v>36</v>
      </c>
      <c r="M1083" s="72">
        <v>165060</v>
      </c>
      <c r="N1083" s="72">
        <v>146903.4</v>
      </c>
      <c r="O1083" s="12" t="s">
        <v>267</v>
      </c>
    </row>
    <row r="1084" spans="1:15" x14ac:dyDescent="0.3">
      <c r="A1084" s="20" t="s">
        <v>848</v>
      </c>
      <c r="B1084" s="11" t="s">
        <v>258</v>
      </c>
      <c r="C1084" s="30" t="s">
        <v>259</v>
      </c>
      <c r="D1084" s="30" t="s">
        <v>26</v>
      </c>
      <c r="E1084" s="30" t="s">
        <v>33</v>
      </c>
      <c r="F1084" s="30" t="s">
        <v>52</v>
      </c>
      <c r="G1084" s="30" t="s">
        <v>42</v>
      </c>
      <c r="H1084" s="39">
        <v>46042</v>
      </c>
      <c r="I1084" s="64">
        <v>403</v>
      </c>
      <c r="J1084" s="64">
        <v>680</v>
      </c>
      <c r="K1084" s="65">
        <v>0.14000000000000001</v>
      </c>
      <c r="L1084" s="11" t="s">
        <v>36</v>
      </c>
      <c r="M1084" s="66">
        <v>274040</v>
      </c>
      <c r="N1084" s="66">
        <v>235674.4</v>
      </c>
      <c r="O1084" s="13" t="s">
        <v>267</v>
      </c>
    </row>
    <row r="1085" spans="1:15" x14ac:dyDescent="0.3">
      <c r="A1085" s="20" t="s">
        <v>849</v>
      </c>
      <c r="B1085" s="10" t="s">
        <v>58</v>
      </c>
      <c r="C1085" s="32" t="s">
        <v>255</v>
      </c>
      <c r="D1085" s="32" t="s">
        <v>59</v>
      </c>
      <c r="E1085" s="32" t="s">
        <v>33</v>
      </c>
      <c r="F1085" s="32" t="s">
        <v>46</v>
      </c>
      <c r="G1085" s="32" t="s">
        <v>53</v>
      </c>
      <c r="H1085" s="41">
        <v>46042</v>
      </c>
      <c r="I1085" s="70">
        <v>135</v>
      </c>
      <c r="J1085" s="70">
        <v>2800</v>
      </c>
      <c r="K1085" s="71">
        <v>0.14000000000000001</v>
      </c>
      <c r="L1085" s="10" t="s">
        <v>30</v>
      </c>
      <c r="M1085" s="72">
        <v>378000</v>
      </c>
      <c r="N1085" s="72">
        <v>325080</v>
      </c>
      <c r="O1085" s="12" t="s">
        <v>267</v>
      </c>
    </row>
    <row r="1086" spans="1:15" x14ac:dyDescent="0.3">
      <c r="A1086" s="20" t="s">
        <v>850</v>
      </c>
      <c r="B1086" s="11" t="s">
        <v>49</v>
      </c>
      <c r="C1086" s="30" t="s">
        <v>251</v>
      </c>
      <c r="D1086" s="30" t="s">
        <v>50</v>
      </c>
      <c r="E1086" s="30" t="s">
        <v>45</v>
      </c>
      <c r="F1086" s="30" t="s">
        <v>28</v>
      </c>
      <c r="G1086" s="30" t="s">
        <v>29</v>
      </c>
      <c r="H1086" s="39">
        <v>46043</v>
      </c>
      <c r="I1086" s="64">
        <v>245</v>
      </c>
      <c r="J1086" s="64">
        <v>895</v>
      </c>
      <c r="K1086" s="65">
        <v>0.11</v>
      </c>
      <c r="L1086" s="11" t="s">
        <v>36</v>
      </c>
      <c r="M1086" s="66">
        <v>219275</v>
      </c>
      <c r="N1086" s="66">
        <v>195154.75</v>
      </c>
      <c r="O1086" s="13" t="s">
        <v>267</v>
      </c>
    </row>
    <row r="1087" spans="1:15" x14ac:dyDescent="0.3">
      <c r="A1087" s="20" t="s">
        <v>851</v>
      </c>
      <c r="B1087" s="10" t="s">
        <v>44</v>
      </c>
      <c r="C1087" s="32" t="s">
        <v>254</v>
      </c>
      <c r="D1087" s="32" t="s">
        <v>39</v>
      </c>
      <c r="E1087" s="32" t="s">
        <v>45</v>
      </c>
      <c r="F1087" s="32" t="s">
        <v>41</v>
      </c>
      <c r="G1087" s="32" t="s">
        <v>29</v>
      </c>
      <c r="H1087" s="41">
        <v>46043</v>
      </c>
      <c r="I1087" s="70">
        <v>167</v>
      </c>
      <c r="J1087" s="70">
        <v>200</v>
      </c>
      <c r="K1087" s="71">
        <v>0</v>
      </c>
      <c r="L1087" s="10" t="s">
        <v>30</v>
      </c>
      <c r="M1087" s="72">
        <v>33400</v>
      </c>
      <c r="N1087" s="72">
        <v>33400</v>
      </c>
      <c r="O1087" s="12" t="s">
        <v>265</v>
      </c>
    </row>
    <row r="1088" spans="1:15" x14ac:dyDescent="0.3">
      <c r="A1088" s="20" t="s">
        <v>852</v>
      </c>
      <c r="B1088" s="11" t="s">
        <v>38</v>
      </c>
      <c r="C1088" s="30" t="s">
        <v>247</v>
      </c>
      <c r="D1088" s="30" t="s">
        <v>39</v>
      </c>
      <c r="E1088" s="30" t="s">
        <v>51</v>
      </c>
      <c r="F1088" s="30" t="s">
        <v>34</v>
      </c>
      <c r="G1088" s="30" t="s">
        <v>47</v>
      </c>
      <c r="H1088" s="39">
        <v>46043</v>
      </c>
      <c r="I1088" s="64">
        <v>241</v>
      </c>
      <c r="J1088" s="64">
        <v>1200</v>
      </c>
      <c r="K1088" s="65">
        <v>0.14000000000000001</v>
      </c>
      <c r="L1088" s="11" t="s">
        <v>30</v>
      </c>
      <c r="M1088" s="66">
        <v>289200</v>
      </c>
      <c r="N1088" s="66">
        <v>248712</v>
      </c>
      <c r="O1088" s="13" t="s">
        <v>267</v>
      </c>
    </row>
    <row r="1089" spans="1:15" x14ac:dyDescent="0.3">
      <c r="A1089" s="20" t="s">
        <v>853</v>
      </c>
      <c r="B1089" s="10" t="s">
        <v>16</v>
      </c>
      <c r="C1089" s="32" t="s">
        <v>250</v>
      </c>
      <c r="D1089" s="32" t="s">
        <v>39</v>
      </c>
      <c r="E1089" s="32" t="s">
        <v>51</v>
      </c>
      <c r="F1089" s="32" t="s">
        <v>41</v>
      </c>
      <c r="G1089" s="32" t="s">
        <v>29</v>
      </c>
      <c r="H1089" s="41">
        <v>46046</v>
      </c>
      <c r="I1089" s="70">
        <v>210</v>
      </c>
      <c r="J1089" s="70">
        <v>990</v>
      </c>
      <c r="K1089" s="71">
        <v>0.13</v>
      </c>
      <c r="L1089" s="10" t="s">
        <v>36</v>
      </c>
      <c r="M1089" s="72">
        <v>207900</v>
      </c>
      <c r="N1089" s="72">
        <v>180873</v>
      </c>
      <c r="O1089" s="12" t="s">
        <v>267</v>
      </c>
    </row>
    <row r="1090" spans="1:15" x14ac:dyDescent="0.3">
      <c r="A1090" s="20" t="s">
        <v>854</v>
      </c>
      <c r="B1090" s="11" t="s">
        <v>258</v>
      </c>
      <c r="C1090" s="30" t="s">
        <v>259</v>
      </c>
      <c r="D1090" s="30" t="s">
        <v>26</v>
      </c>
      <c r="E1090" s="30" t="s">
        <v>27</v>
      </c>
      <c r="F1090" s="30" t="s">
        <v>28</v>
      </c>
      <c r="G1090" s="30" t="s">
        <v>47</v>
      </c>
      <c r="H1090" s="39">
        <v>46046</v>
      </c>
      <c r="I1090" s="64">
        <v>271</v>
      </c>
      <c r="J1090" s="64">
        <v>680</v>
      </c>
      <c r="K1090" s="65">
        <v>0.14000000000000001</v>
      </c>
      <c r="L1090" s="11" t="s">
        <v>36</v>
      </c>
      <c r="M1090" s="66">
        <v>184280</v>
      </c>
      <c r="N1090" s="66">
        <v>158480.79999999999</v>
      </c>
      <c r="O1090" s="13" t="s">
        <v>267</v>
      </c>
    </row>
    <row r="1091" spans="1:15" x14ac:dyDescent="0.3">
      <c r="A1091" s="20" t="s">
        <v>855</v>
      </c>
      <c r="B1091" s="10" t="s">
        <v>258</v>
      </c>
      <c r="C1091" s="32" t="s">
        <v>259</v>
      </c>
      <c r="D1091" s="32" t="s">
        <v>26</v>
      </c>
      <c r="E1091" s="32" t="s">
        <v>33</v>
      </c>
      <c r="F1091" s="32" t="s">
        <v>46</v>
      </c>
      <c r="G1091" s="32" t="s">
        <v>42</v>
      </c>
      <c r="H1091" s="41">
        <v>46046</v>
      </c>
      <c r="I1091" s="70">
        <v>180</v>
      </c>
      <c r="J1091" s="70">
        <v>680</v>
      </c>
      <c r="K1091" s="71">
        <v>0.15</v>
      </c>
      <c r="L1091" s="10" t="s">
        <v>30</v>
      </c>
      <c r="M1091" s="72">
        <v>122400</v>
      </c>
      <c r="N1091" s="72">
        <v>104040</v>
      </c>
      <c r="O1091" s="12" t="s">
        <v>267</v>
      </c>
    </row>
    <row r="1092" spans="1:15" x14ac:dyDescent="0.3">
      <c r="A1092" s="20" t="s">
        <v>856</v>
      </c>
      <c r="B1092" s="11" t="s">
        <v>260</v>
      </c>
      <c r="C1092" s="30" t="s">
        <v>261</v>
      </c>
      <c r="D1092" s="30" t="s">
        <v>39</v>
      </c>
      <c r="E1092" s="30" t="s">
        <v>45</v>
      </c>
      <c r="F1092" s="30" t="s">
        <v>34</v>
      </c>
      <c r="G1092" s="30" t="s">
        <v>53</v>
      </c>
      <c r="H1092" s="39">
        <v>46047</v>
      </c>
      <c r="I1092" s="64">
        <v>188</v>
      </c>
      <c r="J1092" s="64">
        <v>450</v>
      </c>
      <c r="K1092" s="65">
        <v>0.11</v>
      </c>
      <c r="L1092" s="11" t="s">
        <v>30</v>
      </c>
      <c r="M1092" s="66">
        <v>84600</v>
      </c>
      <c r="N1092" s="66">
        <v>75294</v>
      </c>
      <c r="O1092" s="13" t="s">
        <v>265</v>
      </c>
    </row>
    <row r="1093" spans="1:15" x14ac:dyDescent="0.3">
      <c r="A1093" s="20" t="s">
        <v>857</v>
      </c>
      <c r="B1093" s="10" t="s">
        <v>55</v>
      </c>
      <c r="C1093" s="32" t="s">
        <v>249</v>
      </c>
      <c r="D1093" s="32" t="s">
        <v>39</v>
      </c>
      <c r="E1093" s="32" t="s">
        <v>27</v>
      </c>
      <c r="F1093" s="32" t="s">
        <v>34</v>
      </c>
      <c r="G1093" s="32" t="s">
        <v>35</v>
      </c>
      <c r="H1093" s="41">
        <v>46047</v>
      </c>
      <c r="I1093" s="70">
        <v>447</v>
      </c>
      <c r="J1093" s="70">
        <v>650</v>
      </c>
      <c r="K1093" s="71">
        <v>0.15</v>
      </c>
      <c r="L1093" s="10" t="s">
        <v>30</v>
      </c>
      <c r="M1093" s="72">
        <v>290550</v>
      </c>
      <c r="N1093" s="72">
        <v>246967.5</v>
      </c>
      <c r="O1093" s="12" t="s">
        <v>267</v>
      </c>
    </row>
    <row r="1094" spans="1:15" x14ac:dyDescent="0.3">
      <c r="A1094" s="20" t="s">
        <v>858</v>
      </c>
      <c r="B1094" s="11" t="s">
        <v>44</v>
      </c>
      <c r="C1094" s="30" t="s">
        <v>254</v>
      </c>
      <c r="D1094" s="30" t="s">
        <v>39</v>
      </c>
      <c r="E1094" s="30" t="s">
        <v>33</v>
      </c>
      <c r="F1094" s="30" t="s">
        <v>34</v>
      </c>
      <c r="G1094" s="30" t="s">
        <v>47</v>
      </c>
      <c r="H1094" s="39">
        <v>46048</v>
      </c>
      <c r="I1094" s="64">
        <v>277</v>
      </c>
      <c r="J1094" s="64">
        <v>200</v>
      </c>
      <c r="K1094" s="65">
        <v>0</v>
      </c>
      <c r="L1094" s="11" t="s">
        <v>36</v>
      </c>
      <c r="M1094" s="66">
        <v>55400</v>
      </c>
      <c r="N1094" s="66">
        <v>55400</v>
      </c>
      <c r="O1094" s="13" t="s">
        <v>265</v>
      </c>
    </row>
    <row r="1095" spans="1:15" x14ac:dyDescent="0.3">
      <c r="A1095" s="20" t="s">
        <v>859</v>
      </c>
      <c r="B1095" s="10" t="s">
        <v>262</v>
      </c>
      <c r="C1095" s="32" t="s">
        <v>263</v>
      </c>
      <c r="D1095" s="32" t="s">
        <v>50</v>
      </c>
      <c r="E1095" s="32" t="s">
        <v>27</v>
      </c>
      <c r="F1095" s="32" t="s">
        <v>52</v>
      </c>
      <c r="G1095" s="32" t="s">
        <v>35</v>
      </c>
      <c r="H1095" s="41">
        <v>46048</v>
      </c>
      <c r="I1095" s="70">
        <v>332</v>
      </c>
      <c r="J1095" s="70">
        <v>820</v>
      </c>
      <c r="K1095" s="71">
        <v>0.05</v>
      </c>
      <c r="L1095" s="10" t="s">
        <v>36</v>
      </c>
      <c r="M1095" s="72">
        <v>272240</v>
      </c>
      <c r="N1095" s="72">
        <v>258628</v>
      </c>
      <c r="O1095" s="12" t="s">
        <v>267</v>
      </c>
    </row>
    <row r="1096" spans="1:15" x14ac:dyDescent="0.3">
      <c r="A1096" s="20" t="s">
        <v>860</v>
      </c>
      <c r="B1096" s="11" t="s">
        <v>44</v>
      </c>
      <c r="C1096" s="30" t="s">
        <v>254</v>
      </c>
      <c r="D1096" s="30" t="s">
        <v>39</v>
      </c>
      <c r="E1096" s="30" t="s">
        <v>27</v>
      </c>
      <c r="F1096" s="30" t="s">
        <v>52</v>
      </c>
      <c r="G1096" s="30" t="s">
        <v>42</v>
      </c>
      <c r="H1096" s="39">
        <v>46048</v>
      </c>
      <c r="I1096" s="64">
        <v>236</v>
      </c>
      <c r="J1096" s="64">
        <v>200</v>
      </c>
      <c r="K1096" s="65">
        <v>0.1</v>
      </c>
      <c r="L1096" s="11" t="s">
        <v>36</v>
      </c>
      <c r="M1096" s="66">
        <v>47200</v>
      </c>
      <c r="N1096" s="66">
        <v>42480</v>
      </c>
      <c r="O1096" s="13" t="s">
        <v>265</v>
      </c>
    </row>
    <row r="1097" spans="1:15" x14ac:dyDescent="0.3">
      <c r="A1097" s="20" t="s">
        <v>861</v>
      </c>
      <c r="B1097" s="10" t="s">
        <v>258</v>
      </c>
      <c r="C1097" s="32" t="s">
        <v>259</v>
      </c>
      <c r="D1097" s="32" t="s">
        <v>26</v>
      </c>
      <c r="E1097" s="32" t="s">
        <v>40</v>
      </c>
      <c r="F1097" s="32" t="s">
        <v>46</v>
      </c>
      <c r="G1097" s="32" t="s">
        <v>42</v>
      </c>
      <c r="H1097" s="41">
        <v>46049</v>
      </c>
      <c r="I1097" s="70">
        <v>198</v>
      </c>
      <c r="J1097" s="70">
        <v>680</v>
      </c>
      <c r="K1097" s="71">
        <v>0.12</v>
      </c>
      <c r="L1097" s="10" t="s">
        <v>36</v>
      </c>
      <c r="M1097" s="72">
        <v>134640</v>
      </c>
      <c r="N1097" s="72">
        <v>118483.2</v>
      </c>
      <c r="O1097" s="12" t="s">
        <v>267</v>
      </c>
    </row>
    <row r="1098" spans="1:15" x14ac:dyDescent="0.3">
      <c r="A1098" s="20" t="s">
        <v>862</v>
      </c>
      <c r="B1098" s="11" t="s">
        <v>63</v>
      </c>
      <c r="C1098" s="30" t="s">
        <v>253</v>
      </c>
      <c r="D1098" s="30" t="s">
        <v>50</v>
      </c>
      <c r="E1098" s="30" t="s">
        <v>51</v>
      </c>
      <c r="F1098" s="30" t="s">
        <v>34</v>
      </c>
      <c r="G1098" s="30" t="s">
        <v>29</v>
      </c>
      <c r="H1098" s="39">
        <v>46049</v>
      </c>
      <c r="I1098" s="64">
        <v>235</v>
      </c>
      <c r="J1098" s="64">
        <v>750</v>
      </c>
      <c r="K1098" s="65">
        <v>0.12</v>
      </c>
      <c r="L1098" s="11" t="s">
        <v>36</v>
      </c>
      <c r="M1098" s="66">
        <v>176250</v>
      </c>
      <c r="N1098" s="66">
        <v>155100</v>
      </c>
      <c r="O1098" s="13" t="s">
        <v>267</v>
      </c>
    </row>
    <row r="1099" spans="1:15" x14ac:dyDescent="0.3">
      <c r="A1099" s="20" t="s">
        <v>863</v>
      </c>
      <c r="B1099" s="10" t="s">
        <v>25</v>
      </c>
      <c r="C1099" s="32" t="s">
        <v>257</v>
      </c>
      <c r="D1099" s="32" t="s">
        <v>26</v>
      </c>
      <c r="E1099" s="32" t="s">
        <v>27</v>
      </c>
      <c r="F1099" s="32" t="s">
        <v>28</v>
      </c>
      <c r="G1099" s="32" t="s">
        <v>35</v>
      </c>
      <c r="H1099" s="41">
        <v>46049</v>
      </c>
      <c r="I1099" s="70">
        <v>244</v>
      </c>
      <c r="J1099" s="70">
        <v>350</v>
      </c>
      <c r="K1099" s="71">
        <v>0.08</v>
      </c>
      <c r="L1099" s="10" t="s">
        <v>36</v>
      </c>
      <c r="M1099" s="72">
        <v>85400</v>
      </c>
      <c r="N1099" s="72">
        <v>78568</v>
      </c>
      <c r="O1099" s="12" t="s">
        <v>265</v>
      </c>
    </row>
    <row r="1100" spans="1:15" x14ac:dyDescent="0.3">
      <c r="A1100" s="20" t="s">
        <v>864</v>
      </c>
      <c r="B1100" s="11" t="s">
        <v>32</v>
      </c>
      <c r="C1100" s="30" t="s">
        <v>246</v>
      </c>
      <c r="D1100" s="30" t="s">
        <v>26</v>
      </c>
      <c r="E1100" s="30" t="s">
        <v>40</v>
      </c>
      <c r="F1100" s="30" t="s">
        <v>52</v>
      </c>
      <c r="G1100" s="30" t="s">
        <v>42</v>
      </c>
      <c r="H1100" s="39">
        <v>46050</v>
      </c>
      <c r="I1100" s="64">
        <v>226</v>
      </c>
      <c r="J1100" s="64">
        <v>420</v>
      </c>
      <c r="K1100" s="65">
        <v>0.11</v>
      </c>
      <c r="L1100" s="11" t="s">
        <v>36</v>
      </c>
      <c r="M1100" s="66">
        <v>94920</v>
      </c>
      <c r="N1100" s="66">
        <v>84478.8</v>
      </c>
      <c r="O1100" s="13" t="s">
        <v>265</v>
      </c>
    </row>
    <row r="1101" spans="1:15" x14ac:dyDescent="0.3">
      <c r="A1101" s="20" t="s">
        <v>865</v>
      </c>
      <c r="B1101" s="10" t="s">
        <v>58</v>
      </c>
      <c r="C1101" s="32" t="s">
        <v>255</v>
      </c>
      <c r="D1101" s="32" t="s">
        <v>59</v>
      </c>
      <c r="E1101" s="32" t="s">
        <v>27</v>
      </c>
      <c r="F1101" s="32" t="s">
        <v>34</v>
      </c>
      <c r="G1101" s="32" t="s">
        <v>29</v>
      </c>
      <c r="H1101" s="41">
        <v>46050</v>
      </c>
      <c r="I1101" s="70">
        <v>159</v>
      </c>
      <c r="J1101" s="70">
        <v>2800</v>
      </c>
      <c r="K1101" s="71">
        <v>7.0000000000000007E-2</v>
      </c>
      <c r="L1101" s="10" t="s">
        <v>36</v>
      </c>
      <c r="M1101" s="72">
        <v>445200</v>
      </c>
      <c r="N1101" s="72">
        <v>414036</v>
      </c>
      <c r="O1101" s="12" t="s">
        <v>277</v>
      </c>
    </row>
    <row r="1102" spans="1:15" x14ac:dyDescent="0.3">
      <c r="A1102" s="20" t="s">
        <v>866</v>
      </c>
      <c r="B1102" s="11" t="s">
        <v>260</v>
      </c>
      <c r="C1102" s="30" t="s">
        <v>261</v>
      </c>
      <c r="D1102" s="30" t="s">
        <v>39</v>
      </c>
      <c r="E1102" s="30" t="s">
        <v>45</v>
      </c>
      <c r="F1102" s="30" t="s">
        <v>28</v>
      </c>
      <c r="G1102" s="30" t="s">
        <v>56</v>
      </c>
      <c r="H1102" s="39">
        <v>46050</v>
      </c>
      <c r="I1102" s="64">
        <v>290</v>
      </c>
      <c r="J1102" s="64">
        <v>450</v>
      </c>
      <c r="K1102" s="65">
        <v>0</v>
      </c>
      <c r="L1102" s="11" t="s">
        <v>36</v>
      </c>
      <c r="M1102" s="66">
        <v>130500</v>
      </c>
      <c r="N1102" s="66">
        <v>130500</v>
      </c>
      <c r="O1102" s="13" t="s">
        <v>267</v>
      </c>
    </row>
    <row r="1103" spans="1:15" x14ac:dyDescent="0.3">
      <c r="A1103" s="20" t="s">
        <v>867</v>
      </c>
      <c r="B1103" s="10" t="s">
        <v>61</v>
      </c>
      <c r="C1103" s="32" t="s">
        <v>244</v>
      </c>
      <c r="D1103" s="32" t="s">
        <v>26</v>
      </c>
      <c r="E1103" s="32" t="s">
        <v>33</v>
      </c>
      <c r="F1103" s="32" t="s">
        <v>52</v>
      </c>
      <c r="G1103" s="32" t="s">
        <v>29</v>
      </c>
      <c r="H1103" s="41">
        <v>46052</v>
      </c>
      <c r="I1103" s="70">
        <v>91</v>
      </c>
      <c r="J1103" s="70">
        <v>280</v>
      </c>
      <c r="K1103" s="71">
        <v>0</v>
      </c>
      <c r="L1103" s="10" t="s">
        <v>36</v>
      </c>
      <c r="M1103" s="72">
        <v>25480</v>
      </c>
      <c r="N1103" s="72">
        <v>25480</v>
      </c>
      <c r="O1103" s="12" t="s">
        <v>265</v>
      </c>
    </row>
    <row r="1104" spans="1:15" x14ac:dyDescent="0.3">
      <c r="A1104" s="20" t="s">
        <v>868</v>
      </c>
      <c r="B1104" s="11" t="s">
        <v>38</v>
      </c>
      <c r="C1104" s="30" t="s">
        <v>247</v>
      </c>
      <c r="D1104" s="30" t="s">
        <v>39</v>
      </c>
      <c r="E1104" s="30" t="s">
        <v>45</v>
      </c>
      <c r="F1104" s="30" t="s">
        <v>41</v>
      </c>
      <c r="G1104" s="30" t="s">
        <v>35</v>
      </c>
      <c r="H1104" s="39">
        <v>46052</v>
      </c>
      <c r="I1104" s="64">
        <v>205</v>
      </c>
      <c r="J1104" s="64">
        <v>1200</v>
      </c>
      <c r="K1104" s="65">
        <v>0.03</v>
      </c>
      <c r="L1104" s="11" t="s">
        <v>36</v>
      </c>
      <c r="M1104" s="66">
        <v>246000</v>
      </c>
      <c r="N1104" s="66">
        <v>238620</v>
      </c>
      <c r="O1104" s="13" t="s">
        <v>267</v>
      </c>
    </row>
    <row r="1105" spans="1:15" x14ac:dyDescent="0.3">
      <c r="A1105" s="20" t="s">
        <v>869</v>
      </c>
      <c r="B1105" s="10" t="s">
        <v>61</v>
      </c>
      <c r="C1105" s="32" t="s">
        <v>244</v>
      </c>
      <c r="D1105" s="32" t="s">
        <v>26</v>
      </c>
      <c r="E1105" s="32" t="s">
        <v>40</v>
      </c>
      <c r="F1105" s="32" t="s">
        <v>28</v>
      </c>
      <c r="G1105" s="32" t="s">
        <v>42</v>
      </c>
      <c r="H1105" s="41">
        <v>46052</v>
      </c>
      <c r="I1105" s="70">
        <v>103</v>
      </c>
      <c r="J1105" s="70">
        <v>280</v>
      </c>
      <c r="K1105" s="71">
        <v>0.15</v>
      </c>
      <c r="L1105" s="10" t="s">
        <v>36</v>
      </c>
      <c r="M1105" s="72">
        <v>28840</v>
      </c>
      <c r="N1105" s="72">
        <v>24514</v>
      </c>
      <c r="O1105" s="12" t="s">
        <v>265</v>
      </c>
    </row>
    <row r="1106" spans="1:15" x14ac:dyDescent="0.3">
      <c r="A1106" s="20" t="s">
        <v>870</v>
      </c>
      <c r="B1106" s="11" t="s">
        <v>25</v>
      </c>
      <c r="C1106" s="30" t="s">
        <v>257</v>
      </c>
      <c r="D1106" s="30" t="s">
        <v>26</v>
      </c>
      <c r="E1106" s="30" t="s">
        <v>33</v>
      </c>
      <c r="F1106" s="30" t="s">
        <v>34</v>
      </c>
      <c r="G1106" s="30" t="s">
        <v>42</v>
      </c>
      <c r="H1106" s="39">
        <v>46053</v>
      </c>
      <c r="I1106" s="64">
        <v>229</v>
      </c>
      <c r="J1106" s="64">
        <v>350</v>
      </c>
      <c r="K1106" s="65">
        <v>0.12</v>
      </c>
      <c r="L1106" s="11" t="s">
        <v>30</v>
      </c>
      <c r="M1106" s="66">
        <v>80150</v>
      </c>
      <c r="N1106" s="66">
        <v>70532</v>
      </c>
      <c r="O1106" s="13" t="s">
        <v>265</v>
      </c>
    </row>
    <row r="1107" spans="1:15" x14ac:dyDescent="0.3">
      <c r="A1107" s="20" t="s">
        <v>871</v>
      </c>
      <c r="B1107" s="10" t="s">
        <v>25</v>
      </c>
      <c r="C1107" s="32" t="s">
        <v>257</v>
      </c>
      <c r="D1107" s="32" t="s">
        <v>26</v>
      </c>
      <c r="E1107" s="32" t="s">
        <v>27</v>
      </c>
      <c r="F1107" s="32" t="s">
        <v>52</v>
      </c>
      <c r="G1107" s="32" t="s">
        <v>35</v>
      </c>
      <c r="H1107" s="41">
        <v>46053</v>
      </c>
      <c r="I1107" s="70">
        <v>130</v>
      </c>
      <c r="J1107" s="70">
        <v>350</v>
      </c>
      <c r="K1107" s="71">
        <v>0.1</v>
      </c>
      <c r="L1107" s="10" t="s">
        <v>36</v>
      </c>
      <c r="M1107" s="72">
        <v>45500</v>
      </c>
      <c r="N1107" s="72">
        <v>40950</v>
      </c>
      <c r="O1107" s="12" t="s">
        <v>265</v>
      </c>
    </row>
    <row r="1108" spans="1:15" x14ac:dyDescent="0.3">
      <c r="A1108" s="20" t="s">
        <v>872</v>
      </c>
      <c r="B1108" s="11" t="s">
        <v>260</v>
      </c>
      <c r="C1108" s="30" t="s">
        <v>261</v>
      </c>
      <c r="D1108" s="30" t="s">
        <v>39</v>
      </c>
      <c r="E1108" s="30" t="s">
        <v>27</v>
      </c>
      <c r="F1108" s="30" t="s">
        <v>28</v>
      </c>
      <c r="G1108" s="30" t="s">
        <v>42</v>
      </c>
      <c r="H1108" s="39">
        <v>46053</v>
      </c>
      <c r="I1108" s="64">
        <v>89</v>
      </c>
      <c r="J1108" s="64">
        <v>450</v>
      </c>
      <c r="K1108" s="65">
        <v>0.12</v>
      </c>
      <c r="L1108" s="11" t="s">
        <v>36</v>
      </c>
      <c r="M1108" s="66">
        <v>40050</v>
      </c>
      <c r="N1108" s="66">
        <v>35244</v>
      </c>
      <c r="O1108" s="13" t="s">
        <v>265</v>
      </c>
    </row>
    <row r="1109" spans="1:15" x14ac:dyDescent="0.3">
      <c r="A1109" s="20" t="s">
        <v>873</v>
      </c>
      <c r="B1109" s="10" t="s">
        <v>32</v>
      </c>
      <c r="C1109" s="32" t="s">
        <v>246</v>
      </c>
      <c r="D1109" s="32" t="s">
        <v>26</v>
      </c>
      <c r="E1109" s="32" t="s">
        <v>40</v>
      </c>
      <c r="F1109" s="32" t="s">
        <v>46</v>
      </c>
      <c r="G1109" s="32" t="s">
        <v>35</v>
      </c>
      <c r="H1109" s="41">
        <v>46054</v>
      </c>
      <c r="I1109" s="70">
        <v>428</v>
      </c>
      <c r="J1109" s="70">
        <v>420</v>
      </c>
      <c r="K1109" s="71">
        <v>0.15</v>
      </c>
      <c r="L1109" s="10" t="s">
        <v>30</v>
      </c>
      <c r="M1109" s="72">
        <v>179760</v>
      </c>
      <c r="N1109" s="72">
        <v>152796</v>
      </c>
      <c r="O1109" s="12" t="s">
        <v>267</v>
      </c>
    </row>
    <row r="1110" spans="1:15" x14ac:dyDescent="0.3">
      <c r="A1110" s="20" t="s">
        <v>874</v>
      </c>
      <c r="B1110" s="11" t="s">
        <v>262</v>
      </c>
      <c r="C1110" s="30" t="s">
        <v>263</v>
      </c>
      <c r="D1110" s="30" t="s">
        <v>50</v>
      </c>
      <c r="E1110" s="30" t="s">
        <v>27</v>
      </c>
      <c r="F1110" s="30" t="s">
        <v>46</v>
      </c>
      <c r="G1110" s="30" t="s">
        <v>53</v>
      </c>
      <c r="H1110" s="39">
        <v>46054</v>
      </c>
      <c r="I1110" s="64">
        <v>301</v>
      </c>
      <c r="J1110" s="64">
        <v>820</v>
      </c>
      <c r="K1110" s="65">
        <v>0</v>
      </c>
      <c r="L1110" s="11" t="s">
        <v>30</v>
      </c>
      <c r="M1110" s="66">
        <v>246820</v>
      </c>
      <c r="N1110" s="66">
        <v>246820</v>
      </c>
      <c r="O1110" s="13" t="s">
        <v>267</v>
      </c>
    </row>
    <row r="1111" spans="1:15" x14ac:dyDescent="0.3">
      <c r="A1111" s="20" t="s">
        <v>875</v>
      </c>
      <c r="B1111" s="10" t="s">
        <v>61</v>
      </c>
      <c r="C1111" s="32" t="s">
        <v>244</v>
      </c>
      <c r="D1111" s="32" t="s">
        <v>26</v>
      </c>
      <c r="E1111" s="32" t="s">
        <v>40</v>
      </c>
      <c r="F1111" s="32" t="s">
        <v>28</v>
      </c>
      <c r="G1111" s="32" t="s">
        <v>56</v>
      </c>
      <c r="H1111" s="41">
        <v>46054</v>
      </c>
      <c r="I1111" s="70">
        <v>133</v>
      </c>
      <c r="J1111" s="70">
        <v>280</v>
      </c>
      <c r="K1111" s="71">
        <v>7.0000000000000007E-2</v>
      </c>
      <c r="L1111" s="10" t="s">
        <v>36</v>
      </c>
      <c r="M1111" s="72">
        <v>37240</v>
      </c>
      <c r="N1111" s="72">
        <v>34633.199999999997</v>
      </c>
      <c r="O1111" s="12" t="s">
        <v>265</v>
      </c>
    </row>
    <row r="1112" spans="1:15" x14ac:dyDescent="0.3">
      <c r="A1112" s="20" t="s">
        <v>876</v>
      </c>
      <c r="B1112" s="11" t="s">
        <v>25</v>
      </c>
      <c r="C1112" s="30" t="s">
        <v>257</v>
      </c>
      <c r="D1112" s="30" t="s">
        <v>26</v>
      </c>
      <c r="E1112" s="30" t="s">
        <v>45</v>
      </c>
      <c r="F1112" s="30" t="s">
        <v>34</v>
      </c>
      <c r="G1112" s="30" t="s">
        <v>29</v>
      </c>
      <c r="H1112" s="39">
        <v>46055</v>
      </c>
      <c r="I1112" s="64">
        <v>196</v>
      </c>
      <c r="J1112" s="64">
        <v>350</v>
      </c>
      <c r="K1112" s="65">
        <v>0.13</v>
      </c>
      <c r="L1112" s="11" t="s">
        <v>36</v>
      </c>
      <c r="M1112" s="66">
        <v>68600</v>
      </c>
      <c r="N1112" s="66">
        <v>59682</v>
      </c>
      <c r="O1112" s="13" t="s">
        <v>265</v>
      </c>
    </row>
    <row r="1113" spans="1:15" x14ac:dyDescent="0.3">
      <c r="A1113" s="20" t="s">
        <v>877</v>
      </c>
      <c r="B1113" s="10" t="s">
        <v>32</v>
      </c>
      <c r="C1113" s="32" t="s">
        <v>246</v>
      </c>
      <c r="D1113" s="32" t="s">
        <v>26</v>
      </c>
      <c r="E1113" s="32" t="s">
        <v>45</v>
      </c>
      <c r="F1113" s="32" t="s">
        <v>34</v>
      </c>
      <c r="G1113" s="32" t="s">
        <v>56</v>
      </c>
      <c r="H1113" s="41">
        <v>46055</v>
      </c>
      <c r="I1113" s="70">
        <v>64</v>
      </c>
      <c r="J1113" s="70">
        <v>420</v>
      </c>
      <c r="K1113" s="71">
        <v>0.12</v>
      </c>
      <c r="L1113" s="10" t="s">
        <v>36</v>
      </c>
      <c r="M1113" s="72">
        <v>26880</v>
      </c>
      <c r="N1113" s="72">
        <v>23654.400000000001</v>
      </c>
      <c r="O1113" s="12" t="s">
        <v>265</v>
      </c>
    </row>
    <row r="1114" spans="1:15" x14ac:dyDescent="0.3">
      <c r="A1114" s="20" t="s">
        <v>878</v>
      </c>
      <c r="B1114" s="11" t="s">
        <v>262</v>
      </c>
      <c r="C1114" s="30" t="s">
        <v>263</v>
      </c>
      <c r="D1114" s="30" t="s">
        <v>50</v>
      </c>
      <c r="E1114" s="30" t="s">
        <v>33</v>
      </c>
      <c r="F1114" s="30" t="s">
        <v>28</v>
      </c>
      <c r="G1114" s="30" t="s">
        <v>29</v>
      </c>
      <c r="H1114" s="39">
        <v>46055</v>
      </c>
      <c r="I1114" s="64">
        <v>361</v>
      </c>
      <c r="J1114" s="64">
        <v>820</v>
      </c>
      <c r="K1114" s="65">
        <v>0.13</v>
      </c>
      <c r="L1114" s="11" t="s">
        <v>36</v>
      </c>
      <c r="M1114" s="66">
        <v>296020</v>
      </c>
      <c r="N1114" s="66">
        <v>257537.4</v>
      </c>
      <c r="O1114" s="13" t="s">
        <v>267</v>
      </c>
    </row>
    <row r="1115" spans="1:15" x14ac:dyDescent="0.3">
      <c r="A1115" s="20" t="s">
        <v>879</v>
      </c>
      <c r="B1115" s="10" t="s">
        <v>25</v>
      </c>
      <c r="C1115" s="32" t="s">
        <v>257</v>
      </c>
      <c r="D1115" s="32" t="s">
        <v>26</v>
      </c>
      <c r="E1115" s="32" t="s">
        <v>51</v>
      </c>
      <c r="F1115" s="32" t="s">
        <v>34</v>
      </c>
      <c r="G1115" s="32" t="s">
        <v>42</v>
      </c>
      <c r="H1115" s="41">
        <v>46056</v>
      </c>
      <c r="I1115" s="70">
        <v>183</v>
      </c>
      <c r="J1115" s="70">
        <v>350</v>
      </c>
      <c r="K1115" s="71">
        <v>0</v>
      </c>
      <c r="L1115" s="10" t="s">
        <v>30</v>
      </c>
      <c r="M1115" s="72">
        <v>64050</v>
      </c>
      <c r="N1115" s="72">
        <v>64050</v>
      </c>
      <c r="O1115" s="12" t="s">
        <v>265</v>
      </c>
    </row>
    <row r="1116" spans="1:15" x14ac:dyDescent="0.3">
      <c r="A1116" s="20" t="s">
        <v>880</v>
      </c>
      <c r="B1116" s="11" t="s">
        <v>55</v>
      </c>
      <c r="C1116" s="30" t="s">
        <v>249</v>
      </c>
      <c r="D1116" s="30" t="s">
        <v>39</v>
      </c>
      <c r="E1116" s="30" t="s">
        <v>40</v>
      </c>
      <c r="F1116" s="30" t="s">
        <v>52</v>
      </c>
      <c r="G1116" s="30" t="s">
        <v>29</v>
      </c>
      <c r="H1116" s="39">
        <v>46056</v>
      </c>
      <c r="I1116" s="64">
        <v>184</v>
      </c>
      <c r="J1116" s="64">
        <v>650</v>
      </c>
      <c r="K1116" s="65">
        <v>0</v>
      </c>
      <c r="L1116" s="11" t="s">
        <v>36</v>
      </c>
      <c r="M1116" s="66">
        <v>119600</v>
      </c>
      <c r="N1116" s="66">
        <v>119600</v>
      </c>
      <c r="O1116" s="13" t="s">
        <v>267</v>
      </c>
    </row>
    <row r="1117" spans="1:15" x14ac:dyDescent="0.3">
      <c r="A1117" s="20" t="s">
        <v>881</v>
      </c>
      <c r="B1117" s="10" t="s">
        <v>25</v>
      </c>
      <c r="C1117" s="32" t="s">
        <v>257</v>
      </c>
      <c r="D1117" s="32" t="s">
        <v>26</v>
      </c>
      <c r="E1117" s="32" t="s">
        <v>27</v>
      </c>
      <c r="F1117" s="32" t="s">
        <v>34</v>
      </c>
      <c r="G1117" s="32" t="s">
        <v>56</v>
      </c>
      <c r="H1117" s="41">
        <v>46058</v>
      </c>
      <c r="I1117" s="70">
        <v>365</v>
      </c>
      <c r="J1117" s="70">
        <v>350</v>
      </c>
      <c r="K1117" s="71">
        <v>7.0000000000000007E-2</v>
      </c>
      <c r="L1117" s="10" t="s">
        <v>36</v>
      </c>
      <c r="M1117" s="72">
        <v>127750</v>
      </c>
      <c r="N1117" s="72">
        <v>118807.5</v>
      </c>
      <c r="O1117" s="12" t="s">
        <v>267</v>
      </c>
    </row>
    <row r="1118" spans="1:15" x14ac:dyDescent="0.3">
      <c r="A1118" s="20" t="s">
        <v>882</v>
      </c>
      <c r="B1118" s="11" t="s">
        <v>58</v>
      </c>
      <c r="C1118" s="30" t="s">
        <v>255</v>
      </c>
      <c r="D1118" s="30" t="s">
        <v>59</v>
      </c>
      <c r="E1118" s="30" t="s">
        <v>45</v>
      </c>
      <c r="F1118" s="30" t="s">
        <v>52</v>
      </c>
      <c r="G1118" s="30" t="s">
        <v>35</v>
      </c>
      <c r="H1118" s="39">
        <v>46059</v>
      </c>
      <c r="I1118" s="64">
        <v>134</v>
      </c>
      <c r="J1118" s="64">
        <v>2800</v>
      </c>
      <c r="K1118" s="65">
        <v>7.0000000000000007E-2</v>
      </c>
      <c r="L1118" s="11" t="s">
        <v>30</v>
      </c>
      <c r="M1118" s="66">
        <v>375200</v>
      </c>
      <c r="N1118" s="66">
        <v>348936</v>
      </c>
      <c r="O1118" s="13" t="s">
        <v>267</v>
      </c>
    </row>
    <row r="1119" spans="1:15" x14ac:dyDescent="0.3">
      <c r="A1119" s="20" t="s">
        <v>883</v>
      </c>
      <c r="B1119" s="10" t="s">
        <v>25</v>
      </c>
      <c r="C1119" s="32" t="s">
        <v>257</v>
      </c>
      <c r="D1119" s="32" t="s">
        <v>26</v>
      </c>
      <c r="E1119" s="32" t="s">
        <v>27</v>
      </c>
      <c r="F1119" s="32" t="s">
        <v>41</v>
      </c>
      <c r="G1119" s="32" t="s">
        <v>29</v>
      </c>
      <c r="H1119" s="41">
        <v>46059</v>
      </c>
      <c r="I1119" s="70">
        <v>298</v>
      </c>
      <c r="J1119" s="70">
        <v>350</v>
      </c>
      <c r="K1119" s="71">
        <v>0.13</v>
      </c>
      <c r="L1119" s="10" t="s">
        <v>36</v>
      </c>
      <c r="M1119" s="72">
        <v>104300</v>
      </c>
      <c r="N1119" s="72">
        <v>90741</v>
      </c>
      <c r="O1119" s="12" t="s">
        <v>265</v>
      </c>
    </row>
    <row r="1120" spans="1:15" x14ac:dyDescent="0.3">
      <c r="A1120" s="20" t="s">
        <v>884</v>
      </c>
      <c r="B1120" s="11" t="s">
        <v>38</v>
      </c>
      <c r="C1120" s="30" t="s">
        <v>247</v>
      </c>
      <c r="D1120" s="30" t="s">
        <v>39</v>
      </c>
      <c r="E1120" s="30" t="s">
        <v>33</v>
      </c>
      <c r="F1120" s="30" t="s">
        <v>41</v>
      </c>
      <c r="G1120" s="30" t="s">
        <v>29</v>
      </c>
      <c r="H1120" s="39">
        <v>46062</v>
      </c>
      <c r="I1120" s="64">
        <v>171</v>
      </c>
      <c r="J1120" s="64">
        <v>1200</v>
      </c>
      <c r="K1120" s="65">
        <v>7.0000000000000007E-2</v>
      </c>
      <c r="L1120" s="11" t="s">
        <v>36</v>
      </c>
      <c r="M1120" s="66">
        <v>205200</v>
      </c>
      <c r="N1120" s="66">
        <v>190836</v>
      </c>
      <c r="O1120" s="13" t="s">
        <v>267</v>
      </c>
    </row>
    <row r="1121" spans="1:15" x14ac:dyDescent="0.3">
      <c r="A1121" s="20" t="s">
        <v>885</v>
      </c>
      <c r="B1121" s="10" t="s">
        <v>260</v>
      </c>
      <c r="C1121" s="32" t="s">
        <v>261</v>
      </c>
      <c r="D1121" s="32" t="s">
        <v>39</v>
      </c>
      <c r="E1121" s="32" t="s">
        <v>27</v>
      </c>
      <c r="F1121" s="32" t="s">
        <v>28</v>
      </c>
      <c r="G1121" s="32" t="s">
        <v>56</v>
      </c>
      <c r="H1121" s="41">
        <v>46062</v>
      </c>
      <c r="I1121" s="70">
        <v>62</v>
      </c>
      <c r="J1121" s="70">
        <v>450</v>
      </c>
      <c r="K1121" s="71">
        <v>0</v>
      </c>
      <c r="L1121" s="10" t="s">
        <v>36</v>
      </c>
      <c r="M1121" s="72">
        <v>27900</v>
      </c>
      <c r="N1121" s="72">
        <v>27900</v>
      </c>
      <c r="O1121" s="12" t="s">
        <v>265</v>
      </c>
    </row>
    <row r="1122" spans="1:15" x14ac:dyDescent="0.3">
      <c r="A1122" s="20" t="s">
        <v>886</v>
      </c>
      <c r="B1122" s="11" t="s">
        <v>61</v>
      </c>
      <c r="C1122" s="30" t="s">
        <v>244</v>
      </c>
      <c r="D1122" s="30" t="s">
        <v>26</v>
      </c>
      <c r="E1122" s="30" t="s">
        <v>45</v>
      </c>
      <c r="F1122" s="30" t="s">
        <v>52</v>
      </c>
      <c r="G1122" s="30" t="s">
        <v>47</v>
      </c>
      <c r="H1122" s="39">
        <v>46063</v>
      </c>
      <c r="I1122" s="64">
        <v>82</v>
      </c>
      <c r="J1122" s="64">
        <v>280</v>
      </c>
      <c r="K1122" s="65">
        <v>0.05</v>
      </c>
      <c r="L1122" s="11" t="s">
        <v>30</v>
      </c>
      <c r="M1122" s="66">
        <v>22960</v>
      </c>
      <c r="N1122" s="66">
        <v>21812</v>
      </c>
      <c r="O1122" s="13" t="s">
        <v>265</v>
      </c>
    </row>
    <row r="1123" spans="1:15" x14ac:dyDescent="0.3">
      <c r="A1123" s="20" t="s">
        <v>887</v>
      </c>
      <c r="B1123" s="10" t="s">
        <v>61</v>
      </c>
      <c r="C1123" s="32" t="s">
        <v>244</v>
      </c>
      <c r="D1123" s="32" t="s">
        <v>26</v>
      </c>
      <c r="E1123" s="32" t="s">
        <v>33</v>
      </c>
      <c r="F1123" s="32" t="s">
        <v>28</v>
      </c>
      <c r="G1123" s="32" t="s">
        <v>47</v>
      </c>
      <c r="H1123" s="41">
        <v>46063</v>
      </c>
      <c r="I1123" s="70">
        <v>344</v>
      </c>
      <c r="J1123" s="70">
        <v>280</v>
      </c>
      <c r="K1123" s="71">
        <v>0.14000000000000001</v>
      </c>
      <c r="L1123" s="10" t="s">
        <v>30</v>
      </c>
      <c r="M1123" s="72">
        <v>96320</v>
      </c>
      <c r="N1123" s="72">
        <v>82835.199999999997</v>
      </c>
      <c r="O1123" s="12" t="s">
        <v>265</v>
      </c>
    </row>
    <row r="1124" spans="1:15" x14ac:dyDescent="0.3">
      <c r="A1124" s="20" t="s">
        <v>888</v>
      </c>
      <c r="B1124" s="11" t="s">
        <v>63</v>
      </c>
      <c r="C1124" s="30" t="s">
        <v>253</v>
      </c>
      <c r="D1124" s="30" t="s">
        <v>50</v>
      </c>
      <c r="E1124" s="30" t="s">
        <v>45</v>
      </c>
      <c r="F1124" s="30" t="s">
        <v>28</v>
      </c>
      <c r="G1124" s="30" t="s">
        <v>35</v>
      </c>
      <c r="H1124" s="39">
        <v>46064</v>
      </c>
      <c r="I1124" s="64">
        <v>59</v>
      </c>
      <c r="J1124" s="64">
        <v>750</v>
      </c>
      <c r="K1124" s="65">
        <v>0.05</v>
      </c>
      <c r="L1124" s="11" t="s">
        <v>30</v>
      </c>
      <c r="M1124" s="66">
        <v>44250</v>
      </c>
      <c r="N1124" s="66">
        <v>42037.5</v>
      </c>
      <c r="O1124" s="13" t="s">
        <v>265</v>
      </c>
    </row>
    <row r="1125" spans="1:15" x14ac:dyDescent="0.3">
      <c r="A1125" s="20" t="s">
        <v>889</v>
      </c>
      <c r="B1125" s="10" t="s">
        <v>61</v>
      </c>
      <c r="C1125" s="32" t="s">
        <v>244</v>
      </c>
      <c r="D1125" s="32" t="s">
        <v>26</v>
      </c>
      <c r="E1125" s="32" t="s">
        <v>45</v>
      </c>
      <c r="F1125" s="32" t="s">
        <v>46</v>
      </c>
      <c r="G1125" s="32" t="s">
        <v>47</v>
      </c>
      <c r="H1125" s="41">
        <v>46064</v>
      </c>
      <c r="I1125" s="70">
        <v>395</v>
      </c>
      <c r="J1125" s="70">
        <v>280</v>
      </c>
      <c r="K1125" s="71">
        <v>0</v>
      </c>
      <c r="L1125" s="10" t="s">
        <v>36</v>
      </c>
      <c r="M1125" s="72">
        <v>110600</v>
      </c>
      <c r="N1125" s="72">
        <v>110600</v>
      </c>
      <c r="O1125" s="12" t="s">
        <v>267</v>
      </c>
    </row>
    <row r="1126" spans="1:15" x14ac:dyDescent="0.3">
      <c r="A1126" s="20" t="s">
        <v>890</v>
      </c>
      <c r="B1126" s="11" t="s">
        <v>63</v>
      </c>
      <c r="C1126" s="30" t="s">
        <v>253</v>
      </c>
      <c r="D1126" s="30" t="s">
        <v>50</v>
      </c>
      <c r="E1126" s="30" t="s">
        <v>45</v>
      </c>
      <c r="F1126" s="30" t="s">
        <v>34</v>
      </c>
      <c r="G1126" s="30" t="s">
        <v>47</v>
      </c>
      <c r="H1126" s="39">
        <v>46065</v>
      </c>
      <c r="I1126" s="64">
        <v>276</v>
      </c>
      <c r="J1126" s="64">
        <v>750</v>
      </c>
      <c r="K1126" s="65">
        <v>0.05</v>
      </c>
      <c r="L1126" s="11" t="s">
        <v>36</v>
      </c>
      <c r="M1126" s="66">
        <v>207000</v>
      </c>
      <c r="N1126" s="66">
        <v>196650</v>
      </c>
      <c r="O1126" s="13" t="s">
        <v>267</v>
      </c>
    </row>
    <row r="1127" spans="1:15" x14ac:dyDescent="0.3">
      <c r="A1127" s="20" t="s">
        <v>891</v>
      </c>
      <c r="B1127" s="10" t="s">
        <v>49</v>
      </c>
      <c r="C1127" s="32" t="s">
        <v>251</v>
      </c>
      <c r="D1127" s="32" t="s">
        <v>50</v>
      </c>
      <c r="E1127" s="32" t="s">
        <v>33</v>
      </c>
      <c r="F1127" s="32" t="s">
        <v>28</v>
      </c>
      <c r="G1127" s="32" t="s">
        <v>53</v>
      </c>
      <c r="H1127" s="41">
        <v>46065</v>
      </c>
      <c r="I1127" s="70">
        <v>228</v>
      </c>
      <c r="J1127" s="70">
        <v>895</v>
      </c>
      <c r="K1127" s="71">
        <v>7.0000000000000007E-2</v>
      </c>
      <c r="L1127" s="10" t="s">
        <v>36</v>
      </c>
      <c r="M1127" s="72">
        <v>204060</v>
      </c>
      <c r="N1127" s="72">
        <v>189775.8</v>
      </c>
      <c r="O1127" s="12" t="s">
        <v>267</v>
      </c>
    </row>
    <row r="1128" spans="1:15" x14ac:dyDescent="0.3">
      <c r="A1128" s="20" t="s">
        <v>892</v>
      </c>
      <c r="B1128" s="11" t="s">
        <v>16</v>
      </c>
      <c r="C1128" s="30" t="s">
        <v>250</v>
      </c>
      <c r="D1128" s="30" t="s">
        <v>39</v>
      </c>
      <c r="E1128" s="30" t="s">
        <v>33</v>
      </c>
      <c r="F1128" s="30" t="s">
        <v>34</v>
      </c>
      <c r="G1128" s="30" t="s">
        <v>29</v>
      </c>
      <c r="H1128" s="39">
        <v>46065</v>
      </c>
      <c r="I1128" s="64">
        <v>306</v>
      </c>
      <c r="J1128" s="64">
        <v>990</v>
      </c>
      <c r="K1128" s="65">
        <v>0.13</v>
      </c>
      <c r="L1128" s="11" t="s">
        <v>30</v>
      </c>
      <c r="M1128" s="66">
        <v>302940</v>
      </c>
      <c r="N1128" s="66">
        <v>263557.8</v>
      </c>
      <c r="O1128" s="13" t="s">
        <v>267</v>
      </c>
    </row>
    <row r="1129" spans="1:15" x14ac:dyDescent="0.3">
      <c r="A1129" s="20" t="s">
        <v>893</v>
      </c>
      <c r="B1129" s="10" t="s">
        <v>61</v>
      </c>
      <c r="C1129" s="32" t="s">
        <v>244</v>
      </c>
      <c r="D1129" s="32" t="s">
        <v>26</v>
      </c>
      <c r="E1129" s="32" t="s">
        <v>45</v>
      </c>
      <c r="F1129" s="32" t="s">
        <v>28</v>
      </c>
      <c r="G1129" s="32" t="s">
        <v>29</v>
      </c>
      <c r="H1129" s="41">
        <v>46066</v>
      </c>
      <c r="I1129" s="70">
        <v>416</v>
      </c>
      <c r="J1129" s="70">
        <v>280</v>
      </c>
      <c r="K1129" s="71">
        <v>0.03</v>
      </c>
      <c r="L1129" s="10" t="s">
        <v>30</v>
      </c>
      <c r="M1129" s="72">
        <v>116480</v>
      </c>
      <c r="N1129" s="72">
        <v>112985.60000000001</v>
      </c>
      <c r="O1129" s="12" t="s">
        <v>267</v>
      </c>
    </row>
    <row r="1130" spans="1:15" x14ac:dyDescent="0.3">
      <c r="A1130" s="20" t="s">
        <v>894</v>
      </c>
      <c r="B1130" s="11" t="s">
        <v>258</v>
      </c>
      <c r="C1130" s="30" t="s">
        <v>259</v>
      </c>
      <c r="D1130" s="30" t="s">
        <v>26</v>
      </c>
      <c r="E1130" s="30" t="s">
        <v>33</v>
      </c>
      <c r="F1130" s="30" t="s">
        <v>34</v>
      </c>
      <c r="G1130" s="30" t="s">
        <v>53</v>
      </c>
      <c r="H1130" s="39">
        <v>46066</v>
      </c>
      <c r="I1130" s="64">
        <v>167</v>
      </c>
      <c r="J1130" s="64">
        <v>680</v>
      </c>
      <c r="K1130" s="65">
        <v>0</v>
      </c>
      <c r="L1130" s="11" t="s">
        <v>36</v>
      </c>
      <c r="M1130" s="66">
        <v>113560</v>
      </c>
      <c r="N1130" s="66">
        <v>113560</v>
      </c>
      <c r="O1130" s="13" t="s">
        <v>267</v>
      </c>
    </row>
    <row r="1131" spans="1:15" x14ac:dyDescent="0.3">
      <c r="A1131" s="20" t="s">
        <v>895</v>
      </c>
      <c r="B1131" s="10" t="s">
        <v>258</v>
      </c>
      <c r="C1131" s="32" t="s">
        <v>259</v>
      </c>
      <c r="D1131" s="32" t="s">
        <v>26</v>
      </c>
      <c r="E1131" s="32" t="s">
        <v>51</v>
      </c>
      <c r="F1131" s="32" t="s">
        <v>28</v>
      </c>
      <c r="G1131" s="32" t="s">
        <v>47</v>
      </c>
      <c r="H1131" s="41">
        <v>46066</v>
      </c>
      <c r="I1131" s="70">
        <v>153</v>
      </c>
      <c r="J1131" s="70">
        <v>680</v>
      </c>
      <c r="K1131" s="71">
        <v>0.11</v>
      </c>
      <c r="L1131" s="10" t="s">
        <v>36</v>
      </c>
      <c r="M1131" s="72">
        <v>104040</v>
      </c>
      <c r="N1131" s="72">
        <v>92595.6</v>
      </c>
      <c r="O1131" s="12" t="s">
        <v>265</v>
      </c>
    </row>
    <row r="1132" spans="1:15" x14ac:dyDescent="0.3">
      <c r="A1132" s="20" t="s">
        <v>896</v>
      </c>
      <c r="B1132" s="11" t="s">
        <v>32</v>
      </c>
      <c r="C1132" s="30" t="s">
        <v>246</v>
      </c>
      <c r="D1132" s="30" t="s">
        <v>26</v>
      </c>
      <c r="E1132" s="30" t="s">
        <v>45</v>
      </c>
      <c r="F1132" s="30" t="s">
        <v>46</v>
      </c>
      <c r="G1132" s="30" t="s">
        <v>35</v>
      </c>
      <c r="H1132" s="39">
        <v>46067</v>
      </c>
      <c r="I1132" s="64">
        <v>277</v>
      </c>
      <c r="J1132" s="64">
        <v>420</v>
      </c>
      <c r="K1132" s="65">
        <v>0.08</v>
      </c>
      <c r="L1132" s="11" t="s">
        <v>36</v>
      </c>
      <c r="M1132" s="66">
        <v>116340</v>
      </c>
      <c r="N1132" s="66">
        <v>107032.8</v>
      </c>
      <c r="O1132" s="13" t="s">
        <v>267</v>
      </c>
    </row>
    <row r="1133" spans="1:15" x14ac:dyDescent="0.3">
      <c r="A1133" s="20" t="s">
        <v>897</v>
      </c>
      <c r="B1133" s="10" t="s">
        <v>38</v>
      </c>
      <c r="C1133" s="32" t="s">
        <v>247</v>
      </c>
      <c r="D1133" s="32" t="s">
        <v>39</v>
      </c>
      <c r="E1133" s="32" t="s">
        <v>33</v>
      </c>
      <c r="F1133" s="32" t="s">
        <v>28</v>
      </c>
      <c r="G1133" s="32" t="s">
        <v>29</v>
      </c>
      <c r="H1133" s="41">
        <v>46068</v>
      </c>
      <c r="I1133" s="70">
        <v>382</v>
      </c>
      <c r="J1133" s="70">
        <v>1200</v>
      </c>
      <c r="K1133" s="71">
        <v>0.13</v>
      </c>
      <c r="L1133" s="10" t="s">
        <v>36</v>
      </c>
      <c r="M1133" s="72">
        <v>458400</v>
      </c>
      <c r="N1133" s="72">
        <v>398808</v>
      </c>
      <c r="O1133" s="12" t="s">
        <v>277</v>
      </c>
    </row>
    <row r="1134" spans="1:15" x14ac:dyDescent="0.3">
      <c r="A1134" s="20" t="s">
        <v>898</v>
      </c>
      <c r="B1134" s="11" t="s">
        <v>44</v>
      </c>
      <c r="C1134" s="30" t="s">
        <v>254</v>
      </c>
      <c r="D1134" s="30" t="s">
        <v>39</v>
      </c>
      <c r="E1134" s="30" t="s">
        <v>27</v>
      </c>
      <c r="F1134" s="30" t="s">
        <v>28</v>
      </c>
      <c r="G1134" s="30" t="s">
        <v>42</v>
      </c>
      <c r="H1134" s="39">
        <v>46068</v>
      </c>
      <c r="I1134" s="64">
        <v>454</v>
      </c>
      <c r="J1134" s="64">
        <v>200</v>
      </c>
      <c r="K1134" s="65">
        <v>0.1</v>
      </c>
      <c r="L1134" s="11" t="s">
        <v>30</v>
      </c>
      <c r="M1134" s="66">
        <v>90800</v>
      </c>
      <c r="N1134" s="66">
        <v>81720</v>
      </c>
      <c r="O1134" s="13" t="s">
        <v>265</v>
      </c>
    </row>
    <row r="1135" spans="1:15" x14ac:dyDescent="0.3">
      <c r="A1135" s="20" t="s">
        <v>899</v>
      </c>
      <c r="B1135" s="10" t="s">
        <v>25</v>
      </c>
      <c r="C1135" s="32" t="s">
        <v>257</v>
      </c>
      <c r="D1135" s="32" t="s">
        <v>26</v>
      </c>
      <c r="E1135" s="32" t="s">
        <v>40</v>
      </c>
      <c r="F1135" s="32" t="s">
        <v>28</v>
      </c>
      <c r="G1135" s="32" t="s">
        <v>35</v>
      </c>
      <c r="H1135" s="41">
        <v>46068</v>
      </c>
      <c r="I1135" s="70">
        <v>391</v>
      </c>
      <c r="J1135" s="70">
        <v>350</v>
      </c>
      <c r="K1135" s="71">
        <v>0.15</v>
      </c>
      <c r="L1135" s="10" t="s">
        <v>36</v>
      </c>
      <c r="M1135" s="72">
        <v>136850</v>
      </c>
      <c r="N1135" s="72">
        <v>116322.5</v>
      </c>
      <c r="O1135" s="12" t="s">
        <v>267</v>
      </c>
    </row>
    <row r="1136" spans="1:15" x14ac:dyDescent="0.3">
      <c r="A1136" s="20" t="s">
        <v>900</v>
      </c>
      <c r="B1136" s="11" t="s">
        <v>49</v>
      </c>
      <c r="C1136" s="30" t="s">
        <v>251</v>
      </c>
      <c r="D1136" s="30" t="s">
        <v>50</v>
      </c>
      <c r="E1136" s="30" t="s">
        <v>40</v>
      </c>
      <c r="F1136" s="30" t="s">
        <v>28</v>
      </c>
      <c r="G1136" s="30" t="s">
        <v>56</v>
      </c>
      <c r="H1136" s="39">
        <v>46069</v>
      </c>
      <c r="I1136" s="64">
        <v>210</v>
      </c>
      <c r="J1136" s="64">
        <v>895</v>
      </c>
      <c r="K1136" s="65">
        <v>0</v>
      </c>
      <c r="L1136" s="11" t="s">
        <v>36</v>
      </c>
      <c r="M1136" s="66">
        <v>187950</v>
      </c>
      <c r="N1136" s="66">
        <v>187950</v>
      </c>
      <c r="O1136" s="13" t="s">
        <v>267</v>
      </c>
    </row>
    <row r="1137" spans="1:15" x14ac:dyDescent="0.3">
      <c r="A1137" s="20" t="s">
        <v>901</v>
      </c>
      <c r="B1137" s="10" t="s">
        <v>32</v>
      </c>
      <c r="C1137" s="32" t="s">
        <v>246</v>
      </c>
      <c r="D1137" s="32" t="s">
        <v>26</v>
      </c>
      <c r="E1137" s="32" t="s">
        <v>27</v>
      </c>
      <c r="F1137" s="32" t="s">
        <v>41</v>
      </c>
      <c r="G1137" s="32" t="s">
        <v>56</v>
      </c>
      <c r="H1137" s="41">
        <v>46069</v>
      </c>
      <c r="I1137" s="70">
        <v>196</v>
      </c>
      <c r="J1137" s="70">
        <v>420</v>
      </c>
      <c r="K1137" s="71">
        <v>0</v>
      </c>
      <c r="L1137" s="10" t="s">
        <v>30</v>
      </c>
      <c r="M1137" s="72">
        <v>82320</v>
      </c>
      <c r="N1137" s="72">
        <v>82320</v>
      </c>
      <c r="O1137" s="12" t="s">
        <v>265</v>
      </c>
    </row>
    <row r="1138" spans="1:15" x14ac:dyDescent="0.3">
      <c r="A1138" s="20" t="s">
        <v>902</v>
      </c>
      <c r="B1138" s="11" t="s">
        <v>38</v>
      </c>
      <c r="C1138" s="30" t="s">
        <v>247</v>
      </c>
      <c r="D1138" s="30" t="s">
        <v>39</v>
      </c>
      <c r="E1138" s="30" t="s">
        <v>40</v>
      </c>
      <c r="F1138" s="30" t="s">
        <v>28</v>
      </c>
      <c r="G1138" s="30" t="s">
        <v>53</v>
      </c>
      <c r="H1138" s="39">
        <v>46069</v>
      </c>
      <c r="I1138" s="64">
        <v>217</v>
      </c>
      <c r="J1138" s="64">
        <v>1200</v>
      </c>
      <c r="K1138" s="65">
        <v>0.03</v>
      </c>
      <c r="L1138" s="11" t="s">
        <v>36</v>
      </c>
      <c r="M1138" s="66">
        <v>260400</v>
      </c>
      <c r="N1138" s="66">
        <v>252588</v>
      </c>
      <c r="O1138" s="13" t="s">
        <v>267</v>
      </c>
    </row>
    <row r="1139" spans="1:15" x14ac:dyDescent="0.3">
      <c r="A1139" s="20" t="s">
        <v>903</v>
      </c>
      <c r="B1139" s="10" t="s">
        <v>38</v>
      </c>
      <c r="C1139" s="32" t="s">
        <v>247</v>
      </c>
      <c r="D1139" s="32" t="s">
        <v>39</v>
      </c>
      <c r="E1139" s="32" t="s">
        <v>45</v>
      </c>
      <c r="F1139" s="32" t="s">
        <v>46</v>
      </c>
      <c r="G1139" s="32" t="s">
        <v>56</v>
      </c>
      <c r="H1139" s="41">
        <v>46070</v>
      </c>
      <c r="I1139" s="70">
        <v>191</v>
      </c>
      <c r="J1139" s="70">
        <v>1200</v>
      </c>
      <c r="K1139" s="71">
        <v>0</v>
      </c>
      <c r="L1139" s="10" t="s">
        <v>36</v>
      </c>
      <c r="M1139" s="72">
        <v>229200</v>
      </c>
      <c r="N1139" s="72">
        <v>229200</v>
      </c>
      <c r="O1139" s="12" t="s">
        <v>267</v>
      </c>
    </row>
    <row r="1140" spans="1:15" x14ac:dyDescent="0.3">
      <c r="A1140" s="20" t="s">
        <v>904</v>
      </c>
      <c r="B1140" s="11" t="s">
        <v>58</v>
      </c>
      <c r="C1140" s="30" t="s">
        <v>255</v>
      </c>
      <c r="D1140" s="30" t="s">
        <v>59</v>
      </c>
      <c r="E1140" s="30" t="s">
        <v>40</v>
      </c>
      <c r="F1140" s="30" t="s">
        <v>28</v>
      </c>
      <c r="G1140" s="30" t="s">
        <v>35</v>
      </c>
      <c r="H1140" s="39">
        <v>46070</v>
      </c>
      <c r="I1140" s="64">
        <v>65</v>
      </c>
      <c r="J1140" s="64">
        <v>2800</v>
      </c>
      <c r="K1140" s="65">
        <v>0.03</v>
      </c>
      <c r="L1140" s="11" t="s">
        <v>36</v>
      </c>
      <c r="M1140" s="66">
        <v>182000</v>
      </c>
      <c r="N1140" s="66">
        <v>176540</v>
      </c>
      <c r="O1140" s="13" t="s">
        <v>267</v>
      </c>
    </row>
    <row r="1141" spans="1:15" x14ac:dyDescent="0.3">
      <c r="A1141" s="20" t="s">
        <v>905</v>
      </c>
      <c r="B1141" s="10" t="s">
        <v>25</v>
      </c>
      <c r="C1141" s="32" t="s">
        <v>257</v>
      </c>
      <c r="D1141" s="32" t="s">
        <v>26</v>
      </c>
      <c r="E1141" s="32" t="s">
        <v>45</v>
      </c>
      <c r="F1141" s="32" t="s">
        <v>46</v>
      </c>
      <c r="G1141" s="32" t="s">
        <v>29</v>
      </c>
      <c r="H1141" s="41">
        <v>46071</v>
      </c>
      <c r="I1141" s="70">
        <v>420</v>
      </c>
      <c r="J1141" s="70">
        <v>350</v>
      </c>
      <c r="K1141" s="71">
        <v>0.12</v>
      </c>
      <c r="L1141" s="10" t="s">
        <v>36</v>
      </c>
      <c r="M1141" s="72">
        <v>147000</v>
      </c>
      <c r="N1141" s="72">
        <v>129360</v>
      </c>
      <c r="O1141" s="12" t="s">
        <v>267</v>
      </c>
    </row>
    <row r="1142" spans="1:15" x14ac:dyDescent="0.3">
      <c r="A1142" s="20" t="s">
        <v>906</v>
      </c>
      <c r="B1142" s="11" t="s">
        <v>49</v>
      </c>
      <c r="C1142" s="30" t="s">
        <v>251</v>
      </c>
      <c r="D1142" s="30" t="s">
        <v>50</v>
      </c>
      <c r="E1142" s="30" t="s">
        <v>40</v>
      </c>
      <c r="F1142" s="30" t="s">
        <v>34</v>
      </c>
      <c r="G1142" s="30" t="s">
        <v>29</v>
      </c>
      <c r="H1142" s="39">
        <v>46071</v>
      </c>
      <c r="I1142" s="64">
        <v>389</v>
      </c>
      <c r="J1142" s="64">
        <v>895</v>
      </c>
      <c r="K1142" s="65">
        <v>0.15</v>
      </c>
      <c r="L1142" s="11" t="s">
        <v>36</v>
      </c>
      <c r="M1142" s="66">
        <v>348155</v>
      </c>
      <c r="N1142" s="66">
        <v>295931.75</v>
      </c>
      <c r="O1142" s="13" t="s">
        <v>267</v>
      </c>
    </row>
    <row r="1143" spans="1:15" x14ac:dyDescent="0.3">
      <c r="A1143" s="20" t="s">
        <v>907</v>
      </c>
      <c r="B1143" s="10" t="s">
        <v>49</v>
      </c>
      <c r="C1143" s="32" t="s">
        <v>251</v>
      </c>
      <c r="D1143" s="32" t="s">
        <v>50</v>
      </c>
      <c r="E1143" s="32" t="s">
        <v>27</v>
      </c>
      <c r="F1143" s="32" t="s">
        <v>41</v>
      </c>
      <c r="G1143" s="32" t="s">
        <v>53</v>
      </c>
      <c r="H1143" s="41">
        <v>46071</v>
      </c>
      <c r="I1143" s="70">
        <v>81</v>
      </c>
      <c r="J1143" s="70">
        <v>895</v>
      </c>
      <c r="K1143" s="71">
        <v>0.1</v>
      </c>
      <c r="L1143" s="10" t="s">
        <v>30</v>
      </c>
      <c r="M1143" s="72">
        <v>72495</v>
      </c>
      <c r="N1143" s="72">
        <v>65245.5</v>
      </c>
      <c r="O1143" s="12" t="s">
        <v>265</v>
      </c>
    </row>
    <row r="1144" spans="1:15" x14ac:dyDescent="0.3">
      <c r="A1144" s="20" t="s">
        <v>908</v>
      </c>
      <c r="B1144" s="11" t="s">
        <v>32</v>
      </c>
      <c r="C1144" s="30" t="s">
        <v>246</v>
      </c>
      <c r="D1144" s="30" t="s">
        <v>26</v>
      </c>
      <c r="E1144" s="30" t="s">
        <v>40</v>
      </c>
      <c r="F1144" s="30" t="s">
        <v>28</v>
      </c>
      <c r="G1144" s="30" t="s">
        <v>35</v>
      </c>
      <c r="H1144" s="39">
        <v>46072</v>
      </c>
      <c r="I1144" s="64">
        <v>266</v>
      </c>
      <c r="J1144" s="64">
        <v>420</v>
      </c>
      <c r="K1144" s="65">
        <v>0</v>
      </c>
      <c r="L1144" s="11" t="s">
        <v>30</v>
      </c>
      <c r="M1144" s="66">
        <v>111720</v>
      </c>
      <c r="N1144" s="66">
        <v>111720</v>
      </c>
      <c r="O1144" s="13" t="s">
        <v>267</v>
      </c>
    </row>
    <row r="1145" spans="1:15" x14ac:dyDescent="0.3">
      <c r="A1145" s="20" t="s">
        <v>909</v>
      </c>
      <c r="B1145" s="10" t="s">
        <v>63</v>
      </c>
      <c r="C1145" s="32" t="s">
        <v>253</v>
      </c>
      <c r="D1145" s="32" t="s">
        <v>50</v>
      </c>
      <c r="E1145" s="32" t="s">
        <v>45</v>
      </c>
      <c r="F1145" s="32" t="s">
        <v>28</v>
      </c>
      <c r="G1145" s="32" t="s">
        <v>35</v>
      </c>
      <c r="H1145" s="41">
        <v>46073</v>
      </c>
      <c r="I1145" s="70">
        <v>45</v>
      </c>
      <c r="J1145" s="70">
        <v>750</v>
      </c>
      <c r="K1145" s="71">
        <v>0.14000000000000001</v>
      </c>
      <c r="L1145" s="10" t="s">
        <v>36</v>
      </c>
      <c r="M1145" s="72">
        <v>33750</v>
      </c>
      <c r="N1145" s="72">
        <v>29025</v>
      </c>
      <c r="O1145" s="12" t="s">
        <v>265</v>
      </c>
    </row>
    <row r="1146" spans="1:15" x14ac:dyDescent="0.3">
      <c r="A1146" s="20" t="s">
        <v>910</v>
      </c>
      <c r="B1146" s="11" t="s">
        <v>44</v>
      </c>
      <c r="C1146" s="30" t="s">
        <v>254</v>
      </c>
      <c r="D1146" s="30" t="s">
        <v>39</v>
      </c>
      <c r="E1146" s="30" t="s">
        <v>33</v>
      </c>
      <c r="F1146" s="30" t="s">
        <v>41</v>
      </c>
      <c r="G1146" s="30" t="s">
        <v>29</v>
      </c>
      <c r="H1146" s="39">
        <v>46074</v>
      </c>
      <c r="I1146" s="64">
        <v>244</v>
      </c>
      <c r="J1146" s="64">
        <v>200</v>
      </c>
      <c r="K1146" s="65">
        <v>0.1</v>
      </c>
      <c r="L1146" s="11" t="s">
        <v>36</v>
      </c>
      <c r="M1146" s="66">
        <v>48800</v>
      </c>
      <c r="N1146" s="66">
        <v>43920</v>
      </c>
      <c r="O1146" s="13" t="s">
        <v>265</v>
      </c>
    </row>
    <row r="1147" spans="1:15" x14ac:dyDescent="0.3">
      <c r="A1147" s="20" t="s">
        <v>911</v>
      </c>
      <c r="B1147" s="10" t="s">
        <v>25</v>
      </c>
      <c r="C1147" s="32" t="s">
        <v>257</v>
      </c>
      <c r="D1147" s="32" t="s">
        <v>26</v>
      </c>
      <c r="E1147" s="32" t="s">
        <v>27</v>
      </c>
      <c r="F1147" s="32" t="s">
        <v>41</v>
      </c>
      <c r="G1147" s="32" t="s">
        <v>35</v>
      </c>
      <c r="H1147" s="41">
        <v>46074</v>
      </c>
      <c r="I1147" s="70">
        <v>386</v>
      </c>
      <c r="J1147" s="70">
        <v>350</v>
      </c>
      <c r="K1147" s="71">
        <v>0.11</v>
      </c>
      <c r="L1147" s="10" t="s">
        <v>36</v>
      </c>
      <c r="M1147" s="72">
        <v>135100</v>
      </c>
      <c r="N1147" s="72">
        <v>120239</v>
      </c>
      <c r="O1147" s="12" t="s">
        <v>267</v>
      </c>
    </row>
    <row r="1148" spans="1:15" x14ac:dyDescent="0.3">
      <c r="A1148" s="20" t="s">
        <v>912</v>
      </c>
      <c r="B1148" s="11" t="s">
        <v>49</v>
      </c>
      <c r="C1148" s="30" t="s">
        <v>251</v>
      </c>
      <c r="D1148" s="30" t="s">
        <v>50</v>
      </c>
      <c r="E1148" s="30" t="s">
        <v>33</v>
      </c>
      <c r="F1148" s="30" t="s">
        <v>52</v>
      </c>
      <c r="G1148" s="30" t="s">
        <v>56</v>
      </c>
      <c r="H1148" s="39">
        <v>46074</v>
      </c>
      <c r="I1148" s="64">
        <v>153</v>
      </c>
      <c r="J1148" s="64">
        <v>895</v>
      </c>
      <c r="K1148" s="65">
        <v>0.13</v>
      </c>
      <c r="L1148" s="11" t="s">
        <v>30</v>
      </c>
      <c r="M1148" s="66">
        <v>136935</v>
      </c>
      <c r="N1148" s="66">
        <v>119133.45</v>
      </c>
      <c r="O1148" s="13" t="s">
        <v>267</v>
      </c>
    </row>
    <row r="1149" spans="1:15" x14ac:dyDescent="0.3">
      <c r="A1149" s="20" t="s">
        <v>913</v>
      </c>
      <c r="B1149" s="10" t="s">
        <v>58</v>
      </c>
      <c r="C1149" s="32" t="s">
        <v>255</v>
      </c>
      <c r="D1149" s="32" t="s">
        <v>59</v>
      </c>
      <c r="E1149" s="32" t="s">
        <v>45</v>
      </c>
      <c r="F1149" s="32" t="s">
        <v>46</v>
      </c>
      <c r="G1149" s="32" t="s">
        <v>29</v>
      </c>
      <c r="H1149" s="41">
        <v>46075</v>
      </c>
      <c r="I1149" s="70">
        <v>174</v>
      </c>
      <c r="J1149" s="70">
        <v>2800</v>
      </c>
      <c r="K1149" s="71">
        <v>0.08</v>
      </c>
      <c r="L1149" s="10" t="s">
        <v>36</v>
      </c>
      <c r="M1149" s="72">
        <v>487200</v>
      </c>
      <c r="N1149" s="72">
        <v>448224</v>
      </c>
      <c r="O1149" s="12" t="s">
        <v>277</v>
      </c>
    </row>
    <row r="1150" spans="1:15" x14ac:dyDescent="0.3">
      <c r="A1150" s="20" t="s">
        <v>914</v>
      </c>
      <c r="B1150" s="11" t="s">
        <v>262</v>
      </c>
      <c r="C1150" s="30" t="s">
        <v>263</v>
      </c>
      <c r="D1150" s="30" t="s">
        <v>50</v>
      </c>
      <c r="E1150" s="30" t="s">
        <v>51</v>
      </c>
      <c r="F1150" s="30" t="s">
        <v>41</v>
      </c>
      <c r="G1150" s="30" t="s">
        <v>35</v>
      </c>
      <c r="H1150" s="39">
        <v>46075</v>
      </c>
      <c r="I1150" s="64">
        <v>388</v>
      </c>
      <c r="J1150" s="64">
        <v>820</v>
      </c>
      <c r="K1150" s="65">
        <v>0.13</v>
      </c>
      <c r="L1150" s="11" t="s">
        <v>36</v>
      </c>
      <c r="M1150" s="66">
        <v>318160</v>
      </c>
      <c r="N1150" s="66">
        <v>276799.2</v>
      </c>
      <c r="O1150" s="13" t="s">
        <v>267</v>
      </c>
    </row>
    <row r="1151" spans="1:15" x14ac:dyDescent="0.3">
      <c r="A1151" s="20" t="s">
        <v>915</v>
      </c>
      <c r="B1151" s="10" t="s">
        <v>262</v>
      </c>
      <c r="C1151" s="32" t="s">
        <v>263</v>
      </c>
      <c r="D1151" s="32" t="s">
        <v>50</v>
      </c>
      <c r="E1151" s="32" t="s">
        <v>51</v>
      </c>
      <c r="F1151" s="32" t="s">
        <v>46</v>
      </c>
      <c r="G1151" s="32" t="s">
        <v>56</v>
      </c>
      <c r="H1151" s="41">
        <v>46075</v>
      </c>
      <c r="I1151" s="70">
        <v>179</v>
      </c>
      <c r="J1151" s="70">
        <v>820</v>
      </c>
      <c r="K1151" s="71">
        <v>7.0000000000000007E-2</v>
      </c>
      <c r="L1151" s="10" t="s">
        <v>36</v>
      </c>
      <c r="M1151" s="72">
        <v>146780</v>
      </c>
      <c r="N1151" s="72">
        <v>136505.4</v>
      </c>
      <c r="O1151" s="12" t="s">
        <v>267</v>
      </c>
    </row>
    <row r="1152" spans="1:15" x14ac:dyDescent="0.3">
      <c r="A1152" s="20" t="s">
        <v>916</v>
      </c>
      <c r="B1152" s="11" t="s">
        <v>44</v>
      </c>
      <c r="C1152" s="30" t="s">
        <v>254</v>
      </c>
      <c r="D1152" s="30" t="s">
        <v>39</v>
      </c>
      <c r="E1152" s="30" t="s">
        <v>33</v>
      </c>
      <c r="F1152" s="30" t="s">
        <v>34</v>
      </c>
      <c r="G1152" s="30" t="s">
        <v>29</v>
      </c>
      <c r="H1152" s="39">
        <v>46077</v>
      </c>
      <c r="I1152" s="64">
        <v>246</v>
      </c>
      <c r="J1152" s="64">
        <v>200</v>
      </c>
      <c r="K1152" s="65">
        <v>0.1</v>
      </c>
      <c r="L1152" s="11" t="s">
        <v>30</v>
      </c>
      <c r="M1152" s="66">
        <v>49200</v>
      </c>
      <c r="N1152" s="66">
        <v>44280</v>
      </c>
      <c r="O1152" s="13" t="s">
        <v>265</v>
      </c>
    </row>
    <row r="1153" spans="1:15" x14ac:dyDescent="0.3">
      <c r="A1153" s="20" t="s">
        <v>917</v>
      </c>
      <c r="B1153" s="10" t="s">
        <v>55</v>
      </c>
      <c r="C1153" s="32" t="s">
        <v>249</v>
      </c>
      <c r="D1153" s="32" t="s">
        <v>39</v>
      </c>
      <c r="E1153" s="32" t="s">
        <v>27</v>
      </c>
      <c r="F1153" s="32" t="s">
        <v>46</v>
      </c>
      <c r="G1153" s="32" t="s">
        <v>56</v>
      </c>
      <c r="H1153" s="41">
        <v>46077</v>
      </c>
      <c r="I1153" s="70">
        <v>371</v>
      </c>
      <c r="J1153" s="70">
        <v>650</v>
      </c>
      <c r="K1153" s="71">
        <v>0.11</v>
      </c>
      <c r="L1153" s="10" t="s">
        <v>30</v>
      </c>
      <c r="M1153" s="72">
        <v>241150</v>
      </c>
      <c r="N1153" s="72">
        <v>214623.5</v>
      </c>
      <c r="O1153" s="12" t="s">
        <v>267</v>
      </c>
    </row>
    <row r="1154" spans="1:15" x14ac:dyDescent="0.3">
      <c r="A1154" s="20" t="s">
        <v>918</v>
      </c>
      <c r="B1154" s="11" t="s">
        <v>32</v>
      </c>
      <c r="C1154" s="30" t="s">
        <v>246</v>
      </c>
      <c r="D1154" s="30" t="s">
        <v>26</v>
      </c>
      <c r="E1154" s="30" t="s">
        <v>33</v>
      </c>
      <c r="F1154" s="30" t="s">
        <v>28</v>
      </c>
      <c r="G1154" s="30" t="s">
        <v>56</v>
      </c>
      <c r="H1154" s="39">
        <v>46077</v>
      </c>
      <c r="I1154" s="64">
        <v>407</v>
      </c>
      <c r="J1154" s="64">
        <v>420</v>
      </c>
      <c r="K1154" s="65">
        <v>0.14000000000000001</v>
      </c>
      <c r="L1154" s="11" t="s">
        <v>36</v>
      </c>
      <c r="M1154" s="66">
        <v>170940</v>
      </c>
      <c r="N1154" s="66">
        <v>147008.4</v>
      </c>
      <c r="O1154" s="13" t="s">
        <v>267</v>
      </c>
    </row>
    <row r="1155" spans="1:15" x14ac:dyDescent="0.3">
      <c r="A1155" s="20" t="s">
        <v>919</v>
      </c>
      <c r="B1155" s="10" t="s">
        <v>55</v>
      </c>
      <c r="C1155" s="32" t="s">
        <v>249</v>
      </c>
      <c r="D1155" s="32" t="s">
        <v>39</v>
      </c>
      <c r="E1155" s="32" t="s">
        <v>27</v>
      </c>
      <c r="F1155" s="32" t="s">
        <v>46</v>
      </c>
      <c r="G1155" s="32" t="s">
        <v>47</v>
      </c>
      <c r="H1155" s="41">
        <v>46078</v>
      </c>
      <c r="I1155" s="70">
        <v>148</v>
      </c>
      <c r="J1155" s="70">
        <v>650</v>
      </c>
      <c r="K1155" s="71">
        <v>0.1</v>
      </c>
      <c r="L1155" s="10" t="s">
        <v>30</v>
      </c>
      <c r="M1155" s="72">
        <v>96200</v>
      </c>
      <c r="N1155" s="72">
        <v>86580</v>
      </c>
      <c r="O1155" s="12" t="s">
        <v>265</v>
      </c>
    </row>
    <row r="1156" spans="1:15" x14ac:dyDescent="0.3">
      <c r="A1156" s="20" t="s">
        <v>920</v>
      </c>
      <c r="B1156" s="11" t="s">
        <v>258</v>
      </c>
      <c r="C1156" s="30" t="s">
        <v>259</v>
      </c>
      <c r="D1156" s="30" t="s">
        <v>26</v>
      </c>
      <c r="E1156" s="30" t="s">
        <v>33</v>
      </c>
      <c r="F1156" s="30" t="s">
        <v>52</v>
      </c>
      <c r="G1156" s="30" t="s">
        <v>29</v>
      </c>
      <c r="H1156" s="39">
        <v>46079</v>
      </c>
      <c r="I1156" s="64">
        <v>220</v>
      </c>
      <c r="J1156" s="64">
        <v>680</v>
      </c>
      <c r="K1156" s="65">
        <v>0.05</v>
      </c>
      <c r="L1156" s="11" t="s">
        <v>30</v>
      </c>
      <c r="M1156" s="66">
        <v>149600</v>
      </c>
      <c r="N1156" s="66">
        <v>142120</v>
      </c>
      <c r="O1156" s="13" t="s">
        <v>267</v>
      </c>
    </row>
    <row r="1157" spans="1:15" x14ac:dyDescent="0.3">
      <c r="A1157" s="20" t="s">
        <v>921</v>
      </c>
      <c r="B1157" s="10" t="s">
        <v>63</v>
      </c>
      <c r="C1157" s="32" t="s">
        <v>253</v>
      </c>
      <c r="D1157" s="32" t="s">
        <v>50</v>
      </c>
      <c r="E1157" s="32" t="s">
        <v>33</v>
      </c>
      <c r="F1157" s="32" t="s">
        <v>34</v>
      </c>
      <c r="G1157" s="32" t="s">
        <v>47</v>
      </c>
      <c r="H1157" s="41">
        <v>46079</v>
      </c>
      <c r="I1157" s="70">
        <v>206</v>
      </c>
      <c r="J1157" s="70">
        <v>750</v>
      </c>
      <c r="K1157" s="71">
        <v>0.13</v>
      </c>
      <c r="L1157" s="10" t="s">
        <v>36</v>
      </c>
      <c r="M1157" s="72">
        <v>154500</v>
      </c>
      <c r="N1157" s="72">
        <v>134415</v>
      </c>
      <c r="O1157" s="12" t="s">
        <v>267</v>
      </c>
    </row>
    <row r="1158" spans="1:15" x14ac:dyDescent="0.3">
      <c r="A1158" s="20" t="s">
        <v>922</v>
      </c>
      <c r="B1158" s="11" t="s">
        <v>58</v>
      </c>
      <c r="C1158" s="30" t="s">
        <v>255</v>
      </c>
      <c r="D1158" s="30" t="s">
        <v>59</v>
      </c>
      <c r="E1158" s="30" t="s">
        <v>33</v>
      </c>
      <c r="F1158" s="30" t="s">
        <v>52</v>
      </c>
      <c r="G1158" s="30" t="s">
        <v>53</v>
      </c>
      <c r="H1158" s="39">
        <v>46081</v>
      </c>
      <c r="I1158" s="64">
        <v>180</v>
      </c>
      <c r="J1158" s="64">
        <v>2800</v>
      </c>
      <c r="K1158" s="65">
        <v>0.13</v>
      </c>
      <c r="L1158" s="11" t="s">
        <v>36</v>
      </c>
      <c r="M1158" s="66">
        <v>504000</v>
      </c>
      <c r="N1158" s="66">
        <v>438480</v>
      </c>
      <c r="O1158" s="13" t="s">
        <v>277</v>
      </c>
    </row>
    <row r="1159" spans="1:15" x14ac:dyDescent="0.3">
      <c r="A1159" s="20" t="s">
        <v>923</v>
      </c>
      <c r="B1159" s="10" t="s">
        <v>260</v>
      </c>
      <c r="C1159" s="32" t="s">
        <v>261</v>
      </c>
      <c r="D1159" s="32" t="s">
        <v>39</v>
      </c>
      <c r="E1159" s="32" t="s">
        <v>51</v>
      </c>
      <c r="F1159" s="32" t="s">
        <v>52</v>
      </c>
      <c r="G1159" s="32" t="s">
        <v>35</v>
      </c>
      <c r="H1159" s="41">
        <v>46081</v>
      </c>
      <c r="I1159" s="70">
        <v>98</v>
      </c>
      <c r="J1159" s="70">
        <v>450</v>
      </c>
      <c r="K1159" s="71">
        <v>0.13</v>
      </c>
      <c r="L1159" s="10" t="s">
        <v>36</v>
      </c>
      <c r="M1159" s="72">
        <v>44100</v>
      </c>
      <c r="N1159" s="72">
        <v>38367</v>
      </c>
      <c r="O1159" s="12" t="s">
        <v>265</v>
      </c>
    </row>
    <row r="1160" spans="1:15" x14ac:dyDescent="0.3">
      <c r="A1160" s="20" t="s">
        <v>924</v>
      </c>
      <c r="B1160" s="11" t="s">
        <v>258</v>
      </c>
      <c r="C1160" s="30" t="s">
        <v>259</v>
      </c>
      <c r="D1160" s="30" t="s">
        <v>26</v>
      </c>
      <c r="E1160" s="30" t="s">
        <v>33</v>
      </c>
      <c r="F1160" s="30" t="s">
        <v>41</v>
      </c>
      <c r="G1160" s="30" t="s">
        <v>42</v>
      </c>
      <c r="H1160" s="39">
        <v>46083</v>
      </c>
      <c r="I1160" s="64">
        <v>291</v>
      </c>
      <c r="J1160" s="64">
        <v>680</v>
      </c>
      <c r="K1160" s="65">
        <v>7.0000000000000007E-2</v>
      </c>
      <c r="L1160" s="11" t="s">
        <v>30</v>
      </c>
      <c r="M1160" s="66">
        <v>197880</v>
      </c>
      <c r="N1160" s="66">
        <v>184028.4</v>
      </c>
      <c r="O1160" s="13" t="s">
        <v>267</v>
      </c>
    </row>
    <row r="1161" spans="1:15" x14ac:dyDescent="0.3">
      <c r="A1161" s="20" t="s">
        <v>925</v>
      </c>
      <c r="B1161" s="10" t="s">
        <v>38</v>
      </c>
      <c r="C1161" s="32" t="s">
        <v>247</v>
      </c>
      <c r="D1161" s="32" t="s">
        <v>39</v>
      </c>
      <c r="E1161" s="32" t="s">
        <v>45</v>
      </c>
      <c r="F1161" s="32" t="s">
        <v>41</v>
      </c>
      <c r="G1161" s="32" t="s">
        <v>56</v>
      </c>
      <c r="H1161" s="41">
        <v>46085</v>
      </c>
      <c r="I1161" s="70">
        <v>223</v>
      </c>
      <c r="J1161" s="70">
        <v>1200</v>
      </c>
      <c r="K1161" s="71">
        <v>0.15</v>
      </c>
      <c r="L1161" s="10" t="s">
        <v>36</v>
      </c>
      <c r="M1161" s="72">
        <v>267600</v>
      </c>
      <c r="N1161" s="72">
        <v>227460</v>
      </c>
      <c r="O1161" s="12" t="s">
        <v>267</v>
      </c>
    </row>
    <row r="1162" spans="1:15" x14ac:dyDescent="0.3">
      <c r="A1162" s="20" t="s">
        <v>926</v>
      </c>
      <c r="B1162" s="11" t="s">
        <v>38</v>
      </c>
      <c r="C1162" s="30" t="s">
        <v>247</v>
      </c>
      <c r="D1162" s="30" t="s">
        <v>39</v>
      </c>
      <c r="E1162" s="30" t="s">
        <v>51</v>
      </c>
      <c r="F1162" s="30" t="s">
        <v>52</v>
      </c>
      <c r="G1162" s="30" t="s">
        <v>56</v>
      </c>
      <c r="H1162" s="39">
        <v>46085</v>
      </c>
      <c r="I1162" s="64">
        <v>333</v>
      </c>
      <c r="J1162" s="64">
        <v>1200</v>
      </c>
      <c r="K1162" s="65">
        <v>0.08</v>
      </c>
      <c r="L1162" s="11" t="s">
        <v>36</v>
      </c>
      <c r="M1162" s="66">
        <v>399600</v>
      </c>
      <c r="N1162" s="66">
        <v>367632</v>
      </c>
      <c r="O1162" s="13" t="s">
        <v>277</v>
      </c>
    </row>
    <row r="1163" spans="1:15" x14ac:dyDescent="0.3">
      <c r="A1163" s="20" t="s">
        <v>927</v>
      </c>
      <c r="B1163" s="10" t="s">
        <v>63</v>
      </c>
      <c r="C1163" s="32" t="s">
        <v>253</v>
      </c>
      <c r="D1163" s="32" t="s">
        <v>50</v>
      </c>
      <c r="E1163" s="32" t="s">
        <v>27</v>
      </c>
      <c r="F1163" s="32" t="s">
        <v>34</v>
      </c>
      <c r="G1163" s="32" t="s">
        <v>35</v>
      </c>
      <c r="H1163" s="41">
        <v>46085</v>
      </c>
      <c r="I1163" s="70">
        <v>66</v>
      </c>
      <c r="J1163" s="70">
        <v>750</v>
      </c>
      <c r="K1163" s="71">
        <v>0.14000000000000001</v>
      </c>
      <c r="L1163" s="10" t="s">
        <v>30</v>
      </c>
      <c r="M1163" s="72">
        <v>49500</v>
      </c>
      <c r="N1163" s="72">
        <v>42570</v>
      </c>
      <c r="O1163" s="12" t="s">
        <v>265</v>
      </c>
    </row>
    <row r="1164" spans="1:15" x14ac:dyDescent="0.3">
      <c r="A1164" s="20" t="s">
        <v>928</v>
      </c>
      <c r="B1164" s="11" t="s">
        <v>61</v>
      </c>
      <c r="C1164" s="30" t="s">
        <v>244</v>
      </c>
      <c r="D1164" s="30" t="s">
        <v>26</v>
      </c>
      <c r="E1164" s="30" t="s">
        <v>40</v>
      </c>
      <c r="F1164" s="30" t="s">
        <v>41</v>
      </c>
      <c r="G1164" s="30" t="s">
        <v>35</v>
      </c>
      <c r="H1164" s="39">
        <v>46086</v>
      </c>
      <c r="I1164" s="64">
        <v>259</v>
      </c>
      <c r="J1164" s="64">
        <v>280</v>
      </c>
      <c r="K1164" s="65">
        <v>0.05</v>
      </c>
      <c r="L1164" s="11" t="s">
        <v>36</v>
      </c>
      <c r="M1164" s="66">
        <v>72520</v>
      </c>
      <c r="N1164" s="66">
        <v>68894</v>
      </c>
      <c r="O1164" s="13" t="s">
        <v>265</v>
      </c>
    </row>
    <row r="1165" spans="1:15" x14ac:dyDescent="0.3">
      <c r="A1165" s="20" t="s">
        <v>929</v>
      </c>
      <c r="B1165" s="10" t="s">
        <v>61</v>
      </c>
      <c r="C1165" s="32" t="s">
        <v>244</v>
      </c>
      <c r="D1165" s="32" t="s">
        <v>26</v>
      </c>
      <c r="E1165" s="32" t="s">
        <v>33</v>
      </c>
      <c r="F1165" s="32" t="s">
        <v>34</v>
      </c>
      <c r="G1165" s="32" t="s">
        <v>42</v>
      </c>
      <c r="H1165" s="41">
        <v>46086</v>
      </c>
      <c r="I1165" s="70">
        <v>480</v>
      </c>
      <c r="J1165" s="70">
        <v>280</v>
      </c>
      <c r="K1165" s="71">
        <v>0.14000000000000001</v>
      </c>
      <c r="L1165" s="10" t="s">
        <v>30</v>
      </c>
      <c r="M1165" s="72">
        <v>134400</v>
      </c>
      <c r="N1165" s="72">
        <v>115584</v>
      </c>
      <c r="O1165" s="12" t="s">
        <v>267</v>
      </c>
    </row>
    <row r="1166" spans="1:15" x14ac:dyDescent="0.3">
      <c r="A1166" s="20" t="s">
        <v>930</v>
      </c>
      <c r="B1166" s="11" t="s">
        <v>61</v>
      </c>
      <c r="C1166" s="30" t="s">
        <v>244</v>
      </c>
      <c r="D1166" s="30" t="s">
        <v>26</v>
      </c>
      <c r="E1166" s="30" t="s">
        <v>33</v>
      </c>
      <c r="F1166" s="30" t="s">
        <v>28</v>
      </c>
      <c r="G1166" s="30" t="s">
        <v>42</v>
      </c>
      <c r="H1166" s="39">
        <v>46086</v>
      </c>
      <c r="I1166" s="64">
        <v>346</v>
      </c>
      <c r="J1166" s="64">
        <v>280</v>
      </c>
      <c r="K1166" s="65">
        <v>0.11</v>
      </c>
      <c r="L1166" s="11" t="s">
        <v>30</v>
      </c>
      <c r="M1166" s="66">
        <v>96880</v>
      </c>
      <c r="N1166" s="66">
        <v>86223.2</v>
      </c>
      <c r="O1166" s="13" t="s">
        <v>265</v>
      </c>
    </row>
    <row r="1167" spans="1:15" x14ac:dyDescent="0.3">
      <c r="A1167" s="20" t="s">
        <v>931</v>
      </c>
      <c r="B1167" s="10" t="s">
        <v>258</v>
      </c>
      <c r="C1167" s="32" t="s">
        <v>259</v>
      </c>
      <c r="D1167" s="32" t="s">
        <v>26</v>
      </c>
      <c r="E1167" s="32" t="s">
        <v>33</v>
      </c>
      <c r="F1167" s="32" t="s">
        <v>34</v>
      </c>
      <c r="G1167" s="32" t="s">
        <v>53</v>
      </c>
      <c r="H1167" s="41">
        <v>46087</v>
      </c>
      <c r="I1167" s="70">
        <v>181</v>
      </c>
      <c r="J1167" s="70">
        <v>680</v>
      </c>
      <c r="K1167" s="71">
        <v>0.13</v>
      </c>
      <c r="L1167" s="10" t="s">
        <v>30</v>
      </c>
      <c r="M1167" s="72">
        <v>123080</v>
      </c>
      <c r="N1167" s="72">
        <v>107079.6</v>
      </c>
      <c r="O1167" s="12" t="s">
        <v>267</v>
      </c>
    </row>
    <row r="1168" spans="1:15" x14ac:dyDescent="0.3">
      <c r="A1168" s="20" t="s">
        <v>932</v>
      </c>
      <c r="B1168" s="11" t="s">
        <v>16</v>
      </c>
      <c r="C1168" s="30" t="s">
        <v>250</v>
      </c>
      <c r="D1168" s="30" t="s">
        <v>39</v>
      </c>
      <c r="E1168" s="30" t="s">
        <v>33</v>
      </c>
      <c r="F1168" s="30" t="s">
        <v>52</v>
      </c>
      <c r="G1168" s="30" t="s">
        <v>56</v>
      </c>
      <c r="H1168" s="39">
        <v>46087</v>
      </c>
      <c r="I1168" s="64">
        <v>119</v>
      </c>
      <c r="J1168" s="64">
        <v>990</v>
      </c>
      <c r="K1168" s="65">
        <v>0.13</v>
      </c>
      <c r="L1168" s="11" t="s">
        <v>36</v>
      </c>
      <c r="M1168" s="66">
        <v>117810</v>
      </c>
      <c r="N1168" s="66">
        <v>102494.7</v>
      </c>
      <c r="O1168" s="13" t="s">
        <v>267</v>
      </c>
    </row>
    <row r="1169" spans="1:15" x14ac:dyDescent="0.3">
      <c r="A1169" s="20" t="s">
        <v>933</v>
      </c>
      <c r="B1169" s="10" t="s">
        <v>55</v>
      </c>
      <c r="C1169" s="32" t="s">
        <v>249</v>
      </c>
      <c r="D1169" s="32" t="s">
        <v>39</v>
      </c>
      <c r="E1169" s="32" t="s">
        <v>33</v>
      </c>
      <c r="F1169" s="32" t="s">
        <v>34</v>
      </c>
      <c r="G1169" s="32" t="s">
        <v>29</v>
      </c>
      <c r="H1169" s="41">
        <v>46087</v>
      </c>
      <c r="I1169" s="70">
        <v>229</v>
      </c>
      <c r="J1169" s="70">
        <v>650</v>
      </c>
      <c r="K1169" s="71">
        <v>0.03</v>
      </c>
      <c r="L1169" s="10" t="s">
        <v>36</v>
      </c>
      <c r="M1169" s="72">
        <v>148850</v>
      </c>
      <c r="N1169" s="72">
        <v>144384.5</v>
      </c>
      <c r="O1169" s="12" t="s">
        <v>267</v>
      </c>
    </row>
    <row r="1170" spans="1:15" x14ac:dyDescent="0.3">
      <c r="A1170" s="20" t="s">
        <v>934</v>
      </c>
      <c r="B1170" s="11" t="s">
        <v>16</v>
      </c>
      <c r="C1170" s="30" t="s">
        <v>250</v>
      </c>
      <c r="D1170" s="30" t="s">
        <v>39</v>
      </c>
      <c r="E1170" s="30" t="s">
        <v>40</v>
      </c>
      <c r="F1170" s="30" t="s">
        <v>28</v>
      </c>
      <c r="G1170" s="30" t="s">
        <v>42</v>
      </c>
      <c r="H1170" s="39">
        <v>46088</v>
      </c>
      <c r="I1170" s="64">
        <v>330</v>
      </c>
      <c r="J1170" s="64">
        <v>990</v>
      </c>
      <c r="K1170" s="65">
        <v>0.08</v>
      </c>
      <c r="L1170" s="11" t="s">
        <v>36</v>
      </c>
      <c r="M1170" s="66">
        <v>326700</v>
      </c>
      <c r="N1170" s="66">
        <v>300564</v>
      </c>
      <c r="O1170" s="13" t="s">
        <v>267</v>
      </c>
    </row>
    <row r="1171" spans="1:15" x14ac:dyDescent="0.3">
      <c r="A1171" s="20" t="s">
        <v>935</v>
      </c>
      <c r="B1171" s="10" t="s">
        <v>262</v>
      </c>
      <c r="C1171" s="32" t="s">
        <v>263</v>
      </c>
      <c r="D1171" s="32" t="s">
        <v>50</v>
      </c>
      <c r="E1171" s="32" t="s">
        <v>27</v>
      </c>
      <c r="F1171" s="32" t="s">
        <v>34</v>
      </c>
      <c r="G1171" s="32" t="s">
        <v>29</v>
      </c>
      <c r="H1171" s="41">
        <v>46088</v>
      </c>
      <c r="I1171" s="70">
        <v>190</v>
      </c>
      <c r="J1171" s="70">
        <v>820</v>
      </c>
      <c r="K1171" s="71">
        <v>0.12</v>
      </c>
      <c r="L1171" s="10" t="s">
        <v>30</v>
      </c>
      <c r="M1171" s="72">
        <v>155800</v>
      </c>
      <c r="N1171" s="72">
        <v>137104</v>
      </c>
      <c r="O1171" s="12" t="s">
        <v>267</v>
      </c>
    </row>
    <row r="1172" spans="1:15" x14ac:dyDescent="0.3">
      <c r="A1172" s="20" t="s">
        <v>936</v>
      </c>
      <c r="B1172" s="11" t="s">
        <v>258</v>
      </c>
      <c r="C1172" s="30" t="s">
        <v>259</v>
      </c>
      <c r="D1172" s="30" t="s">
        <v>26</v>
      </c>
      <c r="E1172" s="30" t="s">
        <v>27</v>
      </c>
      <c r="F1172" s="30" t="s">
        <v>34</v>
      </c>
      <c r="G1172" s="30" t="s">
        <v>29</v>
      </c>
      <c r="H1172" s="39">
        <v>46088</v>
      </c>
      <c r="I1172" s="64">
        <v>311</v>
      </c>
      <c r="J1172" s="64">
        <v>680</v>
      </c>
      <c r="K1172" s="65">
        <v>0.15</v>
      </c>
      <c r="L1172" s="11" t="s">
        <v>36</v>
      </c>
      <c r="M1172" s="66">
        <v>211480</v>
      </c>
      <c r="N1172" s="66">
        <v>179758</v>
      </c>
      <c r="O1172" s="13" t="s">
        <v>267</v>
      </c>
    </row>
    <row r="1173" spans="1:15" x14ac:dyDescent="0.3">
      <c r="A1173" s="20" t="s">
        <v>937</v>
      </c>
      <c r="B1173" s="10" t="s">
        <v>38</v>
      </c>
      <c r="C1173" s="32" t="s">
        <v>247</v>
      </c>
      <c r="D1173" s="32" t="s">
        <v>39</v>
      </c>
      <c r="E1173" s="32" t="s">
        <v>51</v>
      </c>
      <c r="F1173" s="32" t="s">
        <v>34</v>
      </c>
      <c r="G1173" s="32" t="s">
        <v>35</v>
      </c>
      <c r="H1173" s="41">
        <v>46089</v>
      </c>
      <c r="I1173" s="70">
        <v>244</v>
      </c>
      <c r="J1173" s="70">
        <v>1200</v>
      </c>
      <c r="K1173" s="71">
        <v>0</v>
      </c>
      <c r="L1173" s="10" t="s">
        <v>30</v>
      </c>
      <c r="M1173" s="72">
        <v>292800</v>
      </c>
      <c r="N1173" s="72">
        <v>292800</v>
      </c>
      <c r="O1173" s="12" t="s">
        <v>267</v>
      </c>
    </row>
    <row r="1174" spans="1:15" x14ac:dyDescent="0.3">
      <c r="A1174" s="20" t="s">
        <v>938</v>
      </c>
      <c r="B1174" s="11" t="s">
        <v>44</v>
      </c>
      <c r="C1174" s="30" t="s">
        <v>254</v>
      </c>
      <c r="D1174" s="30" t="s">
        <v>39</v>
      </c>
      <c r="E1174" s="30" t="s">
        <v>45</v>
      </c>
      <c r="F1174" s="30" t="s">
        <v>52</v>
      </c>
      <c r="G1174" s="30" t="s">
        <v>35</v>
      </c>
      <c r="H1174" s="39">
        <v>46089</v>
      </c>
      <c r="I1174" s="64">
        <v>302</v>
      </c>
      <c r="J1174" s="64">
        <v>200</v>
      </c>
      <c r="K1174" s="65">
        <v>0.13</v>
      </c>
      <c r="L1174" s="11" t="s">
        <v>30</v>
      </c>
      <c r="M1174" s="66">
        <v>60400</v>
      </c>
      <c r="N1174" s="66">
        <v>52548</v>
      </c>
      <c r="O1174" s="13" t="s">
        <v>265</v>
      </c>
    </row>
    <row r="1175" spans="1:15" x14ac:dyDescent="0.3">
      <c r="A1175" s="20" t="s">
        <v>939</v>
      </c>
      <c r="B1175" s="10" t="s">
        <v>260</v>
      </c>
      <c r="C1175" s="32" t="s">
        <v>261</v>
      </c>
      <c r="D1175" s="32" t="s">
        <v>39</v>
      </c>
      <c r="E1175" s="32" t="s">
        <v>45</v>
      </c>
      <c r="F1175" s="32" t="s">
        <v>52</v>
      </c>
      <c r="G1175" s="32" t="s">
        <v>53</v>
      </c>
      <c r="H1175" s="41">
        <v>46089</v>
      </c>
      <c r="I1175" s="70">
        <v>379</v>
      </c>
      <c r="J1175" s="70">
        <v>450</v>
      </c>
      <c r="K1175" s="71">
        <v>0</v>
      </c>
      <c r="L1175" s="10" t="s">
        <v>36</v>
      </c>
      <c r="M1175" s="72">
        <v>170550</v>
      </c>
      <c r="N1175" s="72">
        <v>170550</v>
      </c>
      <c r="O1175" s="12" t="s">
        <v>267</v>
      </c>
    </row>
    <row r="1176" spans="1:15" x14ac:dyDescent="0.3">
      <c r="A1176" s="20" t="s">
        <v>940</v>
      </c>
      <c r="B1176" s="11" t="s">
        <v>262</v>
      </c>
      <c r="C1176" s="30" t="s">
        <v>263</v>
      </c>
      <c r="D1176" s="30" t="s">
        <v>50</v>
      </c>
      <c r="E1176" s="30" t="s">
        <v>33</v>
      </c>
      <c r="F1176" s="30" t="s">
        <v>52</v>
      </c>
      <c r="G1176" s="30" t="s">
        <v>47</v>
      </c>
      <c r="H1176" s="39">
        <v>46091</v>
      </c>
      <c r="I1176" s="64">
        <v>349</v>
      </c>
      <c r="J1176" s="64">
        <v>820</v>
      </c>
      <c r="K1176" s="65">
        <v>0.1</v>
      </c>
      <c r="L1176" s="11" t="s">
        <v>30</v>
      </c>
      <c r="M1176" s="66">
        <v>286180</v>
      </c>
      <c r="N1176" s="66">
        <v>257562</v>
      </c>
      <c r="O1176" s="13" t="s">
        <v>267</v>
      </c>
    </row>
    <row r="1177" spans="1:15" x14ac:dyDescent="0.3">
      <c r="A1177" s="20" t="s">
        <v>941</v>
      </c>
      <c r="B1177" s="10" t="s">
        <v>63</v>
      </c>
      <c r="C1177" s="32" t="s">
        <v>253</v>
      </c>
      <c r="D1177" s="32" t="s">
        <v>50</v>
      </c>
      <c r="E1177" s="32" t="s">
        <v>45</v>
      </c>
      <c r="F1177" s="32" t="s">
        <v>28</v>
      </c>
      <c r="G1177" s="32" t="s">
        <v>56</v>
      </c>
      <c r="H1177" s="41">
        <v>46092</v>
      </c>
      <c r="I1177" s="70">
        <v>145</v>
      </c>
      <c r="J1177" s="70">
        <v>750</v>
      </c>
      <c r="K1177" s="71">
        <v>0.13</v>
      </c>
      <c r="L1177" s="10" t="s">
        <v>36</v>
      </c>
      <c r="M1177" s="72">
        <v>108750</v>
      </c>
      <c r="N1177" s="72">
        <v>94612.5</v>
      </c>
      <c r="O1177" s="12" t="s">
        <v>265</v>
      </c>
    </row>
    <row r="1178" spans="1:15" x14ac:dyDescent="0.3">
      <c r="A1178" s="20" t="s">
        <v>942</v>
      </c>
      <c r="B1178" s="11" t="s">
        <v>25</v>
      </c>
      <c r="C1178" s="30" t="s">
        <v>257</v>
      </c>
      <c r="D1178" s="30" t="s">
        <v>26</v>
      </c>
      <c r="E1178" s="30" t="s">
        <v>27</v>
      </c>
      <c r="F1178" s="30" t="s">
        <v>28</v>
      </c>
      <c r="G1178" s="30" t="s">
        <v>42</v>
      </c>
      <c r="H1178" s="39">
        <v>46092</v>
      </c>
      <c r="I1178" s="64">
        <v>316</v>
      </c>
      <c r="J1178" s="64">
        <v>350</v>
      </c>
      <c r="K1178" s="65">
        <v>0.14000000000000001</v>
      </c>
      <c r="L1178" s="11" t="s">
        <v>30</v>
      </c>
      <c r="M1178" s="66">
        <v>110600</v>
      </c>
      <c r="N1178" s="66">
        <v>95116</v>
      </c>
      <c r="O1178" s="13" t="s">
        <v>265</v>
      </c>
    </row>
    <row r="1179" spans="1:15" x14ac:dyDescent="0.3">
      <c r="A1179" s="20" t="s">
        <v>943</v>
      </c>
      <c r="B1179" s="10" t="s">
        <v>61</v>
      </c>
      <c r="C1179" s="32" t="s">
        <v>244</v>
      </c>
      <c r="D1179" s="32" t="s">
        <v>26</v>
      </c>
      <c r="E1179" s="32" t="s">
        <v>51</v>
      </c>
      <c r="F1179" s="32" t="s">
        <v>34</v>
      </c>
      <c r="G1179" s="32" t="s">
        <v>42</v>
      </c>
      <c r="H1179" s="41">
        <v>46092</v>
      </c>
      <c r="I1179" s="70">
        <v>443</v>
      </c>
      <c r="J1179" s="70">
        <v>280</v>
      </c>
      <c r="K1179" s="71">
        <v>0.1</v>
      </c>
      <c r="L1179" s="10" t="s">
        <v>30</v>
      </c>
      <c r="M1179" s="72">
        <v>124040</v>
      </c>
      <c r="N1179" s="72">
        <v>111636</v>
      </c>
      <c r="O1179" s="12" t="s">
        <v>267</v>
      </c>
    </row>
    <row r="1180" spans="1:15" x14ac:dyDescent="0.3">
      <c r="A1180" s="20" t="s">
        <v>944</v>
      </c>
      <c r="B1180" s="11" t="s">
        <v>25</v>
      </c>
      <c r="C1180" s="30" t="s">
        <v>257</v>
      </c>
      <c r="D1180" s="30" t="s">
        <v>26</v>
      </c>
      <c r="E1180" s="30" t="s">
        <v>27</v>
      </c>
      <c r="F1180" s="30" t="s">
        <v>34</v>
      </c>
      <c r="G1180" s="30" t="s">
        <v>47</v>
      </c>
      <c r="H1180" s="39">
        <v>46094</v>
      </c>
      <c r="I1180" s="64">
        <v>157</v>
      </c>
      <c r="J1180" s="64">
        <v>350</v>
      </c>
      <c r="K1180" s="65">
        <v>0.03</v>
      </c>
      <c r="L1180" s="11" t="s">
        <v>30</v>
      </c>
      <c r="M1180" s="66">
        <v>54950</v>
      </c>
      <c r="N1180" s="66">
        <v>53301.5</v>
      </c>
      <c r="O1180" s="13" t="s">
        <v>265</v>
      </c>
    </row>
    <row r="1181" spans="1:15" x14ac:dyDescent="0.3">
      <c r="A1181" s="20" t="s">
        <v>945</v>
      </c>
      <c r="B1181" s="10" t="s">
        <v>44</v>
      </c>
      <c r="C1181" s="32" t="s">
        <v>254</v>
      </c>
      <c r="D1181" s="32" t="s">
        <v>39</v>
      </c>
      <c r="E1181" s="32" t="s">
        <v>40</v>
      </c>
      <c r="F1181" s="32" t="s">
        <v>52</v>
      </c>
      <c r="G1181" s="32" t="s">
        <v>56</v>
      </c>
      <c r="H1181" s="41">
        <v>46094</v>
      </c>
      <c r="I1181" s="70">
        <v>454</v>
      </c>
      <c r="J1181" s="70">
        <v>200</v>
      </c>
      <c r="K1181" s="71">
        <v>0</v>
      </c>
      <c r="L1181" s="10" t="s">
        <v>30</v>
      </c>
      <c r="M1181" s="72">
        <v>90800</v>
      </c>
      <c r="N1181" s="72">
        <v>90800</v>
      </c>
      <c r="O1181" s="12" t="s">
        <v>265</v>
      </c>
    </row>
    <row r="1182" spans="1:15" x14ac:dyDescent="0.3">
      <c r="A1182" s="20" t="s">
        <v>946</v>
      </c>
      <c r="B1182" s="11" t="s">
        <v>38</v>
      </c>
      <c r="C1182" s="30" t="s">
        <v>247</v>
      </c>
      <c r="D1182" s="30" t="s">
        <v>39</v>
      </c>
      <c r="E1182" s="30" t="s">
        <v>40</v>
      </c>
      <c r="F1182" s="30" t="s">
        <v>28</v>
      </c>
      <c r="G1182" s="30" t="s">
        <v>56</v>
      </c>
      <c r="H1182" s="39">
        <v>46095</v>
      </c>
      <c r="I1182" s="64">
        <v>195</v>
      </c>
      <c r="J1182" s="64">
        <v>1200</v>
      </c>
      <c r="K1182" s="65">
        <v>0.11</v>
      </c>
      <c r="L1182" s="11" t="s">
        <v>30</v>
      </c>
      <c r="M1182" s="66">
        <v>234000</v>
      </c>
      <c r="N1182" s="66">
        <v>208260</v>
      </c>
      <c r="O1182" s="13" t="s">
        <v>267</v>
      </c>
    </row>
    <row r="1183" spans="1:15" x14ac:dyDescent="0.3">
      <c r="A1183" s="20" t="s">
        <v>947</v>
      </c>
      <c r="B1183" s="10" t="s">
        <v>32</v>
      </c>
      <c r="C1183" s="32" t="s">
        <v>246</v>
      </c>
      <c r="D1183" s="32" t="s">
        <v>26</v>
      </c>
      <c r="E1183" s="32" t="s">
        <v>40</v>
      </c>
      <c r="F1183" s="32" t="s">
        <v>41</v>
      </c>
      <c r="G1183" s="32" t="s">
        <v>35</v>
      </c>
      <c r="H1183" s="41">
        <v>46095</v>
      </c>
      <c r="I1183" s="70">
        <v>96</v>
      </c>
      <c r="J1183" s="70">
        <v>420</v>
      </c>
      <c r="K1183" s="71">
        <v>0</v>
      </c>
      <c r="L1183" s="10" t="s">
        <v>30</v>
      </c>
      <c r="M1183" s="72">
        <v>40320</v>
      </c>
      <c r="N1183" s="72">
        <v>40320</v>
      </c>
      <c r="O1183" s="12" t="s">
        <v>265</v>
      </c>
    </row>
    <row r="1184" spans="1:15" x14ac:dyDescent="0.3">
      <c r="A1184" s="20" t="s">
        <v>948</v>
      </c>
      <c r="B1184" s="11" t="s">
        <v>25</v>
      </c>
      <c r="C1184" s="30" t="s">
        <v>257</v>
      </c>
      <c r="D1184" s="30" t="s">
        <v>26</v>
      </c>
      <c r="E1184" s="30" t="s">
        <v>27</v>
      </c>
      <c r="F1184" s="30" t="s">
        <v>28</v>
      </c>
      <c r="G1184" s="30" t="s">
        <v>47</v>
      </c>
      <c r="H1184" s="39">
        <v>46095</v>
      </c>
      <c r="I1184" s="64">
        <v>73</v>
      </c>
      <c r="J1184" s="64">
        <v>350</v>
      </c>
      <c r="K1184" s="65">
        <v>0.08</v>
      </c>
      <c r="L1184" s="11" t="s">
        <v>30</v>
      </c>
      <c r="M1184" s="66">
        <v>25550</v>
      </c>
      <c r="N1184" s="66">
        <v>23506</v>
      </c>
      <c r="O1184" s="13" t="s">
        <v>265</v>
      </c>
    </row>
    <row r="1185" spans="1:15" x14ac:dyDescent="0.3">
      <c r="A1185" s="20" t="s">
        <v>949</v>
      </c>
      <c r="B1185" s="10" t="s">
        <v>16</v>
      </c>
      <c r="C1185" s="32" t="s">
        <v>250</v>
      </c>
      <c r="D1185" s="32" t="s">
        <v>39</v>
      </c>
      <c r="E1185" s="32" t="s">
        <v>45</v>
      </c>
      <c r="F1185" s="32" t="s">
        <v>34</v>
      </c>
      <c r="G1185" s="32" t="s">
        <v>47</v>
      </c>
      <c r="H1185" s="41">
        <v>46097</v>
      </c>
      <c r="I1185" s="70">
        <v>270</v>
      </c>
      <c r="J1185" s="70">
        <v>990</v>
      </c>
      <c r="K1185" s="71">
        <v>0.13</v>
      </c>
      <c r="L1185" s="10" t="s">
        <v>36</v>
      </c>
      <c r="M1185" s="72">
        <v>267300</v>
      </c>
      <c r="N1185" s="72">
        <v>232551</v>
      </c>
      <c r="O1185" s="12" t="s">
        <v>267</v>
      </c>
    </row>
    <row r="1186" spans="1:15" x14ac:dyDescent="0.3">
      <c r="A1186" s="20" t="s">
        <v>950</v>
      </c>
      <c r="B1186" s="11" t="s">
        <v>49</v>
      </c>
      <c r="C1186" s="30" t="s">
        <v>251</v>
      </c>
      <c r="D1186" s="30" t="s">
        <v>50</v>
      </c>
      <c r="E1186" s="30" t="s">
        <v>33</v>
      </c>
      <c r="F1186" s="30" t="s">
        <v>34</v>
      </c>
      <c r="G1186" s="30" t="s">
        <v>47</v>
      </c>
      <c r="H1186" s="39">
        <v>46097</v>
      </c>
      <c r="I1186" s="64">
        <v>268</v>
      </c>
      <c r="J1186" s="64">
        <v>895</v>
      </c>
      <c r="K1186" s="65">
        <v>0.1</v>
      </c>
      <c r="L1186" s="11" t="s">
        <v>36</v>
      </c>
      <c r="M1186" s="66">
        <v>239860</v>
      </c>
      <c r="N1186" s="66">
        <v>215874</v>
      </c>
      <c r="O1186" s="13" t="s">
        <v>267</v>
      </c>
    </row>
    <row r="1187" spans="1:15" x14ac:dyDescent="0.3">
      <c r="A1187" s="20" t="s">
        <v>951</v>
      </c>
      <c r="B1187" s="10" t="s">
        <v>38</v>
      </c>
      <c r="C1187" s="32" t="s">
        <v>247</v>
      </c>
      <c r="D1187" s="32" t="s">
        <v>39</v>
      </c>
      <c r="E1187" s="32" t="s">
        <v>40</v>
      </c>
      <c r="F1187" s="32" t="s">
        <v>46</v>
      </c>
      <c r="G1187" s="32" t="s">
        <v>35</v>
      </c>
      <c r="H1187" s="41">
        <v>46097</v>
      </c>
      <c r="I1187" s="70">
        <v>175</v>
      </c>
      <c r="J1187" s="70">
        <v>1200</v>
      </c>
      <c r="K1187" s="71">
        <v>0.14000000000000001</v>
      </c>
      <c r="L1187" s="10" t="s">
        <v>30</v>
      </c>
      <c r="M1187" s="72">
        <v>210000</v>
      </c>
      <c r="N1187" s="72">
        <v>180600</v>
      </c>
      <c r="O1187" s="12" t="s">
        <v>267</v>
      </c>
    </row>
    <row r="1188" spans="1:15" x14ac:dyDescent="0.3">
      <c r="A1188" s="20" t="s">
        <v>952</v>
      </c>
      <c r="B1188" s="11" t="s">
        <v>44</v>
      </c>
      <c r="C1188" s="30" t="s">
        <v>254</v>
      </c>
      <c r="D1188" s="30" t="s">
        <v>39</v>
      </c>
      <c r="E1188" s="30" t="s">
        <v>33</v>
      </c>
      <c r="F1188" s="30" t="s">
        <v>34</v>
      </c>
      <c r="G1188" s="30" t="s">
        <v>35</v>
      </c>
      <c r="H1188" s="39">
        <v>46098</v>
      </c>
      <c r="I1188" s="64">
        <v>409</v>
      </c>
      <c r="J1188" s="64">
        <v>200</v>
      </c>
      <c r="K1188" s="65">
        <v>0.03</v>
      </c>
      <c r="L1188" s="11" t="s">
        <v>36</v>
      </c>
      <c r="M1188" s="66">
        <v>81800</v>
      </c>
      <c r="N1188" s="66">
        <v>79346</v>
      </c>
      <c r="O1188" s="13" t="s">
        <v>265</v>
      </c>
    </row>
    <row r="1189" spans="1:15" x14ac:dyDescent="0.3">
      <c r="A1189" s="20" t="s">
        <v>953</v>
      </c>
      <c r="B1189" s="10" t="s">
        <v>16</v>
      </c>
      <c r="C1189" s="32" t="s">
        <v>250</v>
      </c>
      <c r="D1189" s="32" t="s">
        <v>39</v>
      </c>
      <c r="E1189" s="32" t="s">
        <v>27</v>
      </c>
      <c r="F1189" s="32" t="s">
        <v>28</v>
      </c>
      <c r="G1189" s="32" t="s">
        <v>56</v>
      </c>
      <c r="H1189" s="41">
        <v>46099</v>
      </c>
      <c r="I1189" s="70">
        <v>384</v>
      </c>
      <c r="J1189" s="70">
        <v>990</v>
      </c>
      <c r="K1189" s="71">
        <v>0.05</v>
      </c>
      <c r="L1189" s="10" t="s">
        <v>36</v>
      </c>
      <c r="M1189" s="72">
        <v>380160</v>
      </c>
      <c r="N1189" s="72">
        <v>361152</v>
      </c>
      <c r="O1189" s="12" t="s">
        <v>277</v>
      </c>
    </row>
    <row r="1190" spans="1:15" x14ac:dyDescent="0.3">
      <c r="A1190" s="20" t="s">
        <v>954</v>
      </c>
      <c r="B1190" s="11" t="s">
        <v>44</v>
      </c>
      <c r="C1190" s="30" t="s">
        <v>254</v>
      </c>
      <c r="D1190" s="30" t="s">
        <v>39</v>
      </c>
      <c r="E1190" s="30" t="s">
        <v>27</v>
      </c>
      <c r="F1190" s="30" t="s">
        <v>28</v>
      </c>
      <c r="G1190" s="30" t="s">
        <v>42</v>
      </c>
      <c r="H1190" s="39">
        <v>46101</v>
      </c>
      <c r="I1190" s="64">
        <v>92</v>
      </c>
      <c r="J1190" s="64">
        <v>200</v>
      </c>
      <c r="K1190" s="65">
        <v>0.08</v>
      </c>
      <c r="L1190" s="11" t="s">
        <v>30</v>
      </c>
      <c r="M1190" s="66">
        <v>18400</v>
      </c>
      <c r="N1190" s="66">
        <v>16928</v>
      </c>
      <c r="O1190" s="13" t="s">
        <v>265</v>
      </c>
    </row>
    <row r="1191" spans="1:15" x14ac:dyDescent="0.3">
      <c r="A1191" s="20" t="s">
        <v>955</v>
      </c>
      <c r="B1191" s="10" t="s">
        <v>260</v>
      </c>
      <c r="C1191" s="32" t="s">
        <v>261</v>
      </c>
      <c r="D1191" s="32" t="s">
        <v>39</v>
      </c>
      <c r="E1191" s="32" t="s">
        <v>45</v>
      </c>
      <c r="F1191" s="32" t="s">
        <v>41</v>
      </c>
      <c r="G1191" s="32" t="s">
        <v>53</v>
      </c>
      <c r="H1191" s="41">
        <v>46101</v>
      </c>
      <c r="I1191" s="70">
        <v>214</v>
      </c>
      <c r="J1191" s="70">
        <v>450</v>
      </c>
      <c r="K1191" s="71">
        <v>0</v>
      </c>
      <c r="L1191" s="10" t="s">
        <v>30</v>
      </c>
      <c r="M1191" s="72">
        <v>96300</v>
      </c>
      <c r="N1191" s="72">
        <v>96300</v>
      </c>
      <c r="O1191" s="12" t="s">
        <v>265</v>
      </c>
    </row>
    <row r="1192" spans="1:15" x14ac:dyDescent="0.3">
      <c r="A1192" s="20" t="s">
        <v>956</v>
      </c>
      <c r="B1192" s="11" t="s">
        <v>63</v>
      </c>
      <c r="C1192" s="30" t="s">
        <v>253</v>
      </c>
      <c r="D1192" s="30" t="s">
        <v>50</v>
      </c>
      <c r="E1192" s="30" t="s">
        <v>51</v>
      </c>
      <c r="F1192" s="30" t="s">
        <v>41</v>
      </c>
      <c r="G1192" s="30" t="s">
        <v>56</v>
      </c>
      <c r="H1192" s="39">
        <v>46102</v>
      </c>
      <c r="I1192" s="64">
        <v>323</v>
      </c>
      <c r="J1192" s="64">
        <v>750</v>
      </c>
      <c r="K1192" s="65">
        <v>0</v>
      </c>
      <c r="L1192" s="11" t="s">
        <v>36</v>
      </c>
      <c r="M1192" s="66">
        <v>242250</v>
      </c>
      <c r="N1192" s="66">
        <v>242250</v>
      </c>
      <c r="O1192" s="13" t="s">
        <v>267</v>
      </c>
    </row>
    <row r="1193" spans="1:15" x14ac:dyDescent="0.3">
      <c r="A1193" s="20" t="s">
        <v>957</v>
      </c>
      <c r="B1193" s="10" t="s">
        <v>44</v>
      </c>
      <c r="C1193" s="32" t="s">
        <v>254</v>
      </c>
      <c r="D1193" s="32" t="s">
        <v>39</v>
      </c>
      <c r="E1193" s="32" t="s">
        <v>27</v>
      </c>
      <c r="F1193" s="32" t="s">
        <v>52</v>
      </c>
      <c r="G1193" s="32" t="s">
        <v>42</v>
      </c>
      <c r="H1193" s="41">
        <v>46102</v>
      </c>
      <c r="I1193" s="70">
        <v>282</v>
      </c>
      <c r="J1193" s="70">
        <v>200</v>
      </c>
      <c r="K1193" s="71">
        <v>0.03</v>
      </c>
      <c r="L1193" s="10" t="s">
        <v>30</v>
      </c>
      <c r="M1193" s="72">
        <v>56400</v>
      </c>
      <c r="N1193" s="72">
        <v>54708</v>
      </c>
      <c r="O1193" s="12" t="s">
        <v>265</v>
      </c>
    </row>
    <row r="1194" spans="1:15" x14ac:dyDescent="0.3">
      <c r="A1194" s="20" t="s">
        <v>958</v>
      </c>
      <c r="B1194" s="11" t="s">
        <v>49</v>
      </c>
      <c r="C1194" s="30" t="s">
        <v>251</v>
      </c>
      <c r="D1194" s="30" t="s">
        <v>50</v>
      </c>
      <c r="E1194" s="30" t="s">
        <v>40</v>
      </c>
      <c r="F1194" s="30" t="s">
        <v>28</v>
      </c>
      <c r="G1194" s="30" t="s">
        <v>42</v>
      </c>
      <c r="H1194" s="39">
        <v>46102</v>
      </c>
      <c r="I1194" s="64">
        <v>119</v>
      </c>
      <c r="J1194" s="64">
        <v>895</v>
      </c>
      <c r="K1194" s="65">
        <v>0.15</v>
      </c>
      <c r="L1194" s="11" t="s">
        <v>36</v>
      </c>
      <c r="M1194" s="66">
        <v>106505</v>
      </c>
      <c r="N1194" s="66">
        <v>90529.25</v>
      </c>
      <c r="O1194" s="13" t="s">
        <v>265</v>
      </c>
    </row>
    <row r="1195" spans="1:15" x14ac:dyDescent="0.3">
      <c r="A1195" s="20" t="s">
        <v>959</v>
      </c>
      <c r="B1195" s="10" t="s">
        <v>258</v>
      </c>
      <c r="C1195" s="32" t="s">
        <v>259</v>
      </c>
      <c r="D1195" s="32" t="s">
        <v>26</v>
      </c>
      <c r="E1195" s="32" t="s">
        <v>51</v>
      </c>
      <c r="F1195" s="32" t="s">
        <v>52</v>
      </c>
      <c r="G1195" s="32" t="s">
        <v>56</v>
      </c>
      <c r="H1195" s="41">
        <v>46103</v>
      </c>
      <c r="I1195" s="70">
        <v>432</v>
      </c>
      <c r="J1195" s="70">
        <v>680</v>
      </c>
      <c r="K1195" s="71">
        <v>0.12</v>
      </c>
      <c r="L1195" s="10" t="s">
        <v>30</v>
      </c>
      <c r="M1195" s="72">
        <v>293760</v>
      </c>
      <c r="N1195" s="72">
        <v>258508.79999999999</v>
      </c>
      <c r="O1195" s="12" t="s">
        <v>267</v>
      </c>
    </row>
    <row r="1196" spans="1:15" x14ac:dyDescent="0.3">
      <c r="A1196" s="20" t="s">
        <v>960</v>
      </c>
      <c r="B1196" s="11" t="s">
        <v>55</v>
      </c>
      <c r="C1196" s="30" t="s">
        <v>249</v>
      </c>
      <c r="D1196" s="30" t="s">
        <v>39</v>
      </c>
      <c r="E1196" s="30" t="s">
        <v>33</v>
      </c>
      <c r="F1196" s="30" t="s">
        <v>52</v>
      </c>
      <c r="G1196" s="30" t="s">
        <v>35</v>
      </c>
      <c r="H1196" s="39">
        <v>46103</v>
      </c>
      <c r="I1196" s="64">
        <v>267</v>
      </c>
      <c r="J1196" s="64">
        <v>650</v>
      </c>
      <c r="K1196" s="65">
        <v>0.12</v>
      </c>
      <c r="L1196" s="11" t="s">
        <v>30</v>
      </c>
      <c r="M1196" s="66">
        <v>173550</v>
      </c>
      <c r="N1196" s="66">
        <v>152724</v>
      </c>
      <c r="O1196" s="13" t="s">
        <v>267</v>
      </c>
    </row>
    <row r="1197" spans="1:15" x14ac:dyDescent="0.3">
      <c r="A1197" s="20" t="s">
        <v>961</v>
      </c>
      <c r="B1197" s="10" t="s">
        <v>258</v>
      </c>
      <c r="C1197" s="32" t="s">
        <v>259</v>
      </c>
      <c r="D1197" s="32" t="s">
        <v>26</v>
      </c>
      <c r="E1197" s="32" t="s">
        <v>40</v>
      </c>
      <c r="F1197" s="32" t="s">
        <v>34</v>
      </c>
      <c r="G1197" s="32" t="s">
        <v>29</v>
      </c>
      <c r="H1197" s="41">
        <v>46103</v>
      </c>
      <c r="I1197" s="70">
        <v>116</v>
      </c>
      <c r="J1197" s="70">
        <v>680</v>
      </c>
      <c r="K1197" s="71">
        <v>0.15</v>
      </c>
      <c r="L1197" s="10" t="s">
        <v>30</v>
      </c>
      <c r="M1197" s="72">
        <v>78880</v>
      </c>
      <c r="N1197" s="72">
        <v>67048</v>
      </c>
      <c r="O1197" s="12" t="s">
        <v>265</v>
      </c>
    </row>
    <row r="1198" spans="1:15" x14ac:dyDescent="0.3">
      <c r="A1198" s="20" t="s">
        <v>962</v>
      </c>
      <c r="B1198" s="11" t="s">
        <v>44</v>
      </c>
      <c r="C1198" s="30" t="s">
        <v>254</v>
      </c>
      <c r="D1198" s="30" t="s">
        <v>39</v>
      </c>
      <c r="E1198" s="30" t="s">
        <v>40</v>
      </c>
      <c r="F1198" s="30" t="s">
        <v>34</v>
      </c>
      <c r="G1198" s="30" t="s">
        <v>29</v>
      </c>
      <c r="H1198" s="39">
        <v>46104</v>
      </c>
      <c r="I1198" s="64">
        <v>446</v>
      </c>
      <c r="J1198" s="64">
        <v>200</v>
      </c>
      <c r="K1198" s="65">
        <v>0.1</v>
      </c>
      <c r="L1198" s="11" t="s">
        <v>30</v>
      </c>
      <c r="M1198" s="66">
        <v>89200</v>
      </c>
      <c r="N1198" s="66">
        <v>80280</v>
      </c>
      <c r="O1198" s="13" t="s">
        <v>265</v>
      </c>
    </row>
    <row r="1199" spans="1:15" x14ac:dyDescent="0.3">
      <c r="A1199" s="20" t="s">
        <v>963</v>
      </c>
      <c r="B1199" s="10" t="s">
        <v>61</v>
      </c>
      <c r="C1199" s="32" t="s">
        <v>244</v>
      </c>
      <c r="D1199" s="32" t="s">
        <v>26</v>
      </c>
      <c r="E1199" s="32" t="s">
        <v>51</v>
      </c>
      <c r="F1199" s="32" t="s">
        <v>52</v>
      </c>
      <c r="G1199" s="32" t="s">
        <v>35</v>
      </c>
      <c r="H1199" s="41">
        <v>46104</v>
      </c>
      <c r="I1199" s="70">
        <v>248</v>
      </c>
      <c r="J1199" s="70">
        <v>280</v>
      </c>
      <c r="K1199" s="71">
        <v>7.0000000000000007E-2</v>
      </c>
      <c r="L1199" s="10" t="s">
        <v>36</v>
      </c>
      <c r="M1199" s="72">
        <v>69440</v>
      </c>
      <c r="N1199" s="72">
        <v>64579.199999999997</v>
      </c>
      <c r="O1199" s="12" t="s">
        <v>265</v>
      </c>
    </row>
    <row r="1200" spans="1:15" x14ac:dyDescent="0.3">
      <c r="A1200" s="20" t="s">
        <v>964</v>
      </c>
      <c r="B1200" s="11" t="s">
        <v>32</v>
      </c>
      <c r="C1200" s="30" t="s">
        <v>246</v>
      </c>
      <c r="D1200" s="30" t="s">
        <v>26</v>
      </c>
      <c r="E1200" s="30" t="s">
        <v>40</v>
      </c>
      <c r="F1200" s="30" t="s">
        <v>28</v>
      </c>
      <c r="G1200" s="30" t="s">
        <v>35</v>
      </c>
      <c r="H1200" s="39">
        <v>46105</v>
      </c>
      <c r="I1200" s="64">
        <v>222</v>
      </c>
      <c r="J1200" s="64">
        <v>420</v>
      </c>
      <c r="K1200" s="65">
        <v>0.12</v>
      </c>
      <c r="L1200" s="11" t="s">
        <v>36</v>
      </c>
      <c r="M1200" s="66">
        <v>93240</v>
      </c>
      <c r="N1200" s="66">
        <v>82051.199999999997</v>
      </c>
      <c r="O1200" s="13" t="s">
        <v>265</v>
      </c>
    </row>
    <row r="1201" spans="1:15" x14ac:dyDescent="0.3">
      <c r="A1201" s="20" t="s">
        <v>965</v>
      </c>
      <c r="B1201" s="10" t="s">
        <v>58</v>
      </c>
      <c r="C1201" s="32" t="s">
        <v>255</v>
      </c>
      <c r="D1201" s="32" t="s">
        <v>59</v>
      </c>
      <c r="E1201" s="32" t="s">
        <v>27</v>
      </c>
      <c r="F1201" s="32" t="s">
        <v>41</v>
      </c>
      <c r="G1201" s="32" t="s">
        <v>29</v>
      </c>
      <c r="H1201" s="41">
        <v>46105</v>
      </c>
      <c r="I1201" s="70">
        <v>181</v>
      </c>
      <c r="J1201" s="70">
        <v>2800</v>
      </c>
      <c r="K1201" s="71">
        <v>0.11</v>
      </c>
      <c r="L1201" s="10" t="s">
        <v>36</v>
      </c>
      <c r="M1201" s="72">
        <v>506800</v>
      </c>
      <c r="N1201" s="72">
        <v>451052</v>
      </c>
      <c r="O1201" s="12" t="s">
        <v>277</v>
      </c>
    </row>
    <row r="1202" spans="1:15" x14ac:dyDescent="0.3">
      <c r="A1202" s="20" t="s">
        <v>966</v>
      </c>
      <c r="B1202" s="11" t="s">
        <v>55</v>
      </c>
      <c r="C1202" s="30" t="s">
        <v>249</v>
      </c>
      <c r="D1202" s="30" t="s">
        <v>39</v>
      </c>
      <c r="E1202" s="30" t="s">
        <v>45</v>
      </c>
      <c r="F1202" s="30" t="s">
        <v>46</v>
      </c>
      <c r="G1202" s="30" t="s">
        <v>29</v>
      </c>
      <c r="H1202" s="39">
        <v>46105</v>
      </c>
      <c r="I1202" s="64">
        <v>163</v>
      </c>
      <c r="J1202" s="64">
        <v>650</v>
      </c>
      <c r="K1202" s="65">
        <v>0.15</v>
      </c>
      <c r="L1202" s="11" t="s">
        <v>36</v>
      </c>
      <c r="M1202" s="66">
        <v>105950</v>
      </c>
      <c r="N1202" s="66">
        <v>90057.5</v>
      </c>
      <c r="O1202" s="13" t="s">
        <v>265</v>
      </c>
    </row>
    <row r="1203" spans="1:15" x14ac:dyDescent="0.3">
      <c r="A1203" s="20" t="s">
        <v>967</v>
      </c>
      <c r="B1203" s="10" t="s">
        <v>38</v>
      </c>
      <c r="C1203" s="32" t="s">
        <v>247</v>
      </c>
      <c r="D1203" s="32" t="s">
        <v>39</v>
      </c>
      <c r="E1203" s="32" t="s">
        <v>27</v>
      </c>
      <c r="F1203" s="32" t="s">
        <v>46</v>
      </c>
      <c r="G1203" s="32" t="s">
        <v>42</v>
      </c>
      <c r="H1203" s="41">
        <v>46106</v>
      </c>
      <c r="I1203" s="70">
        <v>372</v>
      </c>
      <c r="J1203" s="70">
        <v>1200</v>
      </c>
      <c r="K1203" s="71">
        <v>0</v>
      </c>
      <c r="L1203" s="10" t="s">
        <v>36</v>
      </c>
      <c r="M1203" s="72">
        <v>446400</v>
      </c>
      <c r="N1203" s="72">
        <v>446400</v>
      </c>
      <c r="O1203" s="12" t="s">
        <v>277</v>
      </c>
    </row>
    <row r="1204" spans="1:15" x14ac:dyDescent="0.3">
      <c r="A1204" s="20" t="s">
        <v>968</v>
      </c>
      <c r="B1204" s="11" t="s">
        <v>38</v>
      </c>
      <c r="C1204" s="30" t="s">
        <v>247</v>
      </c>
      <c r="D1204" s="30" t="s">
        <v>39</v>
      </c>
      <c r="E1204" s="30" t="s">
        <v>40</v>
      </c>
      <c r="F1204" s="30" t="s">
        <v>28</v>
      </c>
      <c r="G1204" s="30" t="s">
        <v>56</v>
      </c>
      <c r="H1204" s="39">
        <v>46106</v>
      </c>
      <c r="I1204" s="64">
        <v>206</v>
      </c>
      <c r="J1204" s="64">
        <v>1200</v>
      </c>
      <c r="K1204" s="65">
        <v>0.1</v>
      </c>
      <c r="L1204" s="11" t="s">
        <v>36</v>
      </c>
      <c r="M1204" s="66">
        <v>247200</v>
      </c>
      <c r="N1204" s="66">
        <v>222480</v>
      </c>
      <c r="O1204" s="13" t="s">
        <v>267</v>
      </c>
    </row>
    <row r="1205" spans="1:15" x14ac:dyDescent="0.3">
      <c r="A1205" s="20" t="s">
        <v>969</v>
      </c>
      <c r="B1205" s="10" t="s">
        <v>58</v>
      </c>
      <c r="C1205" s="32" t="s">
        <v>255</v>
      </c>
      <c r="D1205" s="32" t="s">
        <v>59</v>
      </c>
      <c r="E1205" s="32" t="s">
        <v>33</v>
      </c>
      <c r="F1205" s="32" t="s">
        <v>46</v>
      </c>
      <c r="G1205" s="32" t="s">
        <v>47</v>
      </c>
      <c r="H1205" s="41">
        <v>46106</v>
      </c>
      <c r="I1205" s="70">
        <v>117</v>
      </c>
      <c r="J1205" s="70">
        <v>2800</v>
      </c>
      <c r="K1205" s="71">
        <v>0.13</v>
      </c>
      <c r="L1205" s="10" t="s">
        <v>36</v>
      </c>
      <c r="M1205" s="72">
        <v>327600</v>
      </c>
      <c r="N1205" s="72">
        <v>285012</v>
      </c>
      <c r="O1205" s="12" t="s">
        <v>267</v>
      </c>
    </row>
    <row r="1206" spans="1:15" x14ac:dyDescent="0.3">
      <c r="A1206" s="20" t="s">
        <v>970</v>
      </c>
      <c r="B1206" s="11" t="s">
        <v>63</v>
      </c>
      <c r="C1206" s="30" t="s">
        <v>253</v>
      </c>
      <c r="D1206" s="30" t="s">
        <v>50</v>
      </c>
      <c r="E1206" s="30" t="s">
        <v>45</v>
      </c>
      <c r="F1206" s="30" t="s">
        <v>46</v>
      </c>
      <c r="G1206" s="30" t="s">
        <v>29</v>
      </c>
      <c r="H1206" s="39">
        <v>46108</v>
      </c>
      <c r="I1206" s="64">
        <v>239</v>
      </c>
      <c r="J1206" s="64">
        <v>750</v>
      </c>
      <c r="K1206" s="65">
        <v>0.05</v>
      </c>
      <c r="L1206" s="11" t="s">
        <v>30</v>
      </c>
      <c r="M1206" s="66">
        <v>179250</v>
      </c>
      <c r="N1206" s="66">
        <v>170287.5</v>
      </c>
      <c r="O1206" s="13" t="s">
        <v>267</v>
      </c>
    </row>
    <row r="1207" spans="1:15" x14ac:dyDescent="0.3">
      <c r="A1207" s="20" t="s">
        <v>971</v>
      </c>
      <c r="B1207" s="10" t="s">
        <v>38</v>
      </c>
      <c r="C1207" s="32" t="s">
        <v>247</v>
      </c>
      <c r="D1207" s="32" t="s">
        <v>39</v>
      </c>
      <c r="E1207" s="32" t="s">
        <v>45</v>
      </c>
      <c r="F1207" s="32" t="s">
        <v>52</v>
      </c>
      <c r="G1207" s="32" t="s">
        <v>35</v>
      </c>
      <c r="H1207" s="41">
        <v>46108</v>
      </c>
      <c r="I1207" s="70">
        <v>86</v>
      </c>
      <c r="J1207" s="70">
        <v>1200</v>
      </c>
      <c r="K1207" s="71">
        <v>0</v>
      </c>
      <c r="L1207" s="10" t="s">
        <v>36</v>
      </c>
      <c r="M1207" s="72">
        <v>103200</v>
      </c>
      <c r="N1207" s="72">
        <v>103200</v>
      </c>
      <c r="O1207" s="12" t="s">
        <v>267</v>
      </c>
    </row>
    <row r="1208" spans="1:15" x14ac:dyDescent="0.3">
      <c r="A1208" s="20" t="s">
        <v>972</v>
      </c>
      <c r="B1208" s="11" t="s">
        <v>262</v>
      </c>
      <c r="C1208" s="30" t="s">
        <v>263</v>
      </c>
      <c r="D1208" s="30" t="s">
        <v>50</v>
      </c>
      <c r="E1208" s="30" t="s">
        <v>45</v>
      </c>
      <c r="F1208" s="30" t="s">
        <v>34</v>
      </c>
      <c r="G1208" s="30" t="s">
        <v>29</v>
      </c>
      <c r="H1208" s="39">
        <v>46108</v>
      </c>
      <c r="I1208" s="64">
        <v>256</v>
      </c>
      <c r="J1208" s="64">
        <v>820</v>
      </c>
      <c r="K1208" s="65">
        <v>0.13</v>
      </c>
      <c r="L1208" s="11" t="s">
        <v>30</v>
      </c>
      <c r="M1208" s="66">
        <v>209920</v>
      </c>
      <c r="N1208" s="66">
        <v>182630.39999999999</v>
      </c>
      <c r="O1208" s="13" t="s">
        <v>267</v>
      </c>
    </row>
    <row r="1209" spans="1:15" x14ac:dyDescent="0.3">
      <c r="A1209" s="20" t="s">
        <v>973</v>
      </c>
      <c r="B1209" s="10" t="s">
        <v>260</v>
      </c>
      <c r="C1209" s="32" t="s">
        <v>261</v>
      </c>
      <c r="D1209" s="32" t="s">
        <v>39</v>
      </c>
      <c r="E1209" s="32" t="s">
        <v>51</v>
      </c>
      <c r="F1209" s="32" t="s">
        <v>34</v>
      </c>
      <c r="G1209" s="32" t="s">
        <v>53</v>
      </c>
      <c r="H1209" s="41">
        <v>46110</v>
      </c>
      <c r="I1209" s="70">
        <v>251</v>
      </c>
      <c r="J1209" s="70">
        <v>450</v>
      </c>
      <c r="K1209" s="71">
        <v>0.11</v>
      </c>
      <c r="L1209" s="10" t="s">
        <v>36</v>
      </c>
      <c r="M1209" s="72">
        <v>112950</v>
      </c>
      <c r="N1209" s="72">
        <v>100525.5</v>
      </c>
      <c r="O1209" s="12" t="s">
        <v>267</v>
      </c>
    </row>
    <row r="1210" spans="1:15" x14ac:dyDescent="0.3">
      <c r="A1210" s="20" t="s">
        <v>974</v>
      </c>
      <c r="B1210" s="11" t="s">
        <v>58</v>
      </c>
      <c r="C1210" s="30" t="s">
        <v>255</v>
      </c>
      <c r="D1210" s="30" t="s">
        <v>59</v>
      </c>
      <c r="E1210" s="30" t="s">
        <v>51</v>
      </c>
      <c r="F1210" s="30" t="s">
        <v>28</v>
      </c>
      <c r="G1210" s="30" t="s">
        <v>56</v>
      </c>
      <c r="H1210" s="39">
        <v>46110</v>
      </c>
      <c r="I1210" s="64">
        <v>366</v>
      </c>
      <c r="J1210" s="64">
        <v>2800</v>
      </c>
      <c r="K1210" s="65">
        <v>0.12</v>
      </c>
      <c r="L1210" s="11" t="s">
        <v>36</v>
      </c>
      <c r="M1210" s="66">
        <v>1024800</v>
      </c>
      <c r="N1210" s="66">
        <v>901824</v>
      </c>
      <c r="O1210" s="13" t="s">
        <v>277</v>
      </c>
    </row>
    <row r="1211" spans="1:15" x14ac:dyDescent="0.3">
      <c r="A1211" s="20" t="s">
        <v>975</v>
      </c>
      <c r="B1211" s="10" t="s">
        <v>258</v>
      </c>
      <c r="C1211" s="32" t="s">
        <v>259</v>
      </c>
      <c r="D1211" s="32" t="s">
        <v>26</v>
      </c>
      <c r="E1211" s="32" t="s">
        <v>40</v>
      </c>
      <c r="F1211" s="32" t="s">
        <v>46</v>
      </c>
      <c r="G1211" s="32" t="s">
        <v>53</v>
      </c>
      <c r="H1211" s="41">
        <v>46110</v>
      </c>
      <c r="I1211" s="70">
        <v>341</v>
      </c>
      <c r="J1211" s="70">
        <v>680</v>
      </c>
      <c r="K1211" s="71">
        <v>0.12</v>
      </c>
      <c r="L1211" s="10" t="s">
        <v>36</v>
      </c>
      <c r="M1211" s="72">
        <v>231880</v>
      </c>
      <c r="N1211" s="72">
        <v>204054.39999999999</v>
      </c>
      <c r="O1211" s="12" t="s">
        <v>267</v>
      </c>
    </row>
    <row r="1212" spans="1:15" x14ac:dyDescent="0.3">
      <c r="A1212" s="20" t="s">
        <v>976</v>
      </c>
      <c r="B1212" s="11" t="s">
        <v>16</v>
      </c>
      <c r="C1212" s="30" t="s">
        <v>250</v>
      </c>
      <c r="D1212" s="30" t="s">
        <v>39</v>
      </c>
      <c r="E1212" s="30" t="s">
        <v>33</v>
      </c>
      <c r="F1212" s="30" t="s">
        <v>46</v>
      </c>
      <c r="G1212" s="30" t="s">
        <v>47</v>
      </c>
      <c r="H1212" s="39">
        <v>46114</v>
      </c>
      <c r="I1212" s="64">
        <v>118</v>
      </c>
      <c r="J1212" s="64">
        <v>990</v>
      </c>
      <c r="K1212" s="65">
        <v>0.13</v>
      </c>
      <c r="L1212" s="11" t="s">
        <v>36</v>
      </c>
      <c r="M1212" s="66">
        <v>116820</v>
      </c>
      <c r="N1212" s="66">
        <v>101633.4</v>
      </c>
      <c r="O1212" s="13" t="s">
        <v>267</v>
      </c>
    </row>
    <row r="1213" spans="1:15" x14ac:dyDescent="0.3">
      <c r="A1213" s="20" t="s">
        <v>977</v>
      </c>
      <c r="B1213" s="10" t="s">
        <v>16</v>
      </c>
      <c r="C1213" s="32" t="s">
        <v>250</v>
      </c>
      <c r="D1213" s="32" t="s">
        <v>39</v>
      </c>
      <c r="E1213" s="32" t="s">
        <v>33</v>
      </c>
      <c r="F1213" s="32" t="s">
        <v>46</v>
      </c>
      <c r="G1213" s="32" t="s">
        <v>47</v>
      </c>
      <c r="H1213" s="41">
        <v>46114</v>
      </c>
      <c r="I1213" s="70">
        <v>42</v>
      </c>
      <c r="J1213" s="70">
        <v>990</v>
      </c>
      <c r="K1213" s="71">
        <v>0.14000000000000001</v>
      </c>
      <c r="L1213" s="10" t="s">
        <v>30</v>
      </c>
      <c r="M1213" s="72">
        <v>41580</v>
      </c>
      <c r="N1213" s="72">
        <v>35758.800000000003</v>
      </c>
      <c r="O1213" s="12" t="s">
        <v>265</v>
      </c>
    </row>
    <row r="1214" spans="1:15" x14ac:dyDescent="0.3">
      <c r="A1214" s="20" t="s">
        <v>978</v>
      </c>
      <c r="B1214" s="11" t="s">
        <v>260</v>
      </c>
      <c r="C1214" s="30" t="s">
        <v>261</v>
      </c>
      <c r="D1214" s="30" t="s">
        <v>39</v>
      </c>
      <c r="E1214" s="30" t="s">
        <v>45</v>
      </c>
      <c r="F1214" s="30" t="s">
        <v>46</v>
      </c>
      <c r="G1214" s="30" t="s">
        <v>53</v>
      </c>
      <c r="H1214" s="39">
        <v>46114</v>
      </c>
      <c r="I1214" s="64">
        <v>373</v>
      </c>
      <c r="J1214" s="64">
        <v>450</v>
      </c>
      <c r="K1214" s="65">
        <v>0</v>
      </c>
      <c r="L1214" s="11" t="s">
        <v>30</v>
      </c>
      <c r="M1214" s="66">
        <v>167850</v>
      </c>
      <c r="N1214" s="66">
        <v>167850</v>
      </c>
      <c r="O1214" s="13" t="s">
        <v>267</v>
      </c>
    </row>
    <row r="1215" spans="1:15" x14ac:dyDescent="0.3">
      <c r="A1215" s="20" t="s">
        <v>979</v>
      </c>
      <c r="B1215" s="10" t="s">
        <v>258</v>
      </c>
      <c r="C1215" s="32" t="s">
        <v>259</v>
      </c>
      <c r="D1215" s="32" t="s">
        <v>26</v>
      </c>
      <c r="E1215" s="32" t="s">
        <v>45</v>
      </c>
      <c r="F1215" s="32" t="s">
        <v>46</v>
      </c>
      <c r="G1215" s="32" t="s">
        <v>53</v>
      </c>
      <c r="H1215" s="41">
        <v>46115</v>
      </c>
      <c r="I1215" s="70">
        <v>288</v>
      </c>
      <c r="J1215" s="70">
        <v>680</v>
      </c>
      <c r="K1215" s="71">
        <v>0.03</v>
      </c>
      <c r="L1215" s="10" t="s">
        <v>36</v>
      </c>
      <c r="M1215" s="72">
        <v>195840</v>
      </c>
      <c r="N1215" s="72">
        <v>189964.79999999999</v>
      </c>
      <c r="O1215" s="12" t="s">
        <v>267</v>
      </c>
    </row>
    <row r="1216" spans="1:15" x14ac:dyDescent="0.3">
      <c r="A1216" s="20" t="s">
        <v>980</v>
      </c>
      <c r="B1216" s="11" t="s">
        <v>63</v>
      </c>
      <c r="C1216" s="30" t="s">
        <v>253</v>
      </c>
      <c r="D1216" s="30" t="s">
        <v>50</v>
      </c>
      <c r="E1216" s="30" t="s">
        <v>51</v>
      </c>
      <c r="F1216" s="30" t="s">
        <v>46</v>
      </c>
      <c r="G1216" s="30" t="s">
        <v>53</v>
      </c>
      <c r="H1216" s="39">
        <v>46115</v>
      </c>
      <c r="I1216" s="64">
        <v>41</v>
      </c>
      <c r="J1216" s="64">
        <v>750</v>
      </c>
      <c r="K1216" s="65">
        <v>0</v>
      </c>
      <c r="L1216" s="11" t="s">
        <v>30</v>
      </c>
      <c r="M1216" s="66">
        <v>30750</v>
      </c>
      <c r="N1216" s="66">
        <v>30750</v>
      </c>
      <c r="O1216" s="13" t="s">
        <v>265</v>
      </c>
    </row>
    <row r="1217" spans="1:15" x14ac:dyDescent="0.3">
      <c r="A1217" s="20" t="s">
        <v>981</v>
      </c>
      <c r="B1217" s="10" t="s">
        <v>258</v>
      </c>
      <c r="C1217" s="32" t="s">
        <v>259</v>
      </c>
      <c r="D1217" s="32" t="s">
        <v>26</v>
      </c>
      <c r="E1217" s="32" t="s">
        <v>33</v>
      </c>
      <c r="F1217" s="32" t="s">
        <v>46</v>
      </c>
      <c r="G1217" s="32" t="s">
        <v>35</v>
      </c>
      <c r="H1217" s="41">
        <v>46115</v>
      </c>
      <c r="I1217" s="70">
        <v>427</v>
      </c>
      <c r="J1217" s="70">
        <v>680</v>
      </c>
      <c r="K1217" s="71">
        <v>0.12</v>
      </c>
      <c r="L1217" s="10" t="s">
        <v>36</v>
      </c>
      <c r="M1217" s="72">
        <v>290360</v>
      </c>
      <c r="N1217" s="72">
        <v>255516.79999999999</v>
      </c>
      <c r="O1217" s="12" t="s">
        <v>267</v>
      </c>
    </row>
    <row r="1218" spans="1:15" x14ac:dyDescent="0.3">
      <c r="A1218" s="20" t="s">
        <v>982</v>
      </c>
      <c r="B1218" s="11" t="s">
        <v>16</v>
      </c>
      <c r="C1218" s="30" t="s">
        <v>250</v>
      </c>
      <c r="D1218" s="30" t="s">
        <v>39</v>
      </c>
      <c r="E1218" s="30" t="s">
        <v>27</v>
      </c>
      <c r="F1218" s="30" t="s">
        <v>52</v>
      </c>
      <c r="G1218" s="30" t="s">
        <v>56</v>
      </c>
      <c r="H1218" s="39">
        <v>46116</v>
      </c>
      <c r="I1218" s="64">
        <v>338</v>
      </c>
      <c r="J1218" s="64">
        <v>990</v>
      </c>
      <c r="K1218" s="65">
        <v>0.11</v>
      </c>
      <c r="L1218" s="11" t="s">
        <v>36</v>
      </c>
      <c r="M1218" s="66">
        <v>334620</v>
      </c>
      <c r="N1218" s="66">
        <v>297811.8</v>
      </c>
      <c r="O1218" s="13" t="s">
        <v>267</v>
      </c>
    </row>
    <row r="1219" spans="1:15" x14ac:dyDescent="0.3">
      <c r="A1219" s="20" t="s">
        <v>983</v>
      </c>
      <c r="B1219" s="10" t="s">
        <v>58</v>
      </c>
      <c r="C1219" s="32" t="s">
        <v>255</v>
      </c>
      <c r="D1219" s="32" t="s">
        <v>59</v>
      </c>
      <c r="E1219" s="32" t="s">
        <v>40</v>
      </c>
      <c r="F1219" s="32" t="s">
        <v>34</v>
      </c>
      <c r="G1219" s="32" t="s">
        <v>29</v>
      </c>
      <c r="H1219" s="41">
        <v>46116</v>
      </c>
      <c r="I1219" s="70">
        <v>204</v>
      </c>
      <c r="J1219" s="70">
        <v>2800</v>
      </c>
      <c r="K1219" s="71">
        <v>0.12</v>
      </c>
      <c r="L1219" s="10" t="s">
        <v>30</v>
      </c>
      <c r="M1219" s="72">
        <v>571200</v>
      </c>
      <c r="N1219" s="72">
        <v>502656</v>
      </c>
      <c r="O1219" s="12" t="s">
        <v>277</v>
      </c>
    </row>
    <row r="1220" spans="1:15" x14ac:dyDescent="0.3">
      <c r="A1220" s="20" t="s">
        <v>984</v>
      </c>
      <c r="B1220" s="11" t="s">
        <v>258</v>
      </c>
      <c r="C1220" s="30" t="s">
        <v>259</v>
      </c>
      <c r="D1220" s="30" t="s">
        <v>26</v>
      </c>
      <c r="E1220" s="30" t="s">
        <v>27</v>
      </c>
      <c r="F1220" s="30" t="s">
        <v>46</v>
      </c>
      <c r="G1220" s="30" t="s">
        <v>42</v>
      </c>
      <c r="H1220" s="39">
        <v>46116</v>
      </c>
      <c r="I1220" s="64">
        <v>391</v>
      </c>
      <c r="J1220" s="64">
        <v>680</v>
      </c>
      <c r="K1220" s="65">
        <v>0.13</v>
      </c>
      <c r="L1220" s="11" t="s">
        <v>36</v>
      </c>
      <c r="M1220" s="66">
        <v>265880</v>
      </c>
      <c r="N1220" s="66">
        <v>231315.6</v>
      </c>
      <c r="O1220" s="13" t="s">
        <v>267</v>
      </c>
    </row>
    <row r="1221" spans="1:15" x14ac:dyDescent="0.3">
      <c r="A1221" s="20" t="s">
        <v>985</v>
      </c>
      <c r="B1221" s="10" t="s">
        <v>25</v>
      </c>
      <c r="C1221" s="32" t="s">
        <v>257</v>
      </c>
      <c r="D1221" s="32" t="s">
        <v>26</v>
      </c>
      <c r="E1221" s="32" t="s">
        <v>51</v>
      </c>
      <c r="F1221" s="32" t="s">
        <v>52</v>
      </c>
      <c r="G1221" s="32" t="s">
        <v>42</v>
      </c>
      <c r="H1221" s="41">
        <v>46117</v>
      </c>
      <c r="I1221" s="70">
        <v>97</v>
      </c>
      <c r="J1221" s="70">
        <v>350</v>
      </c>
      <c r="K1221" s="71">
        <v>0</v>
      </c>
      <c r="L1221" s="10" t="s">
        <v>30</v>
      </c>
      <c r="M1221" s="72">
        <v>33950</v>
      </c>
      <c r="N1221" s="72">
        <v>33950</v>
      </c>
      <c r="O1221" s="12" t="s">
        <v>265</v>
      </c>
    </row>
    <row r="1222" spans="1:15" x14ac:dyDescent="0.3">
      <c r="A1222" s="20" t="s">
        <v>986</v>
      </c>
      <c r="B1222" s="11" t="s">
        <v>258</v>
      </c>
      <c r="C1222" s="30" t="s">
        <v>259</v>
      </c>
      <c r="D1222" s="30" t="s">
        <v>26</v>
      </c>
      <c r="E1222" s="30" t="s">
        <v>40</v>
      </c>
      <c r="F1222" s="30" t="s">
        <v>52</v>
      </c>
      <c r="G1222" s="30" t="s">
        <v>56</v>
      </c>
      <c r="H1222" s="39">
        <v>46117</v>
      </c>
      <c r="I1222" s="64">
        <v>362</v>
      </c>
      <c r="J1222" s="64">
        <v>680</v>
      </c>
      <c r="K1222" s="65">
        <v>0.08</v>
      </c>
      <c r="L1222" s="11" t="s">
        <v>36</v>
      </c>
      <c r="M1222" s="66">
        <v>246160</v>
      </c>
      <c r="N1222" s="66">
        <v>226467.20000000001</v>
      </c>
      <c r="O1222" s="13" t="s">
        <v>267</v>
      </c>
    </row>
    <row r="1223" spans="1:15" x14ac:dyDescent="0.3">
      <c r="A1223" s="20" t="s">
        <v>987</v>
      </c>
      <c r="B1223" s="10" t="s">
        <v>32</v>
      </c>
      <c r="C1223" s="32" t="s">
        <v>246</v>
      </c>
      <c r="D1223" s="32" t="s">
        <v>26</v>
      </c>
      <c r="E1223" s="32" t="s">
        <v>51</v>
      </c>
      <c r="F1223" s="32" t="s">
        <v>41</v>
      </c>
      <c r="G1223" s="32" t="s">
        <v>56</v>
      </c>
      <c r="H1223" s="41">
        <v>46117</v>
      </c>
      <c r="I1223" s="70">
        <v>253</v>
      </c>
      <c r="J1223" s="70">
        <v>420</v>
      </c>
      <c r="K1223" s="71">
        <v>0.15</v>
      </c>
      <c r="L1223" s="10" t="s">
        <v>30</v>
      </c>
      <c r="M1223" s="72">
        <v>106260</v>
      </c>
      <c r="N1223" s="72">
        <v>90321</v>
      </c>
      <c r="O1223" s="12" t="s">
        <v>265</v>
      </c>
    </row>
    <row r="1224" spans="1:15" x14ac:dyDescent="0.3">
      <c r="A1224" s="20" t="s">
        <v>988</v>
      </c>
      <c r="B1224" s="11" t="s">
        <v>44</v>
      </c>
      <c r="C1224" s="30" t="s">
        <v>254</v>
      </c>
      <c r="D1224" s="30" t="s">
        <v>39</v>
      </c>
      <c r="E1224" s="30" t="s">
        <v>27</v>
      </c>
      <c r="F1224" s="30" t="s">
        <v>28</v>
      </c>
      <c r="G1224" s="30" t="s">
        <v>42</v>
      </c>
      <c r="H1224" s="39">
        <v>46118</v>
      </c>
      <c r="I1224" s="64">
        <v>419</v>
      </c>
      <c r="J1224" s="64">
        <v>200</v>
      </c>
      <c r="K1224" s="65">
        <v>0.03</v>
      </c>
      <c r="L1224" s="11" t="s">
        <v>36</v>
      </c>
      <c r="M1224" s="66">
        <v>83800</v>
      </c>
      <c r="N1224" s="66">
        <v>81286</v>
      </c>
      <c r="O1224" s="13" t="s">
        <v>265</v>
      </c>
    </row>
    <row r="1225" spans="1:15" x14ac:dyDescent="0.3">
      <c r="A1225" s="20" t="s">
        <v>989</v>
      </c>
      <c r="B1225" s="10" t="s">
        <v>38</v>
      </c>
      <c r="C1225" s="32" t="s">
        <v>247</v>
      </c>
      <c r="D1225" s="32" t="s">
        <v>39</v>
      </c>
      <c r="E1225" s="32" t="s">
        <v>51</v>
      </c>
      <c r="F1225" s="32" t="s">
        <v>34</v>
      </c>
      <c r="G1225" s="32" t="s">
        <v>35</v>
      </c>
      <c r="H1225" s="41">
        <v>46119</v>
      </c>
      <c r="I1225" s="70">
        <v>129</v>
      </c>
      <c r="J1225" s="70">
        <v>1200</v>
      </c>
      <c r="K1225" s="71">
        <v>0</v>
      </c>
      <c r="L1225" s="10" t="s">
        <v>30</v>
      </c>
      <c r="M1225" s="72">
        <v>154800</v>
      </c>
      <c r="N1225" s="72">
        <v>154800</v>
      </c>
      <c r="O1225" s="12" t="s">
        <v>267</v>
      </c>
    </row>
    <row r="1226" spans="1:15" x14ac:dyDescent="0.3">
      <c r="A1226" s="20" t="s">
        <v>990</v>
      </c>
      <c r="B1226" s="11" t="s">
        <v>262</v>
      </c>
      <c r="C1226" s="30" t="s">
        <v>263</v>
      </c>
      <c r="D1226" s="30" t="s">
        <v>50</v>
      </c>
      <c r="E1226" s="30" t="s">
        <v>51</v>
      </c>
      <c r="F1226" s="30" t="s">
        <v>34</v>
      </c>
      <c r="G1226" s="30" t="s">
        <v>35</v>
      </c>
      <c r="H1226" s="39">
        <v>46119</v>
      </c>
      <c r="I1226" s="64">
        <v>255</v>
      </c>
      <c r="J1226" s="64">
        <v>820</v>
      </c>
      <c r="K1226" s="65">
        <v>0.03</v>
      </c>
      <c r="L1226" s="11" t="s">
        <v>30</v>
      </c>
      <c r="M1226" s="66">
        <v>209100</v>
      </c>
      <c r="N1226" s="66">
        <v>202827</v>
      </c>
      <c r="O1226" s="13" t="s">
        <v>267</v>
      </c>
    </row>
    <row r="1227" spans="1:15" x14ac:dyDescent="0.3">
      <c r="A1227" s="20" t="s">
        <v>991</v>
      </c>
      <c r="B1227" s="10" t="s">
        <v>25</v>
      </c>
      <c r="C1227" s="32" t="s">
        <v>257</v>
      </c>
      <c r="D1227" s="32" t="s">
        <v>26</v>
      </c>
      <c r="E1227" s="32" t="s">
        <v>40</v>
      </c>
      <c r="F1227" s="32" t="s">
        <v>41</v>
      </c>
      <c r="G1227" s="32" t="s">
        <v>53</v>
      </c>
      <c r="H1227" s="41">
        <v>46119</v>
      </c>
      <c r="I1227" s="70">
        <v>411</v>
      </c>
      <c r="J1227" s="70">
        <v>350</v>
      </c>
      <c r="K1227" s="71">
        <v>0.05</v>
      </c>
      <c r="L1227" s="10" t="s">
        <v>30</v>
      </c>
      <c r="M1227" s="72">
        <v>143850</v>
      </c>
      <c r="N1227" s="72">
        <v>136657.5</v>
      </c>
      <c r="O1227" s="12" t="s">
        <v>267</v>
      </c>
    </row>
    <row r="1228" spans="1:15" x14ac:dyDescent="0.3">
      <c r="A1228" s="20" t="s">
        <v>992</v>
      </c>
      <c r="B1228" s="11" t="s">
        <v>63</v>
      </c>
      <c r="C1228" s="30" t="s">
        <v>253</v>
      </c>
      <c r="D1228" s="30" t="s">
        <v>50</v>
      </c>
      <c r="E1228" s="30" t="s">
        <v>27</v>
      </c>
      <c r="F1228" s="30" t="s">
        <v>46</v>
      </c>
      <c r="G1228" s="30" t="s">
        <v>35</v>
      </c>
      <c r="H1228" s="39">
        <v>46120</v>
      </c>
      <c r="I1228" s="64">
        <v>139</v>
      </c>
      <c r="J1228" s="64">
        <v>750</v>
      </c>
      <c r="K1228" s="65">
        <v>0</v>
      </c>
      <c r="L1228" s="11" t="s">
        <v>36</v>
      </c>
      <c r="M1228" s="66">
        <v>104250</v>
      </c>
      <c r="N1228" s="66">
        <v>104250</v>
      </c>
      <c r="O1228" s="13" t="s">
        <v>267</v>
      </c>
    </row>
    <row r="1229" spans="1:15" x14ac:dyDescent="0.3">
      <c r="A1229" s="20" t="s">
        <v>993</v>
      </c>
      <c r="B1229" s="10" t="s">
        <v>262</v>
      </c>
      <c r="C1229" s="32" t="s">
        <v>263</v>
      </c>
      <c r="D1229" s="32" t="s">
        <v>50</v>
      </c>
      <c r="E1229" s="32" t="s">
        <v>51</v>
      </c>
      <c r="F1229" s="32" t="s">
        <v>34</v>
      </c>
      <c r="G1229" s="32" t="s">
        <v>42</v>
      </c>
      <c r="H1229" s="41">
        <v>46120</v>
      </c>
      <c r="I1229" s="70">
        <v>257</v>
      </c>
      <c r="J1229" s="70">
        <v>820</v>
      </c>
      <c r="K1229" s="71">
        <v>0</v>
      </c>
      <c r="L1229" s="10" t="s">
        <v>30</v>
      </c>
      <c r="M1229" s="72">
        <v>210740</v>
      </c>
      <c r="N1229" s="72">
        <v>210740</v>
      </c>
      <c r="O1229" s="12" t="s">
        <v>267</v>
      </c>
    </row>
    <row r="1230" spans="1:15" x14ac:dyDescent="0.3">
      <c r="A1230" s="20" t="s">
        <v>994</v>
      </c>
      <c r="B1230" s="11" t="s">
        <v>44</v>
      </c>
      <c r="C1230" s="30" t="s">
        <v>254</v>
      </c>
      <c r="D1230" s="30" t="s">
        <v>39</v>
      </c>
      <c r="E1230" s="30" t="s">
        <v>45</v>
      </c>
      <c r="F1230" s="30" t="s">
        <v>46</v>
      </c>
      <c r="G1230" s="30" t="s">
        <v>35</v>
      </c>
      <c r="H1230" s="39">
        <v>46120</v>
      </c>
      <c r="I1230" s="64">
        <v>373</v>
      </c>
      <c r="J1230" s="64">
        <v>200</v>
      </c>
      <c r="K1230" s="65">
        <v>0.03</v>
      </c>
      <c r="L1230" s="11" t="s">
        <v>30</v>
      </c>
      <c r="M1230" s="66">
        <v>74600</v>
      </c>
      <c r="N1230" s="66">
        <v>72362</v>
      </c>
      <c r="O1230" s="13" t="s">
        <v>265</v>
      </c>
    </row>
    <row r="1231" spans="1:15" x14ac:dyDescent="0.3">
      <c r="A1231" s="20" t="s">
        <v>995</v>
      </c>
      <c r="B1231" s="10" t="s">
        <v>61</v>
      </c>
      <c r="C1231" s="32" t="s">
        <v>244</v>
      </c>
      <c r="D1231" s="32" t="s">
        <v>26</v>
      </c>
      <c r="E1231" s="32" t="s">
        <v>40</v>
      </c>
      <c r="F1231" s="32" t="s">
        <v>46</v>
      </c>
      <c r="G1231" s="32" t="s">
        <v>56</v>
      </c>
      <c r="H1231" s="41">
        <v>46122</v>
      </c>
      <c r="I1231" s="70">
        <v>474</v>
      </c>
      <c r="J1231" s="70">
        <v>280</v>
      </c>
      <c r="K1231" s="71">
        <v>0</v>
      </c>
      <c r="L1231" s="10" t="s">
        <v>30</v>
      </c>
      <c r="M1231" s="72">
        <v>132720</v>
      </c>
      <c r="N1231" s="72">
        <v>132720</v>
      </c>
      <c r="O1231" s="12" t="s">
        <v>267</v>
      </c>
    </row>
    <row r="1232" spans="1:15" x14ac:dyDescent="0.3">
      <c r="A1232" s="20" t="s">
        <v>996</v>
      </c>
      <c r="B1232" s="11" t="s">
        <v>61</v>
      </c>
      <c r="C1232" s="30" t="s">
        <v>244</v>
      </c>
      <c r="D1232" s="30" t="s">
        <v>26</v>
      </c>
      <c r="E1232" s="30" t="s">
        <v>27</v>
      </c>
      <c r="F1232" s="30" t="s">
        <v>52</v>
      </c>
      <c r="G1232" s="30" t="s">
        <v>29</v>
      </c>
      <c r="H1232" s="39">
        <v>46123</v>
      </c>
      <c r="I1232" s="64">
        <v>352</v>
      </c>
      <c r="J1232" s="64">
        <v>280</v>
      </c>
      <c r="K1232" s="65">
        <v>0.13</v>
      </c>
      <c r="L1232" s="11" t="s">
        <v>36</v>
      </c>
      <c r="M1232" s="66">
        <v>98560</v>
      </c>
      <c r="N1232" s="66">
        <v>85747.199999999997</v>
      </c>
      <c r="O1232" s="13" t="s">
        <v>265</v>
      </c>
    </row>
    <row r="1233" spans="1:15" x14ac:dyDescent="0.3">
      <c r="A1233" s="20" t="s">
        <v>997</v>
      </c>
      <c r="B1233" s="10" t="s">
        <v>58</v>
      </c>
      <c r="C1233" s="32" t="s">
        <v>255</v>
      </c>
      <c r="D1233" s="32" t="s">
        <v>59</v>
      </c>
      <c r="E1233" s="32" t="s">
        <v>33</v>
      </c>
      <c r="F1233" s="32" t="s">
        <v>46</v>
      </c>
      <c r="G1233" s="32" t="s">
        <v>47</v>
      </c>
      <c r="H1233" s="41">
        <v>46123</v>
      </c>
      <c r="I1233" s="70">
        <v>270</v>
      </c>
      <c r="J1233" s="70">
        <v>2800</v>
      </c>
      <c r="K1233" s="71">
        <v>0.08</v>
      </c>
      <c r="L1233" s="10" t="s">
        <v>36</v>
      </c>
      <c r="M1233" s="72">
        <v>756000</v>
      </c>
      <c r="N1233" s="72">
        <v>695520</v>
      </c>
      <c r="O1233" s="12" t="s">
        <v>277</v>
      </c>
    </row>
    <row r="1234" spans="1:15" x14ac:dyDescent="0.3">
      <c r="A1234" s="20" t="s">
        <v>998</v>
      </c>
      <c r="B1234" s="11" t="s">
        <v>260</v>
      </c>
      <c r="C1234" s="30" t="s">
        <v>261</v>
      </c>
      <c r="D1234" s="30" t="s">
        <v>39</v>
      </c>
      <c r="E1234" s="30" t="s">
        <v>40</v>
      </c>
      <c r="F1234" s="30" t="s">
        <v>52</v>
      </c>
      <c r="G1234" s="30" t="s">
        <v>35</v>
      </c>
      <c r="H1234" s="39">
        <v>46123</v>
      </c>
      <c r="I1234" s="64">
        <v>284</v>
      </c>
      <c r="J1234" s="64">
        <v>450</v>
      </c>
      <c r="K1234" s="65">
        <v>7.0000000000000007E-2</v>
      </c>
      <c r="L1234" s="11" t="s">
        <v>36</v>
      </c>
      <c r="M1234" s="66">
        <v>127800</v>
      </c>
      <c r="N1234" s="66">
        <v>118854</v>
      </c>
      <c r="O1234" s="13" t="s">
        <v>267</v>
      </c>
    </row>
    <row r="1235" spans="1:15" x14ac:dyDescent="0.3">
      <c r="A1235" s="20" t="s">
        <v>999</v>
      </c>
      <c r="B1235" s="10" t="s">
        <v>44</v>
      </c>
      <c r="C1235" s="32" t="s">
        <v>254</v>
      </c>
      <c r="D1235" s="32" t="s">
        <v>39</v>
      </c>
      <c r="E1235" s="32" t="s">
        <v>27</v>
      </c>
      <c r="F1235" s="32" t="s">
        <v>46</v>
      </c>
      <c r="G1235" s="32" t="s">
        <v>47</v>
      </c>
      <c r="H1235" s="41">
        <v>46124</v>
      </c>
      <c r="I1235" s="70">
        <v>492</v>
      </c>
      <c r="J1235" s="70">
        <v>200</v>
      </c>
      <c r="K1235" s="71">
        <v>0.11</v>
      </c>
      <c r="L1235" s="10" t="s">
        <v>36</v>
      </c>
      <c r="M1235" s="72">
        <v>98400</v>
      </c>
      <c r="N1235" s="72">
        <v>87576</v>
      </c>
      <c r="O1235" s="12" t="s">
        <v>265</v>
      </c>
    </row>
    <row r="1236" spans="1:15" x14ac:dyDescent="0.3">
      <c r="A1236" s="20" t="s">
        <v>1000</v>
      </c>
      <c r="B1236" s="11" t="s">
        <v>63</v>
      </c>
      <c r="C1236" s="30" t="s">
        <v>253</v>
      </c>
      <c r="D1236" s="30" t="s">
        <v>50</v>
      </c>
      <c r="E1236" s="30" t="s">
        <v>27</v>
      </c>
      <c r="F1236" s="30" t="s">
        <v>28</v>
      </c>
      <c r="G1236" s="30" t="s">
        <v>42</v>
      </c>
      <c r="H1236" s="39">
        <v>46124</v>
      </c>
      <c r="I1236" s="64">
        <v>40</v>
      </c>
      <c r="J1236" s="64">
        <v>750</v>
      </c>
      <c r="K1236" s="65">
        <v>0</v>
      </c>
      <c r="L1236" s="11" t="s">
        <v>36</v>
      </c>
      <c r="M1236" s="66">
        <v>30000</v>
      </c>
      <c r="N1236" s="66">
        <v>30000</v>
      </c>
      <c r="O1236" s="13" t="s">
        <v>265</v>
      </c>
    </row>
    <row r="1237" spans="1:15" x14ac:dyDescent="0.3">
      <c r="A1237" s="20" t="s">
        <v>1001</v>
      </c>
      <c r="B1237" s="10" t="s">
        <v>49</v>
      </c>
      <c r="C1237" s="32" t="s">
        <v>251</v>
      </c>
      <c r="D1237" s="32" t="s">
        <v>50</v>
      </c>
      <c r="E1237" s="32" t="s">
        <v>45</v>
      </c>
      <c r="F1237" s="32" t="s">
        <v>46</v>
      </c>
      <c r="G1237" s="32" t="s">
        <v>29</v>
      </c>
      <c r="H1237" s="41">
        <v>46124</v>
      </c>
      <c r="I1237" s="70">
        <v>393</v>
      </c>
      <c r="J1237" s="70">
        <v>895</v>
      </c>
      <c r="K1237" s="71">
        <v>0.12</v>
      </c>
      <c r="L1237" s="10" t="s">
        <v>30</v>
      </c>
      <c r="M1237" s="72">
        <v>351735</v>
      </c>
      <c r="N1237" s="72">
        <v>309526.8</v>
      </c>
      <c r="O1237" s="12" t="s">
        <v>267</v>
      </c>
    </row>
    <row r="1238" spans="1:15" x14ac:dyDescent="0.3">
      <c r="A1238" s="20" t="s">
        <v>1002</v>
      </c>
      <c r="B1238" s="11" t="s">
        <v>38</v>
      </c>
      <c r="C1238" s="30" t="s">
        <v>247</v>
      </c>
      <c r="D1238" s="30" t="s">
        <v>39</v>
      </c>
      <c r="E1238" s="30" t="s">
        <v>33</v>
      </c>
      <c r="F1238" s="30" t="s">
        <v>28</v>
      </c>
      <c r="G1238" s="30" t="s">
        <v>56</v>
      </c>
      <c r="H1238" s="39">
        <v>46125</v>
      </c>
      <c r="I1238" s="64">
        <v>253</v>
      </c>
      <c r="J1238" s="64">
        <v>1200</v>
      </c>
      <c r="K1238" s="65">
        <v>0.03</v>
      </c>
      <c r="L1238" s="11" t="s">
        <v>30</v>
      </c>
      <c r="M1238" s="66">
        <v>303600</v>
      </c>
      <c r="N1238" s="66">
        <v>294492</v>
      </c>
      <c r="O1238" s="13" t="s">
        <v>267</v>
      </c>
    </row>
    <row r="1239" spans="1:15" x14ac:dyDescent="0.3">
      <c r="A1239" s="20" t="s">
        <v>1003</v>
      </c>
      <c r="B1239" s="10" t="s">
        <v>58</v>
      </c>
      <c r="C1239" s="32" t="s">
        <v>255</v>
      </c>
      <c r="D1239" s="32" t="s">
        <v>59</v>
      </c>
      <c r="E1239" s="32" t="s">
        <v>40</v>
      </c>
      <c r="F1239" s="32" t="s">
        <v>28</v>
      </c>
      <c r="G1239" s="32" t="s">
        <v>29</v>
      </c>
      <c r="H1239" s="41">
        <v>46126</v>
      </c>
      <c r="I1239" s="70">
        <v>227</v>
      </c>
      <c r="J1239" s="70">
        <v>2800</v>
      </c>
      <c r="K1239" s="71">
        <v>0.15</v>
      </c>
      <c r="L1239" s="10" t="s">
        <v>36</v>
      </c>
      <c r="M1239" s="72">
        <v>635600</v>
      </c>
      <c r="N1239" s="72">
        <v>540260</v>
      </c>
      <c r="O1239" s="12" t="s">
        <v>277</v>
      </c>
    </row>
    <row r="1240" spans="1:15" x14ac:dyDescent="0.3">
      <c r="A1240" s="20" t="s">
        <v>1004</v>
      </c>
      <c r="B1240" s="11" t="s">
        <v>58</v>
      </c>
      <c r="C1240" s="30" t="s">
        <v>255</v>
      </c>
      <c r="D1240" s="30" t="s">
        <v>59</v>
      </c>
      <c r="E1240" s="30" t="s">
        <v>33</v>
      </c>
      <c r="F1240" s="30" t="s">
        <v>28</v>
      </c>
      <c r="G1240" s="30" t="s">
        <v>53</v>
      </c>
      <c r="H1240" s="39">
        <v>46126</v>
      </c>
      <c r="I1240" s="64">
        <v>212</v>
      </c>
      <c r="J1240" s="64">
        <v>2800</v>
      </c>
      <c r="K1240" s="65">
        <v>0.08</v>
      </c>
      <c r="L1240" s="11" t="s">
        <v>36</v>
      </c>
      <c r="M1240" s="66">
        <v>593600</v>
      </c>
      <c r="N1240" s="66">
        <v>546112</v>
      </c>
      <c r="O1240" s="13" t="s">
        <v>277</v>
      </c>
    </row>
    <row r="1241" spans="1:15" x14ac:dyDescent="0.3">
      <c r="A1241" s="20" t="s">
        <v>1005</v>
      </c>
      <c r="B1241" s="10" t="s">
        <v>25</v>
      </c>
      <c r="C1241" s="32" t="s">
        <v>257</v>
      </c>
      <c r="D1241" s="32" t="s">
        <v>26</v>
      </c>
      <c r="E1241" s="32" t="s">
        <v>51</v>
      </c>
      <c r="F1241" s="32" t="s">
        <v>52</v>
      </c>
      <c r="G1241" s="32" t="s">
        <v>56</v>
      </c>
      <c r="H1241" s="41">
        <v>46126</v>
      </c>
      <c r="I1241" s="70">
        <v>331</v>
      </c>
      <c r="J1241" s="70">
        <v>350</v>
      </c>
      <c r="K1241" s="71">
        <v>0.08</v>
      </c>
      <c r="L1241" s="10" t="s">
        <v>36</v>
      </c>
      <c r="M1241" s="72">
        <v>115850</v>
      </c>
      <c r="N1241" s="72">
        <v>106582</v>
      </c>
      <c r="O1241" s="12" t="s">
        <v>267</v>
      </c>
    </row>
    <row r="1242" spans="1:15" x14ac:dyDescent="0.3">
      <c r="A1242" s="20" t="s">
        <v>1006</v>
      </c>
      <c r="B1242" s="11" t="s">
        <v>49</v>
      </c>
      <c r="C1242" s="30" t="s">
        <v>251</v>
      </c>
      <c r="D1242" s="30" t="s">
        <v>50</v>
      </c>
      <c r="E1242" s="30" t="s">
        <v>27</v>
      </c>
      <c r="F1242" s="30" t="s">
        <v>34</v>
      </c>
      <c r="G1242" s="30" t="s">
        <v>42</v>
      </c>
      <c r="H1242" s="39">
        <v>46127</v>
      </c>
      <c r="I1242" s="64">
        <v>277</v>
      </c>
      <c r="J1242" s="64">
        <v>895</v>
      </c>
      <c r="K1242" s="65">
        <v>7.0000000000000007E-2</v>
      </c>
      <c r="L1242" s="11" t="s">
        <v>30</v>
      </c>
      <c r="M1242" s="66">
        <v>247915</v>
      </c>
      <c r="N1242" s="66">
        <v>230560.95</v>
      </c>
      <c r="O1242" s="13" t="s">
        <v>267</v>
      </c>
    </row>
    <row r="1243" spans="1:15" x14ac:dyDescent="0.3">
      <c r="A1243" s="20" t="s">
        <v>1007</v>
      </c>
      <c r="B1243" s="10" t="s">
        <v>63</v>
      </c>
      <c r="C1243" s="32" t="s">
        <v>253</v>
      </c>
      <c r="D1243" s="32" t="s">
        <v>50</v>
      </c>
      <c r="E1243" s="32" t="s">
        <v>33</v>
      </c>
      <c r="F1243" s="32" t="s">
        <v>52</v>
      </c>
      <c r="G1243" s="32" t="s">
        <v>56</v>
      </c>
      <c r="H1243" s="41">
        <v>46127</v>
      </c>
      <c r="I1243" s="70">
        <v>263</v>
      </c>
      <c r="J1243" s="70">
        <v>750</v>
      </c>
      <c r="K1243" s="71">
        <v>7.0000000000000007E-2</v>
      </c>
      <c r="L1243" s="10" t="s">
        <v>36</v>
      </c>
      <c r="M1243" s="72">
        <v>197250</v>
      </c>
      <c r="N1243" s="72">
        <v>183442.5</v>
      </c>
      <c r="O1243" s="12" t="s">
        <v>267</v>
      </c>
    </row>
    <row r="1244" spans="1:15" x14ac:dyDescent="0.3">
      <c r="A1244" s="20" t="s">
        <v>1008</v>
      </c>
      <c r="B1244" s="11" t="s">
        <v>32</v>
      </c>
      <c r="C1244" s="30" t="s">
        <v>246</v>
      </c>
      <c r="D1244" s="30" t="s">
        <v>26</v>
      </c>
      <c r="E1244" s="30" t="s">
        <v>33</v>
      </c>
      <c r="F1244" s="30" t="s">
        <v>46</v>
      </c>
      <c r="G1244" s="30" t="s">
        <v>47</v>
      </c>
      <c r="H1244" s="39">
        <v>46128</v>
      </c>
      <c r="I1244" s="64">
        <v>93</v>
      </c>
      <c r="J1244" s="64">
        <v>420</v>
      </c>
      <c r="K1244" s="65">
        <v>0.13</v>
      </c>
      <c r="L1244" s="11" t="s">
        <v>36</v>
      </c>
      <c r="M1244" s="66">
        <v>39060</v>
      </c>
      <c r="N1244" s="66">
        <v>33982.199999999997</v>
      </c>
      <c r="O1244" s="13" t="s">
        <v>265</v>
      </c>
    </row>
    <row r="1245" spans="1:15" x14ac:dyDescent="0.3">
      <c r="A1245" s="20" t="s">
        <v>1009</v>
      </c>
      <c r="B1245" s="10" t="s">
        <v>32</v>
      </c>
      <c r="C1245" s="32" t="s">
        <v>246</v>
      </c>
      <c r="D1245" s="32" t="s">
        <v>26</v>
      </c>
      <c r="E1245" s="32" t="s">
        <v>40</v>
      </c>
      <c r="F1245" s="32" t="s">
        <v>28</v>
      </c>
      <c r="G1245" s="32" t="s">
        <v>35</v>
      </c>
      <c r="H1245" s="41">
        <v>46129</v>
      </c>
      <c r="I1245" s="70">
        <v>156</v>
      </c>
      <c r="J1245" s="70">
        <v>420</v>
      </c>
      <c r="K1245" s="71">
        <v>0</v>
      </c>
      <c r="L1245" s="10" t="s">
        <v>36</v>
      </c>
      <c r="M1245" s="72">
        <v>65520</v>
      </c>
      <c r="N1245" s="72">
        <v>65520</v>
      </c>
      <c r="O1245" s="12" t="s">
        <v>265</v>
      </c>
    </row>
    <row r="1246" spans="1:15" x14ac:dyDescent="0.3">
      <c r="A1246" s="20" t="s">
        <v>1010</v>
      </c>
      <c r="B1246" s="11" t="s">
        <v>16</v>
      </c>
      <c r="C1246" s="30" t="s">
        <v>250</v>
      </c>
      <c r="D1246" s="30" t="s">
        <v>39</v>
      </c>
      <c r="E1246" s="30" t="s">
        <v>33</v>
      </c>
      <c r="F1246" s="30" t="s">
        <v>46</v>
      </c>
      <c r="G1246" s="30" t="s">
        <v>42</v>
      </c>
      <c r="H1246" s="39">
        <v>46129</v>
      </c>
      <c r="I1246" s="64">
        <v>213</v>
      </c>
      <c r="J1246" s="64">
        <v>990</v>
      </c>
      <c r="K1246" s="65">
        <v>0</v>
      </c>
      <c r="L1246" s="11" t="s">
        <v>30</v>
      </c>
      <c r="M1246" s="66">
        <v>210870</v>
      </c>
      <c r="N1246" s="66">
        <v>210870</v>
      </c>
      <c r="O1246" s="13" t="s">
        <v>267</v>
      </c>
    </row>
    <row r="1247" spans="1:15" x14ac:dyDescent="0.3">
      <c r="A1247" s="20" t="s">
        <v>1011</v>
      </c>
      <c r="B1247" s="10" t="s">
        <v>44</v>
      </c>
      <c r="C1247" s="32" t="s">
        <v>254</v>
      </c>
      <c r="D1247" s="32" t="s">
        <v>39</v>
      </c>
      <c r="E1247" s="32" t="s">
        <v>27</v>
      </c>
      <c r="F1247" s="32" t="s">
        <v>28</v>
      </c>
      <c r="G1247" s="32" t="s">
        <v>56</v>
      </c>
      <c r="H1247" s="41">
        <v>46130</v>
      </c>
      <c r="I1247" s="70">
        <v>95</v>
      </c>
      <c r="J1247" s="70">
        <v>200</v>
      </c>
      <c r="K1247" s="71">
        <v>0</v>
      </c>
      <c r="L1247" s="10" t="s">
        <v>36</v>
      </c>
      <c r="M1247" s="72">
        <v>19000</v>
      </c>
      <c r="N1247" s="72">
        <v>19000</v>
      </c>
      <c r="O1247" s="12" t="s">
        <v>265</v>
      </c>
    </row>
    <row r="1248" spans="1:15" x14ac:dyDescent="0.3">
      <c r="A1248" s="20" t="s">
        <v>1012</v>
      </c>
      <c r="B1248" s="11" t="s">
        <v>25</v>
      </c>
      <c r="C1248" s="30" t="s">
        <v>257</v>
      </c>
      <c r="D1248" s="30" t="s">
        <v>26</v>
      </c>
      <c r="E1248" s="30" t="s">
        <v>45</v>
      </c>
      <c r="F1248" s="30" t="s">
        <v>41</v>
      </c>
      <c r="G1248" s="30" t="s">
        <v>42</v>
      </c>
      <c r="H1248" s="39">
        <v>46130</v>
      </c>
      <c r="I1248" s="64">
        <v>252</v>
      </c>
      <c r="J1248" s="64">
        <v>350</v>
      </c>
      <c r="K1248" s="65">
        <v>7.0000000000000007E-2</v>
      </c>
      <c r="L1248" s="11" t="s">
        <v>30</v>
      </c>
      <c r="M1248" s="66">
        <v>88200</v>
      </c>
      <c r="N1248" s="66">
        <v>82026</v>
      </c>
      <c r="O1248" s="13" t="s">
        <v>265</v>
      </c>
    </row>
    <row r="1249" spans="1:15" x14ac:dyDescent="0.3">
      <c r="A1249" s="20" t="s">
        <v>1013</v>
      </c>
      <c r="B1249" s="10" t="s">
        <v>55</v>
      </c>
      <c r="C1249" s="32" t="s">
        <v>249</v>
      </c>
      <c r="D1249" s="32" t="s">
        <v>39</v>
      </c>
      <c r="E1249" s="32" t="s">
        <v>45</v>
      </c>
      <c r="F1249" s="32" t="s">
        <v>41</v>
      </c>
      <c r="G1249" s="32" t="s">
        <v>42</v>
      </c>
      <c r="H1249" s="41">
        <v>46130</v>
      </c>
      <c r="I1249" s="70">
        <v>287</v>
      </c>
      <c r="J1249" s="70">
        <v>650</v>
      </c>
      <c r="K1249" s="71">
        <v>0.11</v>
      </c>
      <c r="L1249" s="10" t="s">
        <v>30</v>
      </c>
      <c r="M1249" s="72">
        <v>186550</v>
      </c>
      <c r="N1249" s="72">
        <v>166029.5</v>
      </c>
      <c r="O1249" s="12" t="s">
        <v>267</v>
      </c>
    </row>
    <row r="1250" spans="1:15" x14ac:dyDescent="0.3">
      <c r="A1250" s="20" t="s">
        <v>1014</v>
      </c>
      <c r="B1250" s="11" t="s">
        <v>61</v>
      </c>
      <c r="C1250" s="30" t="s">
        <v>244</v>
      </c>
      <c r="D1250" s="30" t="s">
        <v>26</v>
      </c>
      <c r="E1250" s="30" t="s">
        <v>40</v>
      </c>
      <c r="F1250" s="30" t="s">
        <v>46</v>
      </c>
      <c r="G1250" s="30" t="s">
        <v>53</v>
      </c>
      <c r="H1250" s="39">
        <v>46131</v>
      </c>
      <c r="I1250" s="64">
        <v>401</v>
      </c>
      <c r="J1250" s="64">
        <v>280</v>
      </c>
      <c r="K1250" s="65">
        <v>0</v>
      </c>
      <c r="L1250" s="11" t="s">
        <v>30</v>
      </c>
      <c r="M1250" s="66">
        <v>112280</v>
      </c>
      <c r="N1250" s="66">
        <v>112280</v>
      </c>
      <c r="O1250" s="13" t="s">
        <v>267</v>
      </c>
    </row>
    <row r="1251" spans="1:15" x14ac:dyDescent="0.3">
      <c r="A1251" s="20" t="s">
        <v>1015</v>
      </c>
      <c r="B1251" s="10" t="s">
        <v>32</v>
      </c>
      <c r="C1251" s="32" t="s">
        <v>246</v>
      </c>
      <c r="D1251" s="32" t="s">
        <v>26</v>
      </c>
      <c r="E1251" s="32" t="s">
        <v>40</v>
      </c>
      <c r="F1251" s="32" t="s">
        <v>28</v>
      </c>
      <c r="G1251" s="32" t="s">
        <v>53</v>
      </c>
      <c r="H1251" s="41">
        <v>46131</v>
      </c>
      <c r="I1251" s="70">
        <v>213</v>
      </c>
      <c r="J1251" s="70">
        <v>420</v>
      </c>
      <c r="K1251" s="71">
        <v>0</v>
      </c>
      <c r="L1251" s="10" t="s">
        <v>30</v>
      </c>
      <c r="M1251" s="72">
        <v>89460</v>
      </c>
      <c r="N1251" s="72">
        <v>89460</v>
      </c>
      <c r="O1251" s="12" t="s">
        <v>265</v>
      </c>
    </row>
    <row r="1252" spans="1:15" x14ac:dyDescent="0.3">
      <c r="A1252" s="20" t="s">
        <v>1016</v>
      </c>
      <c r="B1252" s="11" t="s">
        <v>61</v>
      </c>
      <c r="C1252" s="30" t="s">
        <v>244</v>
      </c>
      <c r="D1252" s="30" t="s">
        <v>26</v>
      </c>
      <c r="E1252" s="30" t="s">
        <v>27</v>
      </c>
      <c r="F1252" s="30" t="s">
        <v>41</v>
      </c>
      <c r="G1252" s="30" t="s">
        <v>56</v>
      </c>
      <c r="H1252" s="39">
        <v>46131</v>
      </c>
      <c r="I1252" s="64">
        <v>170</v>
      </c>
      <c r="J1252" s="64">
        <v>280</v>
      </c>
      <c r="K1252" s="65">
        <v>0</v>
      </c>
      <c r="L1252" s="11" t="s">
        <v>36</v>
      </c>
      <c r="M1252" s="66">
        <v>47600</v>
      </c>
      <c r="N1252" s="66">
        <v>47600</v>
      </c>
      <c r="O1252" s="13" t="s">
        <v>265</v>
      </c>
    </row>
    <row r="1253" spans="1:15" x14ac:dyDescent="0.3">
      <c r="A1253" s="20" t="s">
        <v>1017</v>
      </c>
      <c r="B1253" s="10" t="s">
        <v>262</v>
      </c>
      <c r="C1253" s="32" t="s">
        <v>263</v>
      </c>
      <c r="D1253" s="32" t="s">
        <v>50</v>
      </c>
      <c r="E1253" s="32" t="s">
        <v>33</v>
      </c>
      <c r="F1253" s="32" t="s">
        <v>46</v>
      </c>
      <c r="G1253" s="32" t="s">
        <v>56</v>
      </c>
      <c r="H1253" s="41">
        <v>46133</v>
      </c>
      <c r="I1253" s="70">
        <v>182</v>
      </c>
      <c r="J1253" s="70">
        <v>820</v>
      </c>
      <c r="K1253" s="71">
        <v>0.13</v>
      </c>
      <c r="L1253" s="10" t="s">
        <v>30</v>
      </c>
      <c r="M1253" s="72">
        <v>149240</v>
      </c>
      <c r="N1253" s="72">
        <v>129838.8</v>
      </c>
      <c r="O1253" s="12" t="s">
        <v>267</v>
      </c>
    </row>
    <row r="1254" spans="1:15" x14ac:dyDescent="0.3">
      <c r="A1254" s="20" t="s">
        <v>1018</v>
      </c>
      <c r="B1254" s="11" t="s">
        <v>32</v>
      </c>
      <c r="C1254" s="30" t="s">
        <v>246</v>
      </c>
      <c r="D1254" s="30" t="s">
        <v>26</v>
      </c>
      <c r="E1254" s="30" t="s">
        <v>33</v>
      </c>
      <c r="F1254" s="30" t="s">
        <v>34</v>
      </c>
      <c r="G1254" s="30" t="s">
        <v>47</v>
      </c>
      <c r="H1254" s="39">
        <v>46133</v>
      </c>
      <c r="I1254" s="64">
        <v>347</v>
      </c>
      <c r="J1254" s="64">
        <v>420</v>
      </c>
      <c r="K1254" s="65">
        <v>0.08</v>
      </c>
      <c r="L1254" s="11" t="s">
        <v>36</v>
      </c>
      <c r="M1254" s="66">
        <v>145740</v>
      </c>
      <c r="N1254" s="66">
        <v>134080.79999999999</v>
      </c>
      <c r="O1254" s="13" t="s">
        <v>267</v>
      </c>
    </row>
    <row r="1255" spans="1:15" x14ac:dyDescent="0.3">
      <c r="A1255" s="20" t="s">
        <v>1019</v>
      </c>
      <c r="B1255" s="10" t="s">
        <v>44</v>
      </c>
      <c r="C1255" s="32" t="s">
        <v>254</v>
      </c>
      <c r="D1255" s="32" t="s">
        <v>39</v>
      </c>
      <c r="E1255" s="32" t="s">
        <v>40</v>
      </c>
      <c r="F1255" s="32" t="s">
        <v>52</v>
      </c>
      <c r="G1255" s="32" t="s">
        <v>53</v>
      </c>
      <c r="H1255" s="41">
        <v>46133</v>
      </c>
      <c r="I1255" s="70">
        <v>232</v>
      </c>
      <c r="J1255" s="70">
        <v>200</v>
      </c>
      <c r="K1255" s="71">
        <v>0</v>
      </c>
      <c r="L1255" s="10" t="s">
        <v>36</v>
      </c>
      <c r="M1255" s="72">
        <v>46400</v>
      </c>
      <c r="N1255" s="72">
        <v>46400</v>
      </c>
      <c r="O1255" s="12" t="s">
        <v>265</v>
      </c>
    </row>
    <row r="1256" spans="1:15" x14ac:dyDescent="0.3">
      <c r="A1256" s="20" t="s">
        <v>1020</v>
      </c>
      <c r="B1256" s="11" t="s">
        <v>63</v>
      </c>
      <c r="C1256" s="30" t="s">
        <v>253</v>
      </c>
      <c r="D1256" s="30" t="s">
        <v>50</v>
      </c>
      <c r="E1256" s="30" t="s">
        <v>51</v>
      </c>
      <c r="F1256" s="30" t="s">
        <v>41</v>
      </c>
      <c r="G1256" s="30" t="s">
        <v>35</v>
      </c>
      <c r="H1256" s="39">
        <v>46134</v>
      </c>
      <c r="I1256" s="64">
        <v>41</v>
      </c>
      <c r="J1256" s="64">
        <v>750</v>
      </c>
      <c r="K1256" s="65">
        <v>0</v>
      </c>
      <c r="L1256" s="11" t="s">
        <v>30</v>
      </c>
      <c r="M1256" s="66">
        <v>30750</v>
      </c>
      <c r="N1256" s="66">
        <v>30750</v>
      </c>
      <c r="O1256" s="13" t="s">
        <v>265</v>
      </c>
    </row>
    <row r="1257" spans="1:15" x14ac:dyDescent="0.3">
      <c r="A1257" s="20" t="s">
        <v>1021</v>
      </c>
      <c r="B1257" s="10" t="s">
        <v>49</v>
      </c>
      <c r="C1257" s="32" t="s">
        <v>251</v>
      </c>
      <c r="D1257" s="32" t="s">
        <v>50</v>
      </c>
      <c r="E1257" s="32" t="s">
        <v>33</v>
      </c>
      <c r="F1257" s="32" t="s">
        <v>41</v>
      </c>
      <c r="G1257" s="32" t="s">
        <v>42</v>
      </c>
      <c r="H1257" s="41">
        <v>46134</v>
      </c>
      <c r="I1257" s="70">
        <v>320</v>
      </c>
      <c r="J1257" s="70">
        <v>895</v>
      </c>
      <c r="K1257" s="71">
        <v>0.08</v>
      </c>
      <c r="L1257" s="10" t="s">
        <v>36</v>
      </c>
      <c r="M1257" s="72">
        <v>286400</v>
      </c>
      <c r="N1257" s="72">
        <v>263488</v>
      </c>
      <c r="O1257" s="12" t="s">
        <v>267</v>
      </c>
    </row>
    <row r="1258" spans="1:15" x14ac:dyDescent="0.3">
      <c r="A1258" s="20" t="s">
        <v>1022</v>
      </c>
      <c r="B1258" s="11" t="s">
        <v>63</v>
      </c>
      <c r="C1258" s="30" t="s">
        <v>253</v>
      </c>
      <c r="D1258" s="30" t="s">
        <v>50</v>
      </c>
      <c r="E1258" s="30" t="s">
        <v>40</v>
      </c>
      <c r="F1258" s="30" t="s">
        <v>34</v>
      </c>
      <c r="G1258" s="30" t="s">
        <v>56</v>
      </c>
      <c r="H1258" s="39">
        <v>46136</v>
      </c>
      <c r="I1258" s="64">
        <v>43</v>
      </c>
      <c r="J1258" s="64">
        <v>750</v>
      </c>
      <c r="K1258" s="65">
        <v>0.05</v>
      </c>
      <c r="L1258" s="11" t="s">
        <v>36</v>
      </c>
      <c r="M1258" s="66">
        <v>32250</v>
      </c>
      <c r="N1258" s="66">
        <v>30637.5</v>
      </c>
      <c r="O1258" s="13" t="s">
        <v>265</v>
      </c>
    </row>
    <row r="1259" spans="1:15" x14ac:dyDescent="0.3">
      <c r="A1259" s="20" t="s">
        <v>1023</v>
      </c>
      <c r="B1259" s="10" t="s">
        <v>260</v>
      </c>
      <c r="C1259" s="32" t="s">
        <v>261</v>
      </c>
      <c r="D1259" s="32" t="s">
        <v>39</v>
      </c>
      <c r="E1259" s="32" t="s">
        <v>27</v>
      </c>
      <c r="F1259" s="32" t="s">
        <v>28</v>
      </c>
      <c r="G1259" s="32" t="s">
        <v>53</v>
      </c>
      <c r="H1259" s="41">
        <v>46136</v>
      </c>
      <c r="I1259" s="70">
        <v>88</v>
      </c>
      <c r="J1259" s="70">
        <v>450</v>
      </c>
      <c r="K1259" s="71">
        <v>0.03</v>
      </c>
      <c r="L1259" s="10" t="s">
        <v>36</v>
      </c>
      <c r="M1259" s="72">
        <v>39600</v>
      </c>
      <c r="N1259" s="72">
        <v>38412</v>
      </c>
      <c r="O1259" s="12" t="s">
        <v>265</v>
      </c>
    </row>
    <row r="1260" spans="1:15" x14ac:dyDescent="0.3">
      <c r="A1260" s="20" t="s">
        <v>1024</v>
      </c>
      <c r="B1260" s="11" t="s">
        <v>262</v>
      </c>
      <c r="C1260" s="30" t="s">
        <v>263</v>
      </c>
      <c r="D1260" s="30" t="s">
        <v>50</v>
      </c>
      <c r="E1260" s="30" t="s">
        <v>40</v>
      </c>
      <c r="F1260" s="30" t="s">
        <v>41</v>
      </c>
      <c r="G1260" s="30" t="s">
        <v>47</v>
      </c>
      <c r="H1260" s="39">
        <v>46137</v>
      </c>
      <c r="I1260" s="64">
        <v>263</v>
      </c>
      <c r="J1260" s="64">
        <v>820</v>
      </c>
      <c r="K1260" s="65">
        <v>7.0000000000000007E-2</v>
      </c>
      <c r="L1260" s="11" t="s">
        <v>36</v>
      </c>
      <c r="M1260" s="66">
        <v>215660</v>
      </c>
      <c r="N1260" s="66">
        <v>200563.8</v>
      </c>
      <c r="O1260" s="13" t="s">
        <v>267</v>
      </c>
    </row>
    <row r="1261" spans="1:15" x14ac:dyDescent="0.3">
      <c r="A1261" s="20" t="s">
        <v>1025</v>
      </c>
      <c r="B1261" s="10" t="s">
        <v>49</v>
      </c>
      <c r="C1261" s="32" t="s">
        <v>251</v>
      </c>
      <c r="D1261" s="32" t="s">
        <v>50</v>
      </c>
      <c r="E1261" s="32" t="s">
        <v>45</v>
      </c>
      <c r="F1261" s="32" t="s">
        <v>28</v>
      </c>
      <c r="G1261" s="32" t="s">
        <v>42</v>
      </c>
      <c r="H1261" s="41">
        <v>46137</v>
      </c>
      <c r="I1261" s="70">
        <v>128</v>
      </c>
      <c r="J1261" s="70">
        <v>895</v>
      </c>
      <c r="K1261" s="71">
        <v>0.13</v>
      </c>
      <c r="L1261" s="10" t="s">
        <v>36</v>
      </c>
      <c r="M1261" s="72">
        <v>114560</v>
      </c>
      <c r="N1261" s="72">
        <v>99667.199999999997</v>
      </c>
      <c r="O1261" s="12" t="s">
        <v>265</v>
      </c>
    </row>
    <row r="1262" spans="1:15" x14ac:dyDescent="0.3">
      <c r="A1262" s="20" t="s">
        <v>1026</v>
      </c>
      <c r="B1262" s="11" t="s">
        <v>260</v>
      </c>
      <c r="C1262" s="30" t="s">
        <v>261</v>
      </c>
      <c r="D1262" s="30" t="s">
        <v>39</v>
      </c>
      <c r="E1262" s="30" t="s">
        <v>33</v>
      </c>
      <c r="F1262" s="30" t="s">
        <v>34</v>
      </c>
      <c r="G1262" s="30" t="s">
        <v>56</v>
      </c>
      <c r="H1262" s="39">
        <v>46137</v>
      </c>
      <c r="I1262" s="64">
        <v>316</v>
      </c>
      <c r="J1262" s="64">
        <v>450</v>
      </c>
      <c r="K1262" s="65">
        <v>0.14000000000000001</v>
      </c>
      <c r="L1262" s="11" t="s">
        <v>36</v>
      </c>
      <c r="M1262" s="66">
        <v>142200</v>
      </c>
      <c r="N1262" s="66">
        <v>122292</v>
      </c>
      <c r="O1262" s="13" t="s">
        <v>267</v>
      </c>
    </row>
    <row r="1263" spans="1:15" x14ac:dyDescent="0.3">
      <c r="A1263" s="20" t="s">
        <v>1027</v>
      </c>
      <c r="B1263" s="10" t="s">
        <v>44</v>
      </c>
      <c r="C1263" s="32" t="s">
        <v>254</v>
      </c>
      <c r="D1263" s="32" t="s">
        <v>39</v>
      </c>
      <c r="E1263" s="32" t="s">
        <v>27</v>
      </c>
      <c r="F1263" s="32" t="s">
        <v>41</v>
      </c>
      <c r="G1263" s="32" t="s">
        <v>56</v>
      </c>
      <c r="H1263" s="41">
        <v>46138</v>
      </c>
      <c r="I1263" s="70">
        <v>429</v>
      </c>
      <c r="J1263" s="70">
        <v>200</v>
      </c>
      <c r="K1263" s="71">
        <v>0.13</v>
      </c>
      <c r="L1263" s="10" t="s">
        <v>36</v>
      </c>
      <c r="M1263" s="72">
        <v>85800</v>
      </c>
      <c r="N1263" s="72">
        <v>74646</v>
      </c>
      <c r="O1263" s="12" t="s">
        <v>265</v>
      </c>
    </row>
    <row r="1264" spans="1:15" x14ac:dyDescent="0.3">
      <c r="A1264" s="20" t="s">
        <v>1529</v>
      </c>
      <c r="B1264" s="11" t="s">
        <v>262</v>
      </c>
      <c r="C1264" s="30" t="s">
        <v>263</v>
      </c>
      <c r="D1264" s="30" t="s">
        <v>50</v>
      </c>
      <c r="E1264" s="30" t="s">
        <v>27</v>
      </c>
      <c r="F1264" s="30" t="s">
        <v>46</v>
      </c>
      <c r="G1264" s="30" t="s">
        <v>42</v>
      </c>
      <c r="H1264" s="39">
        <v>46138</v>
      </c>
      <c r="I1264" s="64">
        <v>373</v>
      </c>
      <c r="J1264" s="64">
        <v>820</v>
      </c>
      <c r="K1264" s="65">
        <v>0.11</v>
      </c>
      <c r="L1264" s="11" t="s">
        <v>36</v>
      </c>
      <c r="M1264" s="66">
        <v>305860</v>
      </c>
      <c r="N1264" s="66">
        <v>272215.40000000002</v>
      </c>
      <c r="O1264" s="13" t="s">
        <v>267</v>
      </c>
    </row>
    <row r="1265" spans="1:15" x14ac:dyDescent="0.3">
      <c r="A1265" s="20" t="s">
        <v>1530</v>
      </c>
      <c r="B1265" s="10" t="s">
        <v>25</v>
      </c>
      <c r="C1265" s="32" t="s">
        <v>257</v>
      </c>
      <c r="D1265" s="32" t="s">
        <v>26</v>
      </c>
      <c r="E1265" s="32" t="s">
        <v>40</v>
      </c>
      <c r="F1265" s="32" t="s">
        <v>52</v>
      </c>
      <c r="G1265" s="32" t="s">
        <v>47</v>
      </c>
      <c r="H1265" s="41">
        <v>46138</v>
      </c>
      <c r="I1265" s="70">
        <v>276</v>
      </c>
      <c r="J1265" s="70">
        <v>350</v>
      </c>
      <c r="K1265" s="71">
        <v>0.13</v>
      </c>
      <c r="L1265" s="10" t="s">
        <v>36</v>
      </c>
      <c r="M1265" s="72">
        <v>96600</v>
      </c>
      <c r="N1265" s="72">
        <v>84042</v>
      </c>
      <c r="O1265" s="12" t="s">
        <v>265</v>
      </c>
    </row>
    <row r="1266" spans="1:15" x14ac:dyDescent="0.3">
      <c r="A1266" s="20" t="s">
        <v>1531</v>
      </c>
      <c r="B1266" s="11" t="s">
        <v>44</v>
      </c>
      <c r="C1266" s="30" t="s">
        <v>254</v>
      </c>
      <c r="D1266" s="30" t="s">
        <v>39</v>
      </c>
      <c r="E1266" s="30" t="s">
        <v>51</v>
      </c>
      <c r="F1266" s="30" t="s">
        <v>46</v>
      </c>
      <c r="G1266" s="30" t="s">
        <v>35</v>
      </c>
      <c r="H1266" s="39">
        <v>46140</v>
      </c>
      <c r="I1266" s="64">
        <v>279</v>
      </c>
      <c r="J1266" s="64">
        <v>200</v>
      </c>
      <c r="K1266" s="65">
        <v>0.11</v>
      </c>
      <c r="L1266" s="11" t="s">
        <v>36</v>
      </c>
      <c r="M1266" s="66">
        <v>55800</v>
      </c>
      <c r="N1266" s="66">
        <v>49662</v>
      </c>
      <c r="O1266" s="13" t="s">
        <v>265</v>
      </c>
    </row>
    <row r="1267" spans="1:15" x14ac:dyDescent="0.3">
      <c r="A1267" s="20" t="s">
        <v>1532</v>
      </c>
      <c r="B1267" s="10" t="s">
        <v>38</v>
      </c>
      <c r="C1267" s="32" t="s">
        <v>247</v>
      </c>
      <c r="D1267" s="32" t="s">
        <v>39</v>
      </c>
      <c r="E1267" s="32" t="s">
        <v>33</v>
      </c>
      <c r="F1267" s="32" t="s">
        <v>46</v>
      </c>
      <c r="G1267" s="32" t="s">
        <v>56</v>
      </c>
      <c r="H1267" s="41">
        <v>46140</v>
      </c>
      <c r="I1267" s="70">
        <v>136</v>
      </c>
      <c r="J1267" s="70">
        <v>1200</v>
      </c>
      <c r="K1267" s="71">
        <v>0.14000000000000001</v>
      </c>
      <c r="L1267" s="10" t="s">
        <v>36</v>
      </c>
      <c r="M1267" s="72">
        <v>163200</v>
      </c>
      <c r="N1267" s="72">
        <v>140352</v>
      </c>
      <c r="O1267" s="12" t="s">
        <v>267</v>
      </c>
    </row>
    <row r="1268" spans="1:15" x14ac:dyDescent="0.3">
      <c r="A1268" s="20" t="s">
        <v>1533</v>
      </c>
      <c r="B1268" s="11" t="s">
        <v>55</v>
      </c>
      <c r="C1268" s="30" t="s">
        <v>249</v>
      </c>
      <c r="D1268" s="30" t="s">
        <v>39</v>
      </c>
      <c r="E1268" s="30" t="s">
        <v>33</v>
      </c>
      <c r="F1268" s="30" t="s">
        <v>34</v>
      </c>
      <c r="G1268" s="30" t="s">
        <v>35</v>
      </c>
      <c r="H1268" s="39">
        <v>46142</v>
      </c>
      <c r="I1268" s="64">
        <v>397</v>
      </c>
      <c r="J1268" s="64">
        <v>650</v>
      </c>
      <c r="K1268" s="65">
        <v>0</v>
      </c>
      <c r="L1268" s="11" t="s">
        <v>30</v>
      </c>
      <c r="M1268" s="66">
        <v>258050</v>
      </c>
      <c r="N1268" s="66">
        <v>258050</v>
      </c>
      <c r="O1268" s="13" t="s">
        <v>267</v>
      </c>
    </row>
    <row r="1269" spans="1:15" x14ac:dyDescent="0.3">
      <c r="A1269" s="20" t="s">
        <v>1534</v>
      </c>
      <c r="B1269" s="10" t="s">
        <v>49</v>
      </c>
      <c r="C1269" s="32" t="s">
        <v>251</v>
      </c>
      <c r="D1269" s="32" t="s">
        <v>50</v>
      </c>
      <c r="E1269" s="32" t="s">
        <v>40</v>
      </c>
      <c r="F1269" s="32" t="s">
        <v>46</v>
      </c>
      <c r="G1269" s="32" t="s">
        <v>42</v>
      </c>
      <c r="H1269" s="41">
        <v>46143</v>
      </c>
      <c r="I1269" s="70">
        <v>135</v>
      </c>
      <c r="J1269" s="70">
        <v>895</v>
      </c>
      <c r="K1269" s="71">
        <v>0.1</v>
      </c>
      <c r="L1269" s="10" t="s">
        <v>30</v>
      </c>
      <c r="M1269" s="72">
        <v>120825</v>
      </c>
      <c r="N1269" s="72">
        <v>108742.5</v>
      </c>
      <c r="O1269" s="12" t="s">
        <v>267</v>
      </c>
    </row>
    <row r="1270" spans="1:15" x14ac:dyDescent="0.3">
      <c r="A1270" s="20" t="s">
        <v>1535</v>
      </c>
      <c r="B1270" s="11" t="s">
        <v>32</v>
      </c>
      <c r="C1270" s="30" t="s">
        <v>246</v>
      </c>
      <c r="D1270" s="30" t="s">
        <v>26</v>
      </c>
      <c r="E1270" s="30" t="s">
        <v>27</v>
      </c>
      <c r="F1270" s="30" t="s">
        <v>34</v>
      </c>
      <c r="G1270" s="30" t="s">
        <v>53</v>
      </c>
      <c r="H1270" s="39">
        <v>46143</v>
      </c>
      <c r="I1270" s="64">
        <v>426</v>
      </c>
      <c r="J1270" s="64">
        <v>420</v>
      </c>
      <c r="K1270" s="65">
        <v>0.13</v>
      </c>
      <c r="L1270" s="11" t="s">
        <v>30</v>
      </c>
      <c r="M1270" s="66">
        <v>178920</v>
      </c>
      <c r="N1270" s="66">
        <v>155660.4</v>
      </c>
      <c r="O1270" s="13" t="s">
        <v>267</v>
      </c>
    </row>
    <row r="1271" spans="1:15" x14ac:dyDescent="0.3">
      <c r="A1271" s="20" t="s">
        <v>1536</v>
      </c>
      <c r="B1271" s="10" t="s">
        <v>32</v>
      </c>
      <c r="C1271" s="32" t="s">
        <v>246</v>
      </c>
      <c r="D1271" s="32" t="s">
        <v>26</v>
      </c>
      <c r="E1271" s="32" t="s">
        <v>45</v>
      </c>
      <c r="F1271" s="32" t="s">
        <v>28</v>
      </c>
      <c r="G1271" s="32" t="s">
        <v>29</v>
      </c>
      <c r="H1271" s="41">
        <v>46144</v>
      </c>
      <c r="I1271" s="70">
        <v>291</v>
      </c>
      <c r="J1271" s="70">
        <v>420</v>
      </c>
      <c r="K1271" s="71">
        <v>0.14000000000000001</v>
      </c>
      <c r="L1271" s="10" t="s">
        <v>36</v>
      </c>
      <c r="M1271" s="72">
        <v>122220</v>
      </c>
      <c r="N1271" s="72">
        <v>105109.2</v>
      </c>
      <c r="O1271" s="12" t="s">
        <v>267</v>
      </c>
    </row>
    <row r="1272" spans="1:15" x14ac:dyDescent="0.3">
      <c r="A1272" s="20" t="s">
        <v>1537</v>
      </c>
      <c r="B1272" s="11" t="s">
        <v>63</v>
      </c>
      <c r="C1272" s="30" t="s">
        <v>253</v>
      </c>
      <c r="D1272" s="30" t="s">
        <v>50</v>
      </c>
      <c r="E1272" s="30" t="s">
        <v>27</v>
      </c>
      <c r="F1272" s="30" t="s">
        <v>52</v>
      </c>
      <c r="G1272" s="30" t="s">
        <v>53</v>
      </c>
      <c r="H1272" s="39">
        <v>46144</v>
      </c>
      <c r="I1272" s="64">
        <v>345</v>
      </c>
      <c r="J1272" s="64">
        <v>750</v>
      </c>
      <c r="K1272" s="65">
        <v>0.14000000000000001</v>
      </c>
      <c r="L1272" s="11" t="s">
        <v>36</v>
      </c>
      <c r="M1272" s="66">
        <v>258750</v>
      </c>
      <c r="N1272" s="66">
        <v>222525</v>
      </c>
      <c r="O1272" s="13" t="s">
        <v>267</v>
      </c>
    </row>
    <row r="1273" spans="1:15" x14ac:dyDescent="0.3">
      <c r="A1273" s="20" t="s">
        <v>1538</v>
      </c>
      <c r="B1273" s="10" t="s">
        <v>61</v>
      </c>
      <c r="C1273" s="32" t="s">
        <v>244</v>
      </c>
      <c r="D1273" s="32" t="s">
        <v>26</v>
      </c>
      <c r="E1273" s="32" t="s">
        <v>51</v>
      </c>
      <c r="F1273" s="32" t="s">
        <v>52</v>
      </c>
      <c r="G1273" s="32" t="s">
        <v>47</v>
      </c>
      <c r="H1273" s="41">
        <v>46144</v>
      </c>
      <c r="I1273" s="70">
        <v>308</v>
      </c>
      <c r="J1273" s="70">
        <v>280</v>
      </c>
      <c r="K1273" s="71">
        <v>0.03</v>
      </c>
      <c r="L1273" s="10" t="s">
        <v>36</v>
      </c>
      <c r="M1273" s="72">
        <v>86240</v>
      </c>
      <c r="N1273" s="72">
        <v>83652.800000000003</v>
      </c>
      <c r="O1273" s="12" t="s">
        <v>265</v>
      </c>
    </row>
    <row r="1274" spans="1:15" x14ac:dyDescent="0.3">
      <c r="A1274" s="20" t="s">
        <v>1539</v>
      </c>
      <c r="B1274" s="11" t="s">
        <v>16</v>
      </c>
      <c r="C1274" s="30" t="s">
        <v>250</v>
      </c>
      <c r="D1274" s="30" t="s">
        <v>39</v>
      </c>
      <c r="E1274" s="30" t="s">
        <v>27</v>
      </c>
      <c r="F1274" s="30" t="s">
        <v>46</v>
      </c>
      <c r="G1274" s="30" t="s">
        <v>47</v>
      </c>
      <c r="H1274" s="39">
        <v>46148</v>
      </c>
      <c r="I1274" s="64">
        <v>157</v>
      </c>
      <c r="J1274" s="64">
        <v>990</v>
      </c>
      <c r="K1274" s="65">
        <v>0.15</v>
      </c>
      <c r="L1274" s="11" t="s">
        <v>36</v>
      </c>
      <c r="M1274" s="66">
        <v>155430</v>
      </c>
      <c r="N1274" s="66">
        <v>132115.5</v>
      </c>
      <c r="O1274" s="13" t="s">
        <v>267</v>
      </c>
    </row>
    <row r="1275" spans="1:15" x14ac:dyDescent="0.3">
      <c r="A1275" s="20" t="s">
        <v>1540</v>
      </c>
      <c r="B1275" s="10" t="s">
        <v>38</v>
      </c>
      <c r="C1275" s="32" t="s">
        <v>247</v>
      </c>
      <c r="D1275" s="32" t="s">
        <v>39</v>
      </c>
      <c r="E1275" s="32" t="s">
        <v>45</v>
      </c>
      <c r="F1275" s="32" t="s">
        <v>28</v>
      </c>
      <c r="G1275" s="32" t="s">
        <v>47</v>
      </c>
      <c r="H1275" s="41">
        <v>46148</v>
      </c>
      <c r="I1275" s="70">
        <v>39</v>
      </c>
      <c r="J1275" s="70">
        <v>1200</v>
      </c>
      <c r="K1275" s="71">
        <v>0.03</v>
      </c>
      <c r="L1275" s="10" t="s">
        <v>36</v>
      </c>
      <c r="M1275" s="72">
        <v>46800</v>
      </c>
      <c r="N1275" s="72">
        <v>45396</v>
      </c>
      <c r="O1275" s="12" t="s">
        <v>265</v>
      </c>
    </row>
    <row r="1276" spans="1:15" x14ac:dyDescent="0.3">
      <c r="A1276" s="20" t="s">
        <v>1541</v>
      </c>
      <c r="B1276" s="11" t="s">
        <v>55</v>
      </c>
      <c r="C1276" s="30" t="s">
        <v>249</v>
      </c>
      <c r="D1276" s="30" t="s">
        <v>39</v>
      </c>
      <c r="E1276" s="30" t="s">
        <v>33</v>
      </c>
      <c r="F1276" s="30" t="s">
        <v>34</v>
      </c>
      <c r="G1276" s="30" t="s">
        <v>47</v>
      </c>
      <c r="H1276" s="39">
        <v>46149</v>
      </c>
      <c r="I1276" s="64">
        <v>352</v>
      </c>
      <c r="J1276" s="64">
        <v>650</v>
      </c>
      <c r="K1276" s="65">
        <v>0.03</v>
      </c>
      <c r="L1276" s="11" t="s">
        <v>30</v>
      </c>
      <c r="M1276" s="66">
        <v>228800</v>
      </c>
      <c r="N1276" s="66">
        <v>221936</v>
      </c>
      <c r="O1276" s="13" t="s">
        <v>267</v>
      </c>
    </row>
    <row r="1277" spans="1:15" x14ac:dyDescent="0.3">
      <c r="A1277" s="20" t="s">
        <v>1542</v>
      </c>
      <c r="B1277" s="10" t="s">
        <v>25</v>
      </c>
      <c r="C1277" s="32" t="s">
        <v>257</v>
      </c>
      <c r="D1277" s="32" t="s">
        <v>26</v>
      </c>
      <c r="E1277" s="32" t="s">
        <v>45</v>
      </c>
      <c r="F1277" s="32" t="s">
        <v>34</v>
      </c>
      <c r="G1277" s="32" t="s">
        <v>35</v>
      </c>
      <c r="H1277" s="41">
        <v>46149</v>
      </c>
      <c r="I1277" s="70">
        <v>211</v>
      </c>
      <c r="J1277" s="70">
        <v>350</v>
      </c>
      <c r="K1277" s="71">
        <v>0</v>
      </c>
      <c r="L1277" s="10" t="s">
        <v>30</v>
      </c>
      <c r="M1277" s="72">
        <v>73850</v>
      </c>
      <c r="N1277" s="72">
        <v>73850</v>
      </c>
      <c r="O1277" s="12" t="s">
        <v>265</v>
      </c>
    </row>
    <row r="1278" spans="1:15" x14ac:dyDescent="0.3">
      <c r="A1278" s="20" t="s">
        <v>1543</v>
      </c>
      <c r="B1278" s="11" t="s">
        <v>32</v>
      </c>
      <c r="C1278" s="30" t="s">
        <v>246</v>
      </c>
      <c r="D1278" s="30" t="s">
        <v>26</v>
      </c>
      <c r="E1278" s="30" t="s">
        <v>45</v>
      </c>
      <c r="F1278" s="30" t="s">
        <v>52</v>
      </c>
      <c r="G1278" s="30" t="s">
        <v>56</v>
      </c>
      <c r="H1278" s="39">
        <v>46149</v>
      </c>
      <c r="I1278" s="64">
        <v>372</v>
      </c>
      <c r="J1278" s="64">
        <v>420</v>
      </c>
      <c r="K1278" s="65">
        <v>0.05</v>
      </c>
      <c r="L1278" s="11" t="s">
        <v>36</v>
      </c>
      <c r="M1278" s="66">
        <v>156240</v>
      </c>
      <c r="N1278" s="66">
        <v>148428</v>
      </c>
      <c r="O1278" s="13" t="s">
        <v>267</v>
      </c>
    </row>
    <row r="1279" spans="1:15" x14ac:dyDescent="0.3">
      <c r="A1279" s="20" t="s">
        <v>1544</v>
      </c>
      <c r="B1279" s="10" t="s">
        <v>61</v>
      </c>
      <c r="C1279" s="32" t="s">
        <v>244</v>
      </c>
      <c r="D1279" s="32" t="s">
        <v>26</v>
      </c>
      <c r="E1279" s="32" t="s">
        <v>51</v>
      </c>
      <c r="F1279" s="32" t="s">
        <v>46</v>
      </c>
      <c r="G1279" s="32" t="s">
        <v>47</v>
      </c>
      <c r="H1279" s="41">
        <v>46150</v>
      </c>
      <c r="I1279" s="70">
        <v>259</v>
      </c>
      <c r="J1279" s="70">
        <v>280</v>
      </c>
      <c r="K1279" s="71">
        <v>7.0000000000000007E-2</v>
      </c>
      <c r="L1279" s="10" t="s">
        <v>36</v>
      </c>
      <c r="M1279" s="72">
        <v>72520</v>
      </c>
      <c r="N1279" s="72">
        <v>67443.600000000006</v>
      </c>
      <c r="O1279" s="12" t="s">
        <v>265</v>
      </c>
    </row>
    <row r="1280" spans="1:15" x14ac:dyDescent="0.3">
      <c r="A1280" s="20" t="s">
        <v>1545</v>
      </c>
      <c r="B1280" s="11" t="s">
        <v>262</v>
      </c>
      <c r="C1280" s="30" t="s">
        <v>263</v>
      </c>
      <c r="D1280" s="30" t="s">
        <v>50</v>
      </c>
      <c r="E1280" s="30" t="s">
        <v>45</v>
      </c>
      <c r="F1280" s="30" t="s">
        <v>41</v>
      </c>
      <c r="G1280" s="30" t="s">
        <v>53</v>
      </c>
      <c r="H1280" s="39">
        <v>46150</v>
      </c>
      <c r="I1280" s="64">
        <v>311</v>
      </c>
      <c r="J1280" s="64">
        <v>820</v>
      </c>
      <c r="K1280" s="65">
        <v>0</v>
      </c>
      <c r="L1280" s="11" t="s">
        <v>30</v>
      </c>
      <c r="M1280" s="66">
        <v>255020</v>
      </c>
      <c r="N1280" s="66">
        <v>255020</v>
      </c>
      <c r="O1280" s="13" t="s">
        <v>267</v>
      </c>
    </row>
    <row r="1281" spans="1:15" x14ac:dyDescent="0.3">
      <c r="A1281" s="20" t="s">
        <v>1546</v>
      </c>
      <c r="B1281" s="10" t="s">
        <v>16</v>
      </c>
      <c r="C1281" s="32" t="s">
        <v>250</v>
      </c>
      <c r="D1281" s="32" t="s">
        <v>39</v>
      </c>
      <c r="E1281" s="32" t="s">
        <v>33</v>
      </c>
      <c r="F1281" s="32" t="s">
        <v>28</v>
      </c>
      <c r="G1281" s="32" t="s">
        <v>47</v>
      </c>
      <c r="H1281" s="41">
        <v>46150</v>
      </c>
      <c r="I1281" s="70">
        <v>374</v>
      </c>
      <c r="J1281" s="70">
        <v>990</v>
      </c>
      <c r="K1281" s="71">
        <v>0.11</v>
      </c>
      <c r="L1281" s="10" t="s">
        <v>36</v>
      </c>
      <c r="M1281" s="72">
        <v>370260</v>
      </c>
      <c r="N1281" s="72">
        <v>329531.40000000002</v>
      </c>
      <c r="O1281" s="12" t="s">
        <v>267</v>
      </c>
    </row>
    <row r="1282" spans="1:15" x14ac:dyDescent="0.3">
      <c r="A1282" s="20" t="s">
        <v>1547</v>
      </c>
      <c r="B1282" s="11" t="s">
        <v>61</v>
      </c>
      <c r="C1282" s="30" t="s">
        <v>244</v>
      </c>
      <c r="D1282" s="30" t="s">
        <v>26</v>
      </c>
      <c r="E1282" s="30" t="s">
        <v>27</v>
      </c>
      <c r="F1282" s="30" t="s">
        <v>52</v>
      </c>
      <c r="G1282" s="30" t="s">
        <v>29</v>
      </c>
      <c r="H1282" s="39">
        <v>46151</v>
      </c>
      <c r="I1282" s="64">
        <v>188</v>
      </c>
      <c r="J1282" s="64">
        <v>280</v>
      </c>
      <c r="K1282" s="65">
        <v>0</v>
      </c>
      <c r="L1282" s="11" t="s">
        <v>36</v>
      </c>
      <c r="M1282" s="66">
        <v>52640</v>
      </c>
      <c r="N1282" s="66">
        <v>52640</v>
      </c>
      <c r="O1282" s="13" t="s">
        <v>265</v>
      </c>
    </row>
    <row r="1283" spans="1:15" x14ac:dyDescent="0.3">
      <c r="A1283" s="20" t="s">
        <v>1548</v>
      </c>
      <c r="B1283" s="10" t="s">
        <v>44</v>
      </c>
      <c r="C1283" s="32" t="s">
        <v>254</v>
      </c>
      <c r="D1283" s="32" t="s">
        <v>39</v>
      </c>
      <c r="E1283" s="32" t="s">
        <v>33</v>
      </c>
      <c r="F1283" s="32" t="s">
        <v>41</v>
      </c>
      <c r="G1283" s="32" t="s">
        <v>35</v>
      </c>
      <c r="H1283" s="41">
        <v>46151</v>
      </c>
      <c r="I1283" s="70">
        <v>196</v>
      </c>
      <c r="J1283" s="70">
        <v>200</v>
      </c>
      <c r="K1283" s="71">
        <v>0.05</v>
      </c>
      <c r="L1283" s="10" t="s">
        <v>30</v>
      </c>
      <c r="M1283" s="72">
        <v>39200</v>
      </c>
      <c r="N1283" s="72">
        <v>37240</v>
      </c>
      <c r="O1283" s="12" t="s">
        <v>265</v>
      </c>
    </row>
    <row r="1284" spans="1:15" x14ac:dyDescent="0.3">
      <c r="A1284" s="20" t="s">
        <v>1549</v>
      </c>
      <c r="B1284" s="11" t="s">
        <v>55</v>
      </c>
      <c r="C1284" s="30" t="s">
        <v>249</v>
      </c>
      <c r="D1284" s="30" t="s">
        <v>39</v>
      </c>
      <c r="E1284" s="30" t="s">
        <v>27</v>
      </c>
      <c r="F1284" s="30" t="s">
        <v>52</v>
      </c>
      <c r="G1284" s="30" t="s">
        <v>47</v>
      </c>
      <c r="H1284" s="39">
        <v>46151</v>
      </c>
      <c r="I1284" s="64">
        <v>406</v>
      </c>
      <c r="J1284" s="64">
        <v>650</v>
      </c>
      <c r="K1284" s="65">
        <v>0</v>
      </c>
      <c r="L1284" s="11" t="s">
        <v>36</v>
      </c>
      <c r="M1284" s="66">
        <v>263900</v>
      </c>
      <c r="N1284" s="66">
        <v>263900</v>
      </c>
      <c r="O1284" s="13" t="s">
        <v>267</v>
      </c>
    </row>
    <row r="1285" spans="1:15" x14ac:dyDescent="0.3">
      <c r="A1285" s="20" t="s">
        <v>1550</v>
      </c>
      <c r="B1285" s="10" t="s">
        <v>49</v>
      </c>
      <c r="C1285" s="32" t="s">
        <v>251</v>
      </c>
      <c r="D1285" s="32" t="s">
        <v>50</v>
      </c>
      <c r="E1285" s="32" t="s">
        <v>45</v>
      </c>
      <c r="F1285" s="32" t="s">
        <v>41</v>
      </c>
      <c r="G1285" s="32" t="s">
        <v>47</v>
      </c>
      <c r="H1285" s="41">
        <v>46152</v>
      </c>
      <c r="I1285" s="70">
        <v>228</v>
      </c>
      <c r="J1285" s="70">
        <v>895</v>
      </c>
      <c r="K1285" s="71">
        <v>0.12</v>
      </c>
      <c r="L1285" s="10" t="s">
        <v>36</v>
      </c>
      <c r="M1285" s="72">
        <v>204060</v>
      </c>
      <c r="N1285" s="72">
        <v>179572.8</v>
      </c>
      <c r="O1285" s="12" t="s">
        <v>267</v>
      </c>
    </row>
    <row r="1286" spans="1:15" x14ac:dyDescent="0.3">
      <c r="A1286" s="20" t="s">
        <v>1551</v>
      </c>
      <c r="B1286" s="11" t="s">
        <v>44</v>
      </c>
      <c r="C1286" s="30" t="s">
        <v>254</v>
      </c>
      <c r="D1286" s="30" t="s">
        <v>39</v>
      </c>
      <c r="E1286" s="30" t="s">
        <v>40</v>
      </c>
      <c r="F1286" s="30" t="s">
        <v>41</v>
      </c>
      <c r="G1286" s="30" t="s">
        <v>42</v>
      </c>
      <c r="H1286" s="39">
        <v>46152</v>
      </c>
      <c r="I1286" s="64">
        <v>222</v>
      </c>
      <c r="J1286" s="64">
        <v>200</v>
      </c>
      <c r="K1286" s="65">
        <v>0.12</v>
      </c>
      <c r="L1286" s="11" t="s">
        <v>36</v>
      </c>
      <c r="M1286" s="66">
        <v>44400</v>
      </c>
      <c r="N1286" s="66">
        <v>39072</v>
      </c>
      <c r="O1286" s="13" t="s">
        <v>265</v>
      </c>
    </row>
    <row r="1287" spans="1:15" x14ac:dyDescent="0.3">
      <c r="A1287" s="20" t="s">
        <v>1552</v>
      </c>
      <c r="B1287" s="10" t="s">
        <v>260</v>
      </c>
      <c r="C1287" s="32" t="s">
        <v>261</v>
      </c>
      <c r="D1287" s="32" t="s">
        <v>39</v>
      </c>
      <c r="E1287" s="32" t="s">
        <v>45</v>
      </c>
      <c r="F1287" s="32" t="s">
        <v>46</v>
      </c>
      <c r="G1287" s="32" t="s">
        <v>47</v>
      </c>
      <c r="H1287" s="41">
        <v>46152</v>
      </c>
      <c r="I1287" s="70">
        <v>139</v>
      </c>
      <c r="J1287" s="70">
        <v>450</v>
      </c>
      <c r="K1287" s="71">
        <v>0.08</v>
      </c>
      <c r="L1287" s="10" t="s">
        <v>36</v>
      </c>
      <c r="M1287" s="72">
        <v>62550</v>
      </c>
      <c r="N1287" s="72">
        <v>57546</v>
      </c>
      <c r="O1287" s="12" t="s">
        <v>265</v>
      </c>
    </row>
    <row r="1288" spans="1:15" x14ac:dyDescent="0.3">
      <c r="A1288" s="20" t="s">
        <v>1553</v>
      </c>
      <c r="B1288" s="11" t="s">
        <v>55</v>
      </c>
      <c r="C1288" s="30" t="s">
        <v>249</v>
      </c>
      <c r="D1288" s="30" t="s">
        <v>39</v>
      </c>
      <c r="E1288" s="30" t="s">
        <v>40</v>
      </c>
      <c r="F1288" s="30" t="s">
        <v>41</v>
      </c>
      <c r="G1288" s="30" t="s">
        <v>29</v>
      </c>
      <c r="H1288" s="39">
        <v>46153</v>
      </c>
      <c r="I1288" s="64">
        <v>393</v>
      </c>
      <c r="J1288" s="64">
        <v>650</v>
      </c>
      <c r="K1288" s="65">
        <v>0.05</v>
      </c>
      <c r="L1288" s="11" t="s">
        <v>30</v>
      </c>
      <c r="M1288" s="66">
        <v>255450</v>
      </c>
      <c r="N1288" s="66">
        <v>242677.5</v>
      </c>
      <c r="O1288" s="13" t="s">
        <v>267</v>
      </c>
    </row>
    <row r="1289" spans="1:15" x14ac:dyDescent="0.3">
      <c r="A1289" s="20" t="s">
        <v>1554</v>
      </c>
      <c r="B1289" s="10" t="s">
        <v>25</v>
      </c>
      <c r="C1289" s="32" t="s">
        <v>257</v>
      </c>
      <c r="D1289" s="32" t="s">
        <v>26</v>
      </c>
      <c r="E1289" s="32" t="s">
        <v>51</v>
      </c>
      <c r="F1289" s="32" t="s">
        <v>46</v>
      </c>
      <c r="G1289" s="32" t="s">
        <v>42</v>
      </c>
      <c r="H1289" s="41">
        <v>46154</v>
      </c>
      <c r="I1289" s="70">
        <v>252</v>
      </c>
      <c r="J1289" s="70">
        <v>350</v>
      </c>
      <c r="K1289" s="71">
        <v>0.13</v>
      </c>
      <c r="L1289" s="10" t="s">
        <v>36</v>
      </c>
      <c r="M1289" s="72">
        <v>88200</v>
      </c>
      <c r="N1289" s="72">
        <v>76734</v>
      </c>
      <c r="O1289" s="12" t="s">
        <v>265</v>
      </c>
    </row>
    <row r="1290" spans="1:15" x14ac:dyDescent="0.3">
      <c r="A1290" s="20" t="s">
        <v>1555</v>
      </c>
      <c r="B1290" s="11" t="s">
        <v>38</v>
      </c>
      <c r="C1290" s="30" t="s">
        <v>247</v>
      </c>
      <c r="D1290" s="30" t="s">
        <v>39</v>
      </c>
      <c r="E1290" s="30" t="s">
        <v>51</v>
      </c>
      <c r="F1290" s="30" t="s">
        <v>46</v>
      </c>
      <c r="G1290" s="30" t="s">
        <v>56</v>
      </c>
      <c r="H1290" s="39">
        <v>46155</v>
      </c>
      <c r="I1290" s="64">
        <v>223</v>
      </c>
      <c r="J1290" s="64">
        <v>1200</v>
      </c>
      <c r="K1290" s="65">
        <v>0.1</v>
      </c>
      <c r="L1290" s="11" t="s">
        <v>36</v>
      </c>
      <c r="M1290" s="66">
        <v>267600</v>
      </c>
      <c r="N1290" s="66">
        <v>240840</v>
      </c>
      <c r="O1290" s="13" t="s">
        <v>267</v>
      </c>
    </row>
    <row r="1291" spans="1:15" x14ac:dyDescent="0.3">
      <c r="A1291" s="20" t="s">
        <v>1556</v>
      </c>
      <c r="B1291" s="10" t="s">
        <v>262</v>
      </c>
      <c r="C1291" s="32" t="s">
        <v>263</v>
      </c>
      <c r="D1291" s="32" t="s">
        <v>50</v>
      </c>
      <c r="E1291" s="32" t="s">
        <v>33</v>
      </c>
      <c r="F1291" s="32" t="s">
        <v>46</v>
      </c>
      <c r="G1291" s="32" t="s">
        <v>35</v>
      </c>
      <c r="H1291" s="41">
        <v>46155</v>
      </c>
      <c r="I1291" s="70">
        <v>176</v>
      </c>
      <c r="J1291" s="70">
        <v>820</v>
      </c>
      <c r="K1291" s="71">
        <v>0</v>
      </c>
      <c r="L1291" s="10" t="s">
        <v>36</v>
      </c>
      <c r="M1291" s="72">
        <v>144320</v>
      </c>
      <c r="N1291" s="72">
        <v>144320</v>
      </c>
      <c r="O1291" s="12" t="s">
        <v>267</v>
      </c>
    </row>
    <row r="1292" spans="1:15" x14ac:dyDescent="0.3">
      <c r="A1292" s="20" t="s">
        <v>1557</v>
      </c>
      <c r="B1292" s="11" t="s">
        <v>262</v>
      </c>
      <c r="C1292" s="30" t="s">
        <v>263</v>
      </c>
      <c r="D1292" s="30" t="s">
        <v>50</v>
      </c>
      <c r="E1292" s="30" t="s">
        <v>33</v>
      </c>
      <c r="F1292" s="30" t="s">
        <v>28</v>
      </c>
      <c r="G1292" s="30" t="s">
        <v>56</v>
      </c>
      <c r="H1292" s="39">
        <v>46156</v>
      </c>
      <c r="I1292" s="64">
        <v>315</v>
      </c>
      <c r="J1292" s="64">
        <v>820</v>
      </c>
      <c r="K1292" s="65">
        <v>0</v>
      </c>
      <c r="L1292" s="11" t="s">
        <v>36</v>
      </c>
      <c r="M1292" s="66">
        <v>258300</v>
      </c>
      <c r="N1292" s="66">
        <v>258300</v>
      </c>
      <c r="O1292" s="13" t="s">
        <v>267</v>
      </c>
    </row>
    <row r="1293" spans="1:15" x14ac:dyDescent="0.3">
      <c r="A1293" s="20" t="s">
        <v>1558</v>
      </c>
      <c r="B1293" s="10" t="s">
        <v>49</v>
      </c>
      <c r="C1293" s="32" t="s">
        <v>251</v>
      </c>
      <c r="D1293" s="32" t="s">
        <v>50</v>
      </c>
      <c r="E1293" s="32" t="s">
        <v>27</v>
      </c>
      <c r="F1293" s="32" t="s">
        <v>46</v>
      </c>
      <c r="G1293" s="32" t="s">
        <v>53</v>
      </c>
      <c r="H1293" s="41">
        <v>46156</v>
      </c>
      <c r="I1293" s="70">
        <v>198</v>
      </c>
      <c r="J1293" s="70">
        <v>895</v>
      </c>
      <c r="K1293" s="71">
        <v>0.1</v>
      </c>
      <c r="L1293" s="10" t="s">
        <v>30</v>
      </c>
      <c r="M1293" s="72">
        <v>177210</v>
      </c>
      <c r="N1293" s="72">
        <v>159489</v>
      </c>
      <c r="O1293" s="12" t="s">
        <v>267</v>
      </c>
    </row>
    <row r="1294" spans="1:15" x14ac:dyDescent="0.3">
      <c r="A1294" s="20" t="s">
        <v>1559</v>
      </c>
      <c r="B1294" s="11" t="s">
        <v>61</v>
      </c>
      <c r="C1294" s="30" t="s">
        <v>244</v>
      </c>
      <c r="D1294" s="30" t="s">
        <v>26</v>
      </c>
      <c r="E1294" s="30" t="s">
        <v>40</v>
      </c>
      <c r="F1294" s="30" t="s">
        <v>52</v>
      </c>
      <c r="G1294" s="30" t="s">
        <v>29</v>
      </c>
      <c r="H1294" s="39">
        <v>46156</v>
      </c>
      <c r="I1294" s="64">
        <v>300</v>
      </c>
      <c r="J1294" s="64">
        <v>280</v>
      </c>
      <c r="K1294" s="65">
        <v>0.1</v>
      </c>
      <c r="L1294" s="11" t="s">
        <v>36</v>
      </c>
      <c r="M1294" s="66">
        <v>84000</v>
      </c>
      <c r="N1294" s="66">
        <v>75600</v>
      </c>
      <c r="O1294" s="13" t="s">
        <v>265</v>
      </c>
    </row>
    <row r="1295" spans="1:15" x14ac:dyDescent="0.3">
      <c r="A1295" s="20" t="s">
        <v>1560</v>
      </c>
      <c r="B1295" s="10" t="s">
        <v>44</v>
      </c>
      <c r="C1295" s="32" t="s">
        <v>254</v>
      </c>
      <c r="D1295" s="32" t="s">
        <v>39</v>
      </c>
      <c r="E1295" s="32" t="s">
        <v>40</v>
      </c>
      <c r="F1295" s="32" t="s">
        <v>52</v>
      </c>
      <c r="G1295" s="32" t="s">
        <v>56</v>
      </c>
      <c r="H1295" s="41">
        <v>46157</v>
      </c>
      <c r="I1295" s="70">
        <v>482</v>
      </c>
      <c r="J1295" s="70">
        <v>200</v>
      </c>
      <c r="K1295" s="71">
        <v>0.14000000000000001</v>
      </c>
      <c r="L1295" s="10" t="s">
        <v>36</v>
      </c>
      <c r="M1295" s="72">
        <v>96400</v>
      </c>
      <c r="N1295" s="72">
        <v>82904</v>
      </c>
      <c r="O1295" s="12" t="s">
        <v>265</v>
      </c>
    </row>
    <row r="1296" spans="1:15" x14ac:dyDescent="0.3">
      <c r="A1296" s="20" t="s">
        <v>1561</v>
      </c>
      <c r="B1296" s="11" t="s">
        <v>63</v>
      </c>
      <c r="C1296" s="30" t="s">
        <v>253</v>
      </c>
      <c r="D1296" s="30" t="s">
        <v>50</v>
      </c>
      <c r="E1296" s="30" t="s">
        <v>45</v>
      </c>
      <c r="F1296" s="30" t="s">
        <v>52</v>
      </c>
      <c r="G1296" s="30" t="s">
        <v>42</v>
      </c>
      <c r="H1296" s="39">
        <v>46157</v>
      </c>
      <c r="I1296" s="64">
        <v>299</v>
      </c>
      <c r="J1296" s="64">
        <v>750</v>
      </c>
      <c r="K1296" s="65">
        <v>0.05</v>
      </c>
      <c r="L1296" s="11" t="s">
        <v>36</v>
      </c>
      <c r="M1296" s="66">
        <v>224250</v>
      </c>
      <c r="N1296" s="66">
        <v>213037.5</v>
      </c>
      <c r="O1296" s="13" t="s">
        <v>267</v>
      </c>
    </row>
    <row r="1297" spans="1:15" x14ac:dyDescent="0.3">
      <c r="A1297" s="20" t="s">
        <v>1562</v>
      </c>
      <c r="B1297" s="17" t="s">
        <v>55</v>
      </c>
      <c r="C1297" s="33" t="s">
        <v>249</v>
      </c>
      <c r="D1297" s="33" t="s">
        <v>39</v>
      </c>
      <c r="E1297" s="33" t="s">
        <v>51</v>
      </c>
      <c r="F1297" s="33" t="s">
        <v>34</v>
      </c>
      <c r="G1297" s="33" t="s">
        <v>29</v>
      </c>
      <c r="H1297" s="42">
        <v>46157</v>
      </c>
      <c r="I1297" s="73">
        <v>235</v>
      </c>
      <c r="J1297" s="73">
        <v>650</v>
      </c>
      <c r="K1297" s="74">
        <v>0.08</v>
      </c>
      <c r="L1297" s="17" t="s">
        <v>36</v>
      </c>
      <c r="M1297" s="75">
        <v>152750</v>
      </c>
      <c r="N1297" s="75">
        <v>140530</v>
      </c>
      <c r="O1297" s="18" t="s">
        <v>267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D305-FDCD-4675-BB50-2FE644E16524}">
  <dimension ref="A1:O1417"/>
  <sheetViews>
    <sheetView zoomScale="110" zoomScaleNormal="110" workbookViewId="0">
      <selection activeCell="N2" sqref="N2:N1417"/>
    </sheetView>
  </sheetViews>
  <sheetFormatPr defaultRowHeight="14.4" x14ac:dyDescent="0.3"/>
  <cols>
    <col min="1" max="1" width="10" customWidth="1"/>
    <col min="2" max="2" width="11.77734375" customWidth="1"/>
    <col min="3" max="3" width="23.33203125" customWidth="1"/>
    <col min="4" max="5" width="12.6640625" style="5" customWidth="1"/>
    <col min="6" max="6" width="14.44140625" style="5" customWidth="1"/>
    <col min="7" max="7" width="12.6640625" style="5" customWidth="1"/>
    <col min="8" max="8" width="14.77734375" style="4" customWidth="1"/>
    <col min="9" max="9" width="14.77734375" style="6" customWidth="1"/>
    <col min="10" max="10" width="16" style="9" customWidth="1"/>
    <col min="11" max="11" width="16" style="7" customWidth="1"/>
    <col min="12" max="12" width="16.21875" style="5" customWidth="1"/>
    <col min="13" max="13" width="15" style="164" customWidth="1"/>
    <col min="14" max="14" width="17" style="164" customWidth="1"/>
    <col min="15" max="15" width="13.88671875" style="5" customWidth="1"/>
  </cols>
  <sheetData>
    <row r="1" spans="1:15" x14ac:dyDescent="0.3">
      <c r="A1" s="125" t="s">
        <v>0</v>
      </c>
      <c r="B1" s="126" t="s">
        <v>1</v>
      </c>
      <c r="C1" s="127" t="s">
        <v>2</v>
      </c>
      <c r="D1" s="127" t="s">
        <v>3</v>
      </c>
      <c r="E1" s="127" t="s">
        <v>4</v>
      </c>
      <c r="F1" s="127" t="s">
        <v>5</v>
      </c>
      <c r="G1" s="127" t="s">
        <v>6</v>
      </c>
      <c r="H1" s="129" t="s">
        <v>7</v>
      </c>
      <c r="I1" s="133" t="s">
        <v>8</v>
      </c>
      <c r="J1" s="138" t="s">
        <v>9</v>
      </c>
      <c r="K1" s="143" t="s">
        <v>10</v>
      </c>
      <c r="L1" s="127" t="s">
        <v>11</v>
      </c>
      <c r="M1" s="151" t="s">
        <v>12</v>
      </c>
      <c r="N1" s="151" t="s">
        <v>13</v>
      </c>
      <c r="O1" s="167" t="s">
        <v>14</v>
      </c>
    </row>
    <row r="2" spans="1:15" x14ac:dyDescent="0.3">
      <c r="A2" s="95" t="s">
        <v>15</v>
      </c>
      <c r="B2" s="96" t="s">
        <v>16</v>
      </c>
      <c r="C2" s="97" t="s">
        <v>250</v>
      </c>
      <c r="D2" s="97" t="s">
        <v>39</v>
      </c>
      <c r="E2" s="97" t="s">
        <v>51</v>
      </c>
      <c r="F2" s="97" t="s">
        <v>52</v>
      </c>
      <c r="G2" s="97" t="s">
        <v>56</v>
      </c>
      <c r="H2" s="130">
        <v>45292</v>
      </c>
      <c r="I2" s="98">
        <v>337</v>
      </c>
      <c r="J2" s="99">
        <v>990</v>
      </c>
      <c r="K2" s="144">
        <v>0.12</v>
      </c>
      <c r="L2" s="97" t="s">
        <v>36</v>
      </c>
      <c r="M2" s="152">
        <f>Combined_Data!$I2*Combined_Data!$J2</f>
        <v>333630</v>
      </c>
      <c r="N2" s="152">
        <f>Combined_Data!$M2*(1-Combined_Data!$K2)</f>
        <v>293594.40000000002</v>
      </c>
      <c r="O2" s="100" t="str">
        <f>IF(Combined_Data!$N2&gt;350000,"High",IF(Combined_Data!$N2&gt;100000,"Medium","Low"))</f>
        <v>Medium</v>
      </c>
    </row>
    <row r="3" spans="1:15" x14ac:dyDescent="0.3">
      <c r="A3" s="101" t="s">
        <v>24</v>
      </c>
      <c r="B3" s="102" t="s">
        <v>25</v>
      </c>
      <c r="C3" s="103" t="s">
        <v>257</v>
      </c>
      <c r="D3" s="103" t="s">
        <v>26</v>
      </c>
      <c r="E3" s="103" t="s">
        <v>27</v>
      </c>
      <c r="F3" s="103" t="s">
        <v>28</v>
      </c>
      <c r="G3" s="103" t="s">
        <v>29</v>
      </c>
      <c r="H3" s="131">
        <v>45293</v>
      </c>
      <c r="I3" s="104">
        <v>135</v>
      </c>
      <c r="J3" s="105">
        <v>350</v>
      </c>
      <c r="K3" s="145">
        <v>0</v>
      </c>
      <c r="L3" s="103" t="s">
        <v>30</v>
      </c>
      <c r="M3" s="153">
        <f>Combined_Data!$I3*Combined_Data!$J3</f>
        <v>47250</v>
      </c>
      <c r="N3" s="153">
        <f>Combined_Data!$M3*(1-Combined_Data!$K3)</f>
        <v>47250</v>
      </c>
      <c r="O3" s="106" t="str">
        <f>IF(Combined_Data!$N3&gt;350000,"High",IF(Combined_Data!$N3&gt;100000,"Medium","Low"))</f>
        <v>Low</v>
      </c>
    </row>
    <row r="4" spans="1:15" x14ac:dyDescent="0.3">
      <c r="A4" s="95" t="s">
        <v>31</v>
      </c>
      <c r="B4" s="96" t="s">
        <v>32</v>
      </c>
      <c r="C4" s="97" t="s">
        <v>246</v>
      </c>
      <c r="D4" s="97" t="s">
        <v>26</v>
      </c>
      <c r="E4" s="97" t="s">
        <v>33</v>
      </c>
      <c r="F4" s="97" t="s">
        <v>34</v>
      </c>
      <c r="G4" s="97" t="s">
        <v>35</v>
      </c>
      <c r="H4" s="130">
        <v>45294</v>
      </c>
      <c r="I4" s="98">
        <v>387</v>
      </c>
      <c r="J4" s="99">
        <v>420</v>
      </c>
      <c r="K4" s="144">
        <v>0</v>
      </c>
      <c r="L4" s="97" t="s">
        <v>36</v>
      </c>
      <c r="M4" s="152">
        <f>Combined_Data!$I4*Combined_Data!$J4</f>
        <v>162540</v>
      </c>
      <c r="N4" s="152">
        <f>Combined_Data!$M4*(1-Combined_Data!$K4)</f>
        <v>162540</v>
      </c>
      <c r="O4" s="100" t="str">
        <f>IF(Combined_Data!$N4&gt;350000,"High",IF(Combined_Data!$N4&gt;100000,"Medium","Low"))</f>
        <v>Medium</v>
      </c>
    </row>
    <row r="5" spans="1:15" x14ac:dyDescent="0.3">
      <c r="A5" s="101" t="s">
        <v>37</v>
      </c>
      <c r="B5" s="102" t="s">
        <v>38</v>
      </c>
      <c r="C5" s="103" t="s">
        <v>247</v>
      </c>
      <c r="D5" s="103" t="s">
        <v>39</v>
      </c>
      <c r="E5" s="103" t="s">
        <v>40</v>
      </c>
      <c r="F5" s="103" t="s">
        <v>41</v>
      </c>
      <c r="G5" s="103" t="s">
        <v>42</v>
      </c>
      <c r="H5" s="131">
        <v>45295</v>
      </c>
      <c r="I5" s="104">
        <v>389</v>
      </c>
      <c r="J5" s="105">
        <v>1200</v>
      </c>
      <c r="K5" s="145">
        <v>0.03</v>
      </c>
      <c r="L5" s="103" t="s">
        <v>36</v>
      </c>
      <c r="M5" s="153">
        <f>Combined_Data!$I5*Combined_Data!$J5</f>
        <v>466800</v>
      </c>
      <c r="N5" s="153">
        <f>Combined_Data!$M5*(1-Combined_Data!$K5)</f>
        <v>452796</v>
      </c>
      <c r="O5" s="106" t="str">
        <f>IF(Combined_Data!$N5&gt;350000,"High",IF(Combined_Data!$N5&gt;100000,"Medium","Low"))</f>
        <v>High</v>
      </c>
    </row>
    <row r="6" spans="1:15" x14ac:dyDescent="0.3">
      <c r="A6" s="95" t="s">
        <v>43</v>
      </c>
      <c r="B6" s="96" t="s">
        <v>44</v>
      </c>
      <c r="C6" s="97" t="s">
        <v>254</v>
      </c>
      <c r="D6" s="97" t="s">
        <v>39</v>
      </c>
      <c r="E6" s="97" t="s">
        <v>45</v>
      </c>
      <c r="F6" s="97" t="s">
        <v>46</v>
      </c>
      <c r="G6" s="97" t="s">
        <v>47</v>
      </c>
      <c r="H6" s="130">
        <v>45296</v>
      </c>
      <c r="I6" s="98">
        <v>226</v>
      </c>
      <c r="J6" s="99">
        <v>200</v>
      </c>
      <c r="K6" s="144">
        <v>0</v>
      </c>
      <c r="L6" s="97" t="s">
        <v>30</v>
      </c>
      <c r="M6" s="152">
        <f>Combined_Data!$I6*Combined_Data!$J6</f>
        <v>45200</v>
      </c>
      <c r="N6" s="152">
        <f>Combined_Data!$M6*(1-Combined_Data!$K6)</f>
        <v>45200</v>
      </c>
      <c r="O6" s="100" t="str">
        <f>IF(Combined_Data!$N6&gt;350000,"High",IF(Combined_Data!$N6&gt;100000,"Medium","Low"))</f>
        <v>Low</v>
      </c>
    </row>
    <row r="7" spans="1:15" x14ac:dyDescent="0.3">
      <c r="A7" s="101" t="s">
        <v>48</v>
      </c>
      <c r="B7" s="102" t="s">
        <v>49</v>
      </c>
      <c r="C7" s="103" t="s">
        <v>251</v>
      </c>
      <c r="D7" s="103" t="s">
        <v>50</v>
      </c>
      <c r="E7" s="103" t="s">
        <v>51</v>
      </c>
      <c r="F7" s="103" t="s">
        <v>52</v>
      </c>
      <c r="G7" s="103" t="s">
        <v>53</v>
      </c>
      <c r="H7" s="131">
        <v>45297</v>
      </c>
      <c r="I7" s="104">
        <v>100</v>
      </c>
      <c r="J7" s="105">
        <v>895</v>
      </c>
      <c r="K7" s="145">
        <v>0</v>
      </c>
      <c r="L7" s="103" t="s">
        <v>36</v>
      </c>
      <c r="M7" s="153">
        <v>89500</v>
      </c>
      <c r="N7" s="153">
        <f>Combined_Data!$M7*(1-Combined_Data!$K7)</f>
        <v>89500</v>
      </c>
      <c r="O7" s="106" t="str">
        <f>IF(Combined_Data!$N7&gt;350000,"High",IF(Combined_Data!$N7&gt;100000,"Medium","Low"))</f>
        <v>Low</v>
      </c>
    </row>
    <row r="8" spans="1:15" x14ac:dyDescent="0.3">
      <c r="A8" s="95" t="s">
        <v>54</v>
      </c>
      <c r="B8" s="96" t="s">
        <v>55</v>
      </c>
      <c r="C8" s="97" t="s">
        <v>249</v>
      </c>
      <c r="D8" s="97" t="s">
        <v>39</v>
      </c>
      <c r="E8" s="97" t="s">
        <v>27</v>
      </c>
      <c r="F8" s="97" t="s">
        <v>28</v>
      </c>
      <c r="G8" s="97" t="s">
        <v>56</v>
      </c>
      <c r="H8" s="130">
        <v>45298</v>
      </c>
      <c r="I8" s="98">
        <v>268</v>
      </c>
      <c r="J8" s="99">
        <v>650</v>
      </c>
      <c r="K8" s="144">
        <v>0.09</v>
      </c>
      <c r="L8" s="97" t="s">
        <v>30</v>
      </c>
      <c r="M8" s="152">
        <f>Combined_Data!$I8*Combined_Data!$J8</f>
        <v>174200</v>
      </c>
      <c r="N8" s="152">
        <f>Combined_Data!$M8*(1-Combined_Data!$K8)</f>
        <v>158522</v>
      </c>
      <c r="O8" s="100" t="str">
        <f>IF(Combined_Data!$N8&gt;350000,"High",IF(Combined_Data!$N8&gt;100000,"Medium","Low"))</f>
        <v>Medium</v>
      </c>
    </row>
    <row r="9" spans="1:15" x14ac:dyDescent="0.3">
      <c r="A9" s="101" t="s">
        <v>57</v>
      </c>
      <c r="B9" s="102" t="s">
        <v>58</v>
      </c>
      <c r="C9" s="103" t="s">
        <v>255</v>
      </c>
      <c r="D9" s="103" t="s">
        <v>59</v>
      </c>
      <c r="E9" s="103" t="s">
        <v>33</v>
      </c>
      <c r="F9" s="103" t="s">
        <v>34</v>
      </c>
      <c r="G9" s="103" t="s">
        <v>29</v>
      </c>
      <c r="H9" s="131">
        <v>45299</v>
      </c>
      <c r="I9" s="104">
        <v>376</v>
      </c>
      <c r="J9" s="105">
        <v>2800</v>
      </c>
      <c r="K9" s="145">
        <v>0</v>
      </c>
      <c r="L9" s="103" t="s">
        <v>36</v>
      </c>
      <c r="M9" s="153">
        <f>Combined_Data!$I9*Combined_Data!$J9</f>
        <v>1052800</v>
      </c>
      <c r="N9" s="153">
        <f>Combined_Data!$M9*(1-Combined_Data!$K9)</f>
        <v>1052800</v>
      </c>
      <c r="O9" s="106" t="str">
        <f>IF(Combined_Data!$N9&gt;350000,"High",IF(Combined_Data!$N9&gt;100000,"Medium","Low"))</f>
        <v>High</v>
      </c>
    </row>
    <row r="10" spans="1:15" x14ac:dyDescent="0.3">
      <c r="A10" s="95" t="s">
        <v>60</v>
      </c>
      <c r="B10" s="96" t="s">
        <v>61</v>
      </c>
      <c r="C10" s="97" t="s">
        <v>244</v>
      </c>
      <c r="D10" s="97" t="s">
        <v>26</v>
      </c>
      <c r="E10" s="97" t="s">
        <v>40</v>
      </c>
      <c r="F10" s="97" t="s">
        <v>41</v>
      </c>
      <c r="G10" s="97" t="s">
        <v>35</v>
      </c>
      <c r="H10" s="130">
        <v>45300</v>
      </c>
      <c r="I10" s="98">
        <v>289</v>
      </c>
      <c r="J10" s="99">
        <v>280</v>
      </c>
      <c r="K10" s="144">
        <v>0</v>
      </c>
      <c r="L10" s="97" t="s">
        <v>36</v>
      </c>
      <c r="M10" s="152">
        <f>Combined_Data!$I10*Combined_Data!$J10</f>
        <v>80920</v>
      </c>
      <c r="N10" s="152">
        <f>Combined_Data!$M10*(1-Combined_Data!$K10)</f>
        <v>80920</v>
      </c>
      <c r="O10" s="100" t="str">
        <f>IF(Combined_Data!$N10&gt;350000,"High",IF(Combined_Data!$N10&gt;100000,"Medium","Low"))</f>
        <v>Low</v>
      </c>
    </row>
    <row r="11" spans="1:15" x14ac:dyDescent="0.3">
      <c r="A11" s="101" t="s">
        <v>62</v>
      </c>
      <c r="B11" s="102" t="s">
        <v>63</v>
      </c>
      <c r="C11" s="103" t="s">
        <v>253</v>
      </c>
      <c r="D11" s="103" t="s">
        <v>50</v>
      </c>
      <c r="E11" s="103" t="s">
        <v>45</v>
      </c>
      <c r="F11" s="103" t="s">
        <v>46</v>
      </c>
      <c r="G11" s="103" t="s">
        <v>42</v>
      </c>
      <c r="H11" s="131">
        <v>45301</v>
      </c>
      <c r="I11" s="104">
        <v>239</v>
      </c>
      <c r="J11" s="105">
        <v>750</v>
      </c>
      <c r="K11" s="145">
        <v>0.13</v>
      </c>
      <c r="L11" s="103" t="s">
        <v>30</v>
      </c>
      <c r="M11" s="153">
        <f>Combined_Data!$I11*Combined_Data!$J11</f>
        <v>179250</v>
      </c>
      <c r="N11" s="153">
        <f>Combined_Data!$M11*(1-Combined_Data!$K11)</f>
        <v>155947.5</v>
      </c>
      <c r="O11" s="106" t="str">
        <f>IF(Combined_Data!$N11&gt;350000,"High",IF(Combined_Data!$N11&gt;100000,"Medium","Low"))</f>
        <v>Medium</v>
      </c>
    </row>
    <row r="12" spans="1:15" x14ac:dyDescent="0.3">
      <c r="A12" s="95" t="s">
        <v>64</v>
      </c>
      <c r="B12" s="96" t="s">
        <v>16</v>
      </c>
      <c r="C12" s="97" t="s">
        <v>250</v>
      </c>
      <c r="D12" s="97" t="s">
        <v>39</v>
      </c>
      <c r="E12" s="97" t="s">
        <v>51</v>
      </c>
      <c r="F12" s="97" t="s">
        <v>52</v>
      </c>
      <c r="G12" s="97" t="s">
        <v>47</v>
      </c>
      <c r="H12" s="130">
        <v>45302</v>
      </c>
      <c r="I12" s="98">
        <v>13</v>
      </c>
      <c r="J12" s="99">
        <v>990</v>
      </c>
      <c r="K12" s="144">
        <v>0</v>
      </c>
      <c r="L12" s="97" t="s">
        <v>36</v>
      </c>
      <c r="M12" s="152">
        <f>Combined_Data!$I12*Combined_Data!$J12</f>
        <v>12870</v>
      </c>
      <c r="N12" s="152">
        <f>Combined_Data!$M12*(1-Combined_Data!$K12)</f>
        <v>12870</v>
      </c>
      <c r="O12" s="100" t="str">
        <f>IF(Combined_Data!$N12&gt;350000,"High",IF(Combined_Data!$N12&gt;100000,"Medium","Low"))</f>
        <v>Low</v>
      </c>
    </row>
    <row r="13" spans="1:15" x14ac:dyDescent="0.3">
      <c r="A13" s="101" t="s">
        <v>65</v>
      </c>
      <c r="B13" s="102" t="s">
        <v>25</v>
      </c>
      <c r="C13" s="103" t="s">
        <v>257</v>
      </c>
      <c r="D13" s="103" t="s">
        <v>26</v>
      </c>
      <c r="E13" s="103" t="s">
        <v>27</v>
      </c>
      <c r="F13" s="103" t="s">
        <v>28</v>
      </c>
      <c r="G13" s="103" t="s">
        <v>53</v>
      </c>
      <c r="H13" s="131">
        <v>45304</v>
      </c>
      <c r="I13" s="104">
        <v>91</v>
      </c>
      <c r="J13" s="105">
        <v>350</v>
      </c>
      <c r="K13" s="145">
        <v>0</v>
      </c>
      <c r="L13" s="103" t="s">
        <v>30</v>
      </c>
      <c r="M13" s="153">
        <f>Combined_Data!$I13*Combined_Data!$J13</f>
        <v>31850</v>
      </c>
      <c r="N13" s="153">
        <f>Combined_Data!$M13*(1-Combined_Data!$K13)</f>
        <v>31850</v>
      </c>
      <c r="O13" s="106" t="str">
        <f>IF(Combined_Data!$N13&gt;350000,"High",IF(Combined_Data!$N13&gt;100000,"Medium","Low"))</f>
        <v>Low</v>
      </c>
    </row>
    <row r="14" spans="1:15" x14ac:dyDescent="0.3">
      <c r="A14" s="95" t="s">
        <v>71</v>
      </c>
      <c r="B14" s="96" t="s">
        <v>32</v>
      </c>
      <c r="C14" s="97" t="s">
        <v>246</v>
      </c>
      <c r="D14" s="97" t="s">
        <v>26</v>
      </c>
      <c r="E14" s="97" t="s">
        <v>33</v>
      </c>
      <c r="F14" s="97" t="s">
        <v>34</v>
      </c>
      <c r="G14" s="97" t="s">
        <v>56</v>
      </c>
      <c r="H14" s="130">
        <v>45305</v>
      </c>
      <c r="I14" s="98">
        <v>184</v>
      </c>
      <c r="J14" s="99">
        <v>420</v>
      </c>
      <c r="K14" s="144">
        <v>0.05</v>
      </c>
      <c r="L14" s="97" t="s">
        <v>36</v>
      </c>
      <c r="M14" s="152">
        <f>Combined_Data!$I14*Combined_Data!$J14</f>
        <v>77280</v>
      </c>
      <c r="N14" s="152">
        <f>Combined_Data!$M14*(1-Combined_Data!$K14)</f>
        <v>73416</v>
      </c>
      <c r="O14" s="100" t="str">
        <f>IF(Combined_Data!$N14&gt;350000,"High",IF(Combined_Data!$N14&gt;100000,"Medium","Low"))</f>
        <v>Low</v>
      </c>
    </row>
    <row r="15" spans="1:15" x14ac:dyDescent="0.3">
      <c r="A15" s="101" t="s">
        <v>72</v>
      </c>
      <c r="B15" s="102" t="s">
        <v>38</v>
      </c>
      <c r="C15" s="103" t="s">
        <v>247</v>
      </c>
      <c r="D15" s="103" t="s">
        <v>39</v>
      </c>
      <c r="E15" s="103" t="s">
        <v>40</v>
      </c>
      <c r="F15" s="103" t="s">
        <v>41</v>
      </c>
      <c r="G15" s="103" t="s">
        <v>29</v>
      </c>
      <c r="H15" s="131">
        <v>45306</v>
      </c>
      <c r="I15" s="104">
        <v>400</v>
      </c>
      <c r="J15" s="105">
        <v>1200</v>
      </c>
      <c r="K15" s="145">
        <v>0</v>
      </c>
      <c r="L15" s="103" t="s">
        <v>36</v>
      </c>
      <c r="M15" s="153">
        <f>Combined_Data!$I15*Combined_Data!$J15</f>
        <v>480000</v>
      </c>
      <c r="N15" s="153">
        <f>Combined_Data!$M15*(1-Combined_Data!$K15)</f>
        <v>480000</v>
      </c>
      <c r="O15" s="106" t="str">
        <f>IF(Combined_Data!$N15&gt;350000,"High",IF(Combined_Data!$N15&gt;100000,"Medium","Low"))</f>
        <v>High</v>
      </c>
    </row>
    <row r="16" spans="1:15" x14ac:dyDescent="0.3">
      <c r="A16" s="95" t="s">
        <v>73</v>
      </c>
      <c r="B16" s="96" t="s">
        <v>44</v>
      </c>
      <c r="C16" s="97" t="s">
        <v>254</v>
      </c>
      <c r="D16" s="97" t="s">
        <v>39</v>
      </c>
      <c r="E16" s="97" t="s">
        <v>45</v>
      </c>
      <c r="F16" s="97" t="s">
        <v>46</v>
      </c>
      <c r="G16" s="97" t="s">
        <v>35</v>
      </c>
      <c r="H16" s="130">
        <v>45307</v>
      </c>
      <c r="I16" s="98">
        <v>57</v>
      </c>
      <c r="J16" s="99">
        <v>200</v>
      </c>
      <c r="K16" s="144">
        <v>0</v>
      </c>
      <c r="L16" s="97" t="s">
        <v>30</v>
      </c>
      <c r="M16" s="152">
        <f>Combined_Data!$I16*Combined_Data!$J16</f>
        <v>11400</v>
      </c>
      <c r="N16" s="152">
        <f>Combined_Data!$M16*(1-Combined_Data!$K16)</f>
        <v>11400</v>
      </c>
      <c r="O16" s="100" t="str">
        <f>IF(Combined_Data!$N16&gt;350000,"High",IF(Combined_Data!$N16&gt;100000,"Medium","Low"))</f>
        <v>Low</v>
      </c>
    </row>
    <row r="17" spans="1:15" x14ac:dyDescent="0.3">
      <c r="A17" s="101" t="s">
        <v>74</v>
      </c>
      <c r="B17" s="102" t="s">
        <v>49</v>
      </c>
      <c r="C17" s="103" t="s">
        <v>251</v>
      </c>
      <c r="D17" s="103" t="s">
        <v>50</v>
      </c>
      <c r="E17" s="103" t="s">
        <v>51</v>
      </c>
      <c r="F17" s="103" t="s">
        <v>52</v>
      </c>
      <c r="G17" s="103" t="s">
        <v>42</v>
      </c>
      <c r="H17" s="131">
        <v>45308</v>
      </c>
      <c r="I17" s="104">
        <v>193</v>
      </c>
      <c r="J17" s="105">
        <v>895</v>
      </c>
      <c r="K17" s="145">
        <v>0.1</v>
      </c>
      <c r="L17" s="103" t="s">
        <v>36</v>
      </c>
      <c r="M17" s="153">
        <f>Combined_Data!$I17*Combined_Data!$J17</f>
        <v>172735</v>
      </c>
      <c r="N17" s="153">
        <f>Combined_Data!$M17*(1-Combined_Data!$K17)</f>
        <v>155461.5</v>
      </c>
      <c r="O17" s="106" t="str">
        <f>IF(Combined_Data!$N17&gt;350000,"High",IF(Combined_Data!$N17&gt;100000,"Medium","Low"))</f>
        <v>Medium</v>
      </c>
    </row>
    <row r="18" spans="1:15" x14ac:dyDescent="0.3">
      <c r="A18" s="95" t="s">
        <v>75</v>
      </c>
      <c r="B18" s="96" t="s">
        <v>55</v>
      </c>
      <c r="C18" s="97" t="s">
        <v>249</v>
      </c>
      <c r="D18" s="97" t="s">
        <v>39</v>
      </c>
      <c r="E18" s="97" t="s">
        <v>27</v>
      </c>
      <c r="F18" s="97" t="s">
        <v>28</v>
      </c>
      <c r="G18" s="97" t="s">
        <v>47</v>
      </c>
      <c r="H18" s="130">
        <v>45309</v>
      </c>
      <c r="I18" s="98">
        <v>423</v>
      </c>
      <c r="J18" s="99">
        <v>650</v>
      </c>
      <c r="K18" s="144">
        <v>0</v>
      </c>
      <c r="L18" s="97" t="s">
        <v>30</v>
      </c>
      <c r="M18" s="152">
        <f>Combined_Data!$I18*Combined_Data!$J18</f>
        <v>274950</v>
      </c>
      <c r="N18" s="152">
        <f>Combined_Data!$M18*(1-Combined_Data!$K18)</f>
        <v>274950</v>
      </c>
      <c r="O18" s="100" t="str">
        <f>IF(Combined_Data!$N18&gt;350000,"High",IF(Combined_Data!$N18&gt;100000,"Medium","Low"))</f>
        <v>Medium</v>
      </c>
    </row>
    <row r="19" spans="1:15" x14ac:dyDescent="0.3">
      <c r="A19" s="101" t="s">
        <v>76</v>
      </c>
      <c r="B19" s="102" t="s">
        <v>58</v>
      </c>
      <c r="C19" s="103" t="s">
        <v>255</v>
      </c>
      <c r="D19" s="103" t="s">
        <v>59</v>
      </c>
      <c r="E19" s="103" t="s">
        <v>33</v>
      </c>
      <c r="F19" s="103" t="s">
        <v>34</v>
      </c>
      <c r="G19" s="103" t="s">
        <v>53</v>
      </c>
      <c r="H19" s="131">
        <v>45310</v>
      </c>
      <c r="I19" s="104">
        <v>245</v>
      </c>
      <c r="J19" s="105">
        <v>2800</v>
      </c>
      <c r="K19" s="145">
        <v>0</v>
      </c>
      <c r="L19" s="103" t="s">
        <v>36</v>
      </c>
      <c r="M19" s="153">
        <f>Combined_Data!$I19*Combined_Data!$J19</f>
        <v>686000</v>
      </c>
      <c r="N19" s="153">
        <f>Combined_Data!$M19*(1-Combined_Data!$K19)</f>
        <v>686000</v>
      </c>
      <c r="O19" s="106" t="str">
        <f>IF(Combined_Data!$N19&gt;350000,"High",IF(Combined_Data!$N19&gt;100000,"Medium","Low"))</f>
        <v>High</v>
      </c>
    </row>
    <row r="20" spans="1:15" x14ac:dyDescent="0.3">
      <c r="A20" s="95" t="s">
        <v>81</v>
      </c>
      <c r="B20" s="96" t="s">
        <v>61</v>
      </c>
      <c r="C20" s="97" t="s">
        <v>244</v>
      </c>
      <c r="D20" s="97" t="s">
        <v>26</v>
      </c>
      <c r="E20" s="97" t="s">
        <v>40</v>
      </c>
      <c r="F20" s="97" t="s">
        <v>41</v>
      </c>
      <c r="G20" s="97" t="s">
        <v>56</v>
      </c>
      <c r="H20" s="130">
        <v>45311</v>
      </c>
      <c r="I20" s="98">
        <v>482</v>
      </c>
      <c r="J20" s="99">
        <v>280</v>
      </c>
      <c r="K20" s="144">
        <v>0.09</v>
      </c>
      <c r="L20" s="97" t="s">
        <v>36</v>
      </c>
      <c r="M20" s="152">
        <f>Combined_Data!$I20*Combined_Data!$J20</f>
        <v>134960</v>
      </c>
      <c r="N20" s="152">
        <f>Combined_Data!$M20*(1-Combined_Data!$K20)</f>
        <v>122813.6</v>
      </c>
      <c r="O20" s="100" t="str">
        <f>IF(Combined_Data!$N20&gt;350000,"High",IF(Combined_Data!$N20&gt;100000,"Medium","Low"))</f>
        <v>Medium</v>
      </c>
    </row>
    <row r="21" spans="1:15" x14ac:dyDescent="0.3">
      <c r="A21" s="101" t="s">
        <v>82</v>
      </c>
      <c r="B21" s="102" t="s">
        <v>63</v>
      </c>
      <c r="C21" s="103" t="s">
        <v>253</v>
      </c>
      <c r="D21" s="103" t="s">
        <v>50</v>
      </c>
      <c r="E21" s="103" t="s">
        <v>45</v>
      </c>
      <c r="F21" s="103" t="s">
        <v>46</v>
      </c>
      <c r="G21" s="103" t="s">
        <v>29</v>
      </c>
      <c r="H21" s="131">
        <v>45312</v>
      </c>
      <c r="I21" s="104">
        <v>434</v>
      </c>
      <c r="J21" s="105">
        <v>750</v>
      </c>
      <c r="K21" s="145">
        <v>0</v>
      </c>
      <c r="L21" s="103" t="s">
        <v>30</v>
      </c>
      <c r="M21" s="153">
        <f>Combined_Data!$I21*Combined_Data!$J21</f>
        <v>325500</v>
      </c>
      <c r="N21" s="153">
        <f>Combined_Data!$M21*(1-Combined_Data!$K21)</f>
        <v>325500</v>
      </c>
      <c r="O21" s="106" t="str">
        <f>IF(Combined_Data!$N21&gt;350000,"High",IF(Combined_Data!$N21&gt;100000,"Medium","Low"))</f>
        <v>Medium</v>
      </c>
    </row>
    <row r="22" spans="1:15" x14ac:dyDescent="0.3">
      <c r="A22" s="95" t="s">
        <v>84</v>
      </c>
      <c r="B22" s="96" t="s">
        <v>16</v>
      </c>
      <c r="C22" s="97" t="s">
        <v>250</v>
      </c>
      <c r="D22" s="97" t="s">
        <v>39</v>
      </c>
      <c r="E22" s="97" t="s">
        <v>51</v>
      </c>
      <c r="F22" s="97" t="s">
        <v>52</v>
      </c>
      <c r="G22" s="97" t="s">
        <v>35</v>
      </c>
      <c r="H22" s="130">
        <v>45313</v>
      </c>
      <c r="I22" s="98">
        <v>463</v>
      </c>
      <c r="J22" s="99">
        <v>990</v>
      </c>
      <c r="K22" s="144">
        <v>0</v>
      </c>
      <c r="L22" s="97" t="s">
        <v>36</v>
      </c>
      <c r="M22" s="152">
        <f>Combined_Data!$I22*Combined_Data!$J22</f>
        <v>458370</v>
      </c>
      <c r="N22" s="152">
        <f>Combined_Data!$M22*(1-Combined_Data!$K22)</f>
        <v>458370</v>
      </c>
      <c r="O22" s="100" t="str">
        <f>IF(Combined_Data!$N22&gt;350000,"High",IF(Combined_Data!$N22&gt;100000,"Medium","Low"))</f>
        <v>High</v>
      </c>
    </row>
    <row r="23" spans="1:15" x14ac:dyDescent="0.3">
      <c r="A23" s="101" t="s">
        <v>85</v>
      </c>
      <c r="B23" s="102" t="s">
        <v>25</v>
      </c>
      <c r="C23" s="103" t="s">
        <v>257</v>
      </c>
      <c r="D23" s="103" t="s">
        <v>26</v>
      </c>
      <c r="E23" s="103" t="s">
        <v>27</v>
      </c>
      <c r="F23" s="103" t="s">
        <v>28</v>
      </c>
      <c r="G23" s="103" t="s">
        <v>42</v>
      </c>
      <c r="H23" s="131">
        <v>45314</v>
      </c>
      <c r="I23" s="104">
        <v>305</v>
      </c>
      <c r="J23" s="105">
        <v>350</v>
      </c>
      <c r="K23" s="145">
        <v>0.03</v>
      </c>
      <c r="L23" s="103" t="s">
        <v>30</v>
      </c>
      <c r="M23" s="153">
        <f>Combined_Data!$I23*Combined_Data!$J23</f>
        <v>106750</v>
      </c>
      <c r="N23" s="153">
        <f>Combined_Data!$M23*(1-Combined_Data!$K23)</f>
        <v>103547.5</v>
      </c>
      <c r="O23" s="106" t="str">
        <f>IF(Combined_Data!$N23&gt;350000,"High",IF(Combined_Data!$N23&gt;100000,"Medium","Low"))</f>
        <v>Medium</v>
      </c>
    </row>
    <row r="24" spans="1:15" x14ac:dyDescent="0.3">
      <c r="A24" s="95" t="s">
        <v>86</v>
      </c>
      <c r="B24" s="96" t="s">
        <v>32</v>
      </c>
      <c r="C24" s="97" t="s">
        <v>246</v>
      </c>
      <c r="D24" s="97" t="s">
        <v>26</v>
      </c>
      <c r="E24" s="97" t="s">
        <v>33</v>
      </c>
      <c r="F24" s="97" t="s">
        <v>34</v>
      </c>
      <c r="G24" s="97" t="s">
        <v>47</v>
      </c>
      <c r="H24" s="130">
        <v>45315</v>
      </c>
      <c r="I24" s="98">
        <v>150</v>
      </c>
      <c r="J24" s="99">
        <v>420</v>
      </c>
      <c r="K24" s="144">
        <v>0</v>
      </c>
      <c r="L24" s="97" t="s">
        <v>36</v>
      </c>
      <c r="M24" s="152">
        <v>63000</v>
      </c>
      <c r="N24" s="152">
        <f>Combined_Data!$M24*(1-Combined_Data!$K24)</f>
        <v>63000</v>
      </c>
      <c r="O24" s="100" t="str">
        <f>IF(Combined_Data!$N24&gt;350000,"High",IF(Combined_Data!$N24&gt;100000,"Medium","Low"))</f>
        <v>Low</v>
      </c>
    </row>
    <row r="25" spans="1:15" x14ac:dyDescent="0.3">
      <c r="A25" s="101" t="s">
        <v>91</v>
      </c>
      <c r="B25" s="102" t="s">
        <v>38</v>
      </c>
      <c r="C25" s="103" t="s">
        <v>247</v>
      </c>
      <c r="D25" s="103" t="s">
        <v>39</v>
      </c>
      <c r="E25" s="103" t="s">
        <v>40</v>
      </c>
      <c r="F25" s="103" t="s">
        <v>41</v>
      </c>
      <c r="G25" s="103" t="s">
        <v>53</v>
      </c>
      <c r="H25" s="131">
        <v>45316</v>
      </c>
      <c r="I25" s="104">
        <v>158</v>
      </c>
      <c r="J25" s="105">
        <v>1200</v>
      </c>
      <c r="K25" s="145">
        <v>0</v>
      </c>
      <c r="L25" s="103" t="s">
        <v>36</v>
      </c>
      <c r="M25" s="153">
        <f>Combined_Data!$I25*Combined_Data!$J25</f>
        <v>189600</v>
      </c>
      <c r="N25" s="153">
        <f>Combined_Data!$M25*(1-Combined_Data!$K25)</f>
        <v>189600</v>
      </c>
      <c r="O25" s="106" t="str">
        <f>IF(Combined_Data!$N25&gt;350000,"High",IF(Combined_Data!$N25&gt;100000,"Medium","Low"))</f>
        <v>Medium</v>
      </c>
    </row>
    <row r="26" spans="1:15" x14ac:dyDescent="0.3">
      <c r="A26" s="95" t="s">
        <v>97</v>
      </c>
      <c r="B26" s="96" t="s">
        <v>44</v>
      </c>
      <c r="C26" s="97" t="s">
        <v>254</v>
      </c>
      <c r="D26" s="97" t="s">
        <v>39</v>
      </c>
      <c r="E26" s="97" t="s">
        <v>45</v>
      </c>
      <c r="F26" s="97" t="s">
        <v>46</v>
      </c>
      <c r="G26" s="97" t="s">
        <v>56</v>
      </c>
      <c r="H26" s="130">
        <v>45317</v>
      </c>
      <c r="I26" s="98">
        <v>447</v>
      </c>
      <c r="J26" s="99">
        <v>200</v>
      </c>
      <c r="K26" s="144">
        <v>0.03</v>
      </c>
      <c r="L26" s="97" t="s">
        <v>30</v>
      </c>
      <c r="M26" s="152">
        <f>Combined_Data!$I26*Combined_Data!$J26</f>
        <v>89400</v>
      </c>
      <c r="N26" s="152">
        <f>Combined_Data!$M26*(1-Combined_Data!$K26)</f>
        <v>86718</v>
      </c>
      <c r="O26" s="100" t="str">
        <f>IF(Combined_Data!$N26&gt;350000,"High",IF(Combined_Data!$N26&gt;100000,"Medium","Low"))</f>
        <v>Low</v>
      </c>
    </row>
    <row r="27" spans="1:15" x14ac:dyDescent="0.3">
      <c r="A27" s="101" t="s">
        <v>98</v>
      </c>
      <c r="B27" s="102" t="s">
        <v>49</v>
      </c>
      <c r="C27" s="103" t="s">
        <v>251</v>
      </c>
      <c r="D27" s="103" t="s">
        <v>50</v>
      </c>
      <c r="E27" s="103" t="s">
        <v>51</v>
      </c>
      <c r="F27" s="103" t="s">
        <v>52</v>
      </c>
      <c r="G27" s="103" t="s">
        <v>29</v>
      </c>
      <c r="H27" s="131">
        <v>45318</v>
      </c>
      <c r="I27" s="104">
        <v>152</v>
      </c>
      <c r="J27" s="105">
        <v>895</v>
      </c>
      <c r="K27" s="145">
        <v>0</v>
      </c>
      <c r="L27" s="103" t="s">
        <v>36</v>
      </c>
      <c r="M27" s="153">
        <f>Combined_Data!$I27*Combined_Data!$J27</f>
        <v>136040</v>
      </c>
      <c r="N27" s="153">
        <f>Combined_Data!$M27*(1-Combined_Data!$K27)</f>
        <v>136040</v>
      </c>
      <c r="O27" s="106" t="str">
        <f>IF(Combined_Data!$N27&gt;350000,"High",IF(Combined_Data!$N27&gt;100000,"Medium","Low"))</f>
        <v>Medium</v>
      </c>
    </row>
    <row r="28" spans="1:15" x14ac:dyDescent="0.3">
      <c r="A28" s="95" t="s">
        <v>100</v>
      </c>
      <c r="B28" s="96" t="s">
        <v>55</v>
      </c>
      <c r="C28" s="97" t="s">
        <v>249</v>
      </c>
      <c r="D28" s="97" t="s">
        <v>39</v>
      </c>
      <c r="E28" s="97" t="s">
        <v>27</v>
      </c>
      <c r="F28" s="97" t="s">
        <v>28</v>
      </c>
      <c r="G28" s="97" t="s">
        <v>35</v>
      </c>
      <c r="H28" s="130">
        <v>45319</v>
      </c>
      <c r="I28" s="98">
        <v>437</v>
      </c>
      <c r="J28" s="99">
        <v>650</v>
      </c>
      <c r="K28" s="144">
        <v>0</v>
      </c>
      <c r="L28" s="97" t="s">
        <v>30</v>
      </c>
      <c r="M28" s="152">
        <f>Combined_Data!$I28*Combined_Data!$J28</f>
        <v>284050</v>
      </c>
      <c r="N28" s="152">
        <f>Combined_Data!$M28*(1-Combined_Data!$K28)</f>
        <v>284050</v>
      </c>
      <c r="O28" s="100" t="str">
        <f>IF(Combined_Data!$N28&gt;350000,"High",IF(Combined_Data!$N28&gt;100000,"Medium","Low"))</f>
        <v>Medium</v>
      </c>
    </row>
    <row r="29" spans="1:15" x14ac:dyDescent="0.3">
      <c r="A29" s="101" t="s">
        <v>101</v>
      </c>
      <c r="B29" s="102" t="s">
        <v>58</v>
      </c>
      <c r="C29" s="103" t="s">
        <v>255</v>
      </c>
      <c r="D29" s="103" t="s">
        <v>59</v>
      </c>
      <c r="E29" s="103" t="s">
        <v>33</v>
      </c>
      <c r="F29" s="103" t="s">
        <v>34</v>
      </c>
      <c r="G29" s="103" t="s">
        <v>42</v>
      </c>
      <c r="H29" s="131">
        <v>45320</v>
      </c>
      <c r="I29" s="104">
        <v>199</v>
      </c>
      <c r="J29" s="105">
        <v>2800</v>
      </c>
      <c r="K29" s="145">
        <v>0.11</v>
      </c>
      <c r="L29" s="103" t="s">
        <v>36</v>
      </c>
      <c r="M29" s="153">
        <f>Combined_Data!$I29*Combined_Data!$J29</f>
        <v>557200</v>
      </c>
      <c r="N29" s="153">
        <f>Combined_Data!$M29*(1-Combined_Data!$K29)</f>
        <v>495908</v>
      </c>
      <c r="O29" s="106" t="str">
        <f>IF(Combined_Data!$N29&gt;350000,"High",IF(Combined_Data!$N29&gt;100000,"Medium","Low"))</f>
        <v>High</v>
      </c>
    </row>
    <row r="30" spans="1:15" x14ac:dyDescent="0.3">
      <c r="A30" s="95" t="s">
        <v>102</v>
      </c>
      <c r="B30" s="96" t="s">
        <v>61</v>
      </c>
      <c r="C30" s="97" t="s">
        <v>244</v>
      </c>
      <c r="D30" s="97" t="s">
        <v>26</v>
      </c>
      <c r="E30" s="97" t="s">
        <v>40</v>
      </c>
      <c r="F30" s="97" t="s">
        <v>41</v>
      </c>
      <c r="G30" s="97" t="s">
        <v>47</v>
      </c>
      <c r="H30" s="130">
        <v>45321</v>
      </c>
      <c r="I30" s="98">
        <v>369</v>
      </c>
      <c r="J30" s="99">
        <v>280</v>
      </c>
      <c r="K30" s="144">
        <v>0</v>
      </c>
      <c r="L30" s="97" t="s">
        <v>36</v>
      </c>
      <c r="M30" s="152">
        <f>Combined_Data!$I30*Combined_Data!$J30</f>
        <v>103320</v>
      </c>
      <c r="N30" s="152">
        <f>Combined_Data!$M30*(1-Combined_Data!$K30)</f>
        <v>103320</v>
      </c>
      <c r="O30" s="100" t="str">
        <f>IF(Combined_Data!$N30&gt;350000,"High",IF(Combined_Data!$N30&gt;100000,"Medium","Low"))</f>
        <v>Medium</v>
      </c>
    </row>
    <row r="31" spans="1:15" x14ac:dyDescent="0.3">
      <c r="A31" s="101" t="s">
        <v>103</v>
      </c>
      <c r="B31" s="102" t="s">
        <v>63</v>
      </c>
      <c r="C31" s="103" t="s">
        <v>253</v>
      </c>
      <c r="D31" s="103" t="s">
        <v>50</v>
      </c>
      <c r="E31" s="103" t="s">
        <v>45</v>
      </c>
      <c r="F31" s="103" t="s">
        <v>46</v>
      </c>
      <c r="G31" s="103" t="s">
        <v>53</v>
      </c>
      <c r="H31" s="131">
        <v>45322</v>
      </c>
      <c r="I31" s="104">
        <v>341</v>
      </c>
      <c r="J31" s="105">
        <v>750</v>
      </c>
      <c r="K31" s="145">
        <v>0</v>
      </c>
      <c r="L31" s="103" t="s">
        <v>30</v>
      </c>
      <c r="M31" s="153">
        <f>Combined_Data!$I31*Combined_Data!$J31</f>
        <v>255750</v>
      </c>
      <c r="N31" s="153">
        <f>Combined_Data!$M31*(1-Combined_Data!$K31)</f>
        <v>255750</v>
      </c>
      <c r="O31" s="106" t="str">
        <f>IF(Combined_Data!$N31&gt;350000,"High",IF(Combined_Data!$N31&gt;100000,"Medium","Low"))</f>
        <v>Medium</v>
      </c>
    </row>
    <row r="32" spans="1:15" x14ac:dyDescent="0.3">
      <c r="A32" s="95" t="s">
        <v>104</v>
      </c>
      <c r="B32" s="96" t="s">
        <v>16</v>
      </c>
      <c r="C32" s="97" t="s">
        <v>250</v>
      </c>
      <c r="D32" s="97" t="s">
        <v>39</v>
      </c>
      <c r="E32" s="97" t="s">
        <v>51</v>
      </c>
      <c r="F32" s="97" t="s">
        <v>52</v>
      </c>
      <c r="G32" s="97" t="s">
        <v>56</v>
      </c>
      <c r="H32" s="130">
        <v>45323</v>
      </c>
      <c r="I32" s="98">
        <v>335</v>
      </c>
      <c r="J32" s="99">
        <v>990</v>
      </c>
      <c r="K32" s="144">
        <v>0.11</v>
      </c>
      <c r="L32" s="97" t="s">
        <v>36</v>
      </c>
      <c r="M32" s="152">
        <f>Combined_Data!$I32*Combined_Data!$J32</f>
        <v>331650</v>
      </c>
      <c r="N32" s="152">
        <f>Combined_Data!$M32*(1-Combined_Data!$K32)</f>
        <v>295168.5</v>
      </c>
      <c r="O32" s="100" t="str">
        <f>IF(Combined_Data!$N32&gt;350000,"High",IF(Combined_Data!$N32&gt;100000,"Medium","Low"))</f>
        <v>Medium</v>
      </c>
    </row>
    <row r="33" spans="1:15" x14ac:dyDescent="0.3">
      <c r="A33" s="101" t="s">
        <v>105</v>
      </c>
      <c r="B33" s="102" t="s">
        <v>25</v>
      </c>
      <c r="C33" s="103" t="s">
        <v>257</v>
      </c>
      <c r="D33" s="103" t="s">
        <v>26</v>
      </c>
      <c r="E33" s="103" t="s">
        <v>27</v>
      </c>
      <c r="F33" s="103" t="s">
        <v>28</v>
      </c>
      <c r="G33" s="103" t="s">
        <v>29</v>
      </c>
      <c r="H33" s="131">
        <v>45324</v>
      </c>
      <c r="I33" s="104">
        <v>93</v>
      </c>
      <c r="J33" s="105">
        <v>350</v>
      </c>
      <c r="K33" s="145">
        <v>0</v>
      </c>
      <c r="L33" s="103" t="s">
        <v>30</v>
      </c>
      <c r="M33" s="153">
        <f>Combined_Data!$I33*Combined_Data!$J33</f>
        <v>32550</v>
      </c>
      <c r="N33" s="153">
        <f>Combined_Data!$M33*(1-Combined_Data!$K33)</f>
        <v>32550</v>
      </c>
      <c r="O33" s="106" t="str">
        <f>IF(Combined_Data!$N33&gt;350000,"High",IF(Combined_Data!$N33&gt;100000,"Medium","Low"))</f>
        <v>Low</v>
      </c>
    </row>
    <row r="34" spans="1:15" x14ac:dyDescent="0.3">
      <c r="A34" s="95" t="s">
        <v>106</v>
      </c>
      <c r="B34" s="96" t="s">
        <v>32</v>
      </c>
      <c r="C34" s="97" t="s">
        <v>246</v>
      </c>
      <c r="D34" s="97" t="s">
        <v>26</v>
      </c>
      <c r="E34" s="97" t="s">
        <v>33</v>
      </c>
      <c r="F34" s="97" t="s">
        <v>34</v>
      </c>
      <c r="G34" s="97" t="s">
        <v>35</v>
      </c>
      <c r="H34" s="130">
        <v>45325</v>
      </c>
      <c r="I34" s="98">
        <v>148</v>
      </c>
      <c r="J34" s="99">
        <v>420</v>
      </c>
      <c r="K34" s="144">
        <v>0</v>
      </c>
      <c r="L34" s="97" t="s">
        <v>36</v>
      </c>
      <c r="M34" s="152">
        <f>Combined_Data!$I34*Combined_Data!$J34</f>
        <v>62160</v>
      </c>
      <c r="N34" s="152">
        <f>Combined_Data!$M34*(1-Combined_Data!$K34)</f>
        <v>62160</v>
      </c>
      <c r="O34" s="100" t="str">
        <f>IF(Combined_Data!$N34&gt;350000,"High",IF(Combined_Data!$N34&gt;100000,"Medium","Low"))</f>
        <v>Low</v>
      </c>
    </row>
    <row r="35" spans="1:15" x14ac:dyDescent="0.3">
      <c r="A35" s="101" t="s">
        <v>107</v>
      </c>
      <c r="B35" s="102" t="s">
        <v>38</v>
      </c>
      <c r="C35" s="103" t="s">
        <v>247</v>
      </c>
      <c r="D35" s="103" t="s">
        <v>39</v>
      </c>
      <c r="E35" s="103" t="s">
        <v>40</v>
      </c>
      <c r="F35" s="103" t="s">
        <v>41</v>
      </c>
      <c r="G35" s="103" t="s">
        <v>42</v>
      </c>
      <c r="H35" s="131">
        <v>45326</v>
      </c>
      <c r="I35" s="104">
        <v>337</v>
      </c>
      <c r="J35" s="105">
        <v>1200</v>
      </c>
      <c r="K35" s="145">
        <v>0.05</v>
      </c>
      <c r="L35" s="103" t="s">
        <v>36</v>
      </c>
      <c r="M35" s="153">
        <f>Combined_Data!$I35*Combined_Data!$J35</f>
        <v>404400</v>
      </c>
      <c r="N35" s="153">
        <f>Combined_Data!$M35*(1-Combined_Data!$K35)</f>
        <v>384180</v>
      </c>
      <c r="O35" s="106" t="str">
        <f>IF(Combined_Data!$N35&gt;350000,"High",IF(Combined_Data!$N35&gt;100000,"Medium","Low"))</f>
        <v>High</v>
      </c>
    </row>
    <row r="36" spans="1:15" x14ac:dyDescent="0.3">
      <c r="A36" s="95" t="s">
        <v>112</v>
      </c>
      <c r="B36" s="96" t="s">
        <v>44</v>
      </c>
      <c r="C36" s="97" t="s">
        <v>254</v>
      </c>
      <c r="D36" s="97" t="s">
        <v>39</v>
      </c>
      <c r="E36" s="97" t="s">
        <v>45</v>
      </c>
      <c r="F36" s="97" t="s">
        <v>46</v>
      </c>
      <c r="G36" s="97" t="s">
        <v>47</v>
      </c>
      <c r="H36" s="130">
        <v>45327</v>
      </c>
      <c r="I36" s="98">
        <v>176</v>
      </c>
      <c r="J36" s="99">
        <v>200</v>
      </c>
      <c r="K36" s="144">
        <v>0</v>
      </c>
      <c r="L36" s="97" t="s">
        <v>30</v>
      </c>
      <c r="M36" s="152">
        <f>Combined_Data!$I36*Combined_Data!$J36</f>
        <v>35200</v>
      </c>
      <c r="N36" s="152">
        <f>Combined_Data!$M36*(1-Combined_Data!$K36)</f>
        <v>35200</v>
      </c>
      <c r="O36" s="100" t="str">
        <f>IF(Combined_Data!$N36&gt;350000,"High",IF(Combined_Data!$N36&gt;100000,"Medium","Low"))</f>
        <v>Low</v>
      </c>
    </row>
    <row r="37" spans="1:15" x14ac:dyDescent="0.3">
      <c r="A37" s="101" t="s">
        <v>117</v>
      </c>
      <c r="B37" s="102" t="s">
        <v>49</v>
      </c>
      <c r="C37" s="103" t="s">
        <v>251</v>
      </c>
      <c r="D37" s="103" t="s">
        <v>50</v>
      </c>
      <c r="E37" s="103" t="s">
        <v>51</v>
      </c>
      <c r="F37" s="103" t="s">
        <v>52</v>
      </c>
      <c r="G37" s="103" t="s">
        <v>53</v>
      </c>
      <c r="H37" s="131">
        <v>45328</v>
      </c>
      <c r="I37" s="104">
        <v>407</v>
      </c>
      <c r="J37" s="105">
        <v>895</v>
      </c>
      <c r="K37" s="145">
        <v>0</v>
      </c>
      <c r="L37" s="103" t="s">
        <v>36</v>
      </c>
      <c r="M37" s="153">
        <f>Combined_Data!$I37*Combined_Data!$J37</f>
        <v>364265</v>
      </c>
      <c r="N37" s="153">
        <f>Combined_Data!$M37*(1-Combined_Data!$K37)</f>
        <v>364265</v>
      </c>
      <c r="O37" s="106" t="str">
        <f>IF(Combined_Data!$N37&gt;350000,"High",IF(Combined_Data!$N37&gt;100000,"Medium","Low"))</f>
        <v>High</v>
      </c>
    </row>
    <row r="38" spans="1:15" x14ac:dyDescent="0.3">
      <c r="A38" s="95" t="s">
        <v>118</v>
      </c>
      <c r="B38" s="96" t="s">
        <v>55</v>
      </c>
      <c r="C38" s="97" t="s">
        <v>249</v>
      </c>
      <c r="D38" s="97" t="s">
        <v>39</v>
      </c>
      <c r="E38" s="97" t="s">
        <v>27</v>
      </c>
      <c r="F38" s="97" t="s">
        <v>28</v>
      </c>
      <c r="G38" s="97" t="s">
        <v>56</v>
      </c>
      <c r="H38" s="130">
        <v>45329</v>
      </c>
      <c r="I38" s="98">
        <v>430</v>
      </c>
      <c r="J38" s="99">
        <v>650</v>
      </c>
      <c r="K38" s="144">
        <v>0.06</v>
      </c>
      <c r="L38" s="97" t="s">
        <v>30</v>
      </c>
      <c r="M38" s="152">
        <f>Combined_Data!$I38*Combined_Data!$J38</f>
        <v>279500</v>
      </c>
      <c r="N38" s="152">
        <f>Combined_Data!$M38*(1-Combined_Data!$K38)</f>
        <v>262730</v>
      </c>
      <c r="O38" s="100" t="str">
        <f>IF(Combined_Data!$N38&gt;350000,"High",IF(Combined_Data!$N38&gt;100000,"Medium","Low"))</f>
        <v>Medium</v>
      </c>
    </row>
    <row r="39" spans="1:15" x14ac:dyDescent="0.3">
      <c r="A39" s="101" t="s">
        <v>119</v>
      </c>
      <c r="B39" s="102" t="s">
        <v>58</v>
      </c>
      <c r="C39" s="103" t="s">
        <v>255</v>
      </c>
      <c r="D39" s="103" t="s">
        <v>59</v>
      </c>
      <c r="E39" s="103" t="s">
        <v>33</v>
      </c>
      <c r="F39" s="103" t="s">
        <v>34</v>
      </c>
      <c r="G39" s="103" t="s">
        <v>29</v>
      </c>
      <c r="H39" s="131">
        <v>45330</v>
      </c>
      <c r="I39" s="104">
        <v>147</v>
      </c>
      <c r="J39" s="105">
        <v>2800</v>
      </c>
      <c r="K39" s="145">
        <v>0</v>
      </c>
      <c r="L39" s="103" t="s">
        <v>36</v>
      </c>
      <c r="M39" s="153">
        <f>Combined_Data!$I39*Combined_Data!$J39</f>
        <v>411600</v>
      </c>
      <c r="N39" s="153">
        <f>Combined_Data!$M39*(1-Combined_Data!$K39)</f>
        <v>411600</v>
      </c>
      <c r="O39" s="106" t="str">
        <f>IF(Combined_Data!$N39&gt;350000,"High",IF(Combined_Data!$N39&gt;100000,"Medium","Low"))</f>
        <v>High</v>
      </c>
    </row>
    <row r="40" spans="1:15" x14ac:dyDescent="0.3">
      <c r="A40" s="95" t="s">
        <v>120</v>
      </c>
      <c r="B40" s="96" t="s">
        <v>61</v>
      </c>
      <c r="C40" s="97" t="s">
        <v>244</v>
      </c>
      <c r="D40" s="97" t="s">
        <v>26</v>
      </c>
      <c r="E40" s="97" t="s">
        <v>40</v>
      </c>
      <c r="F40" s="97" t="s">
        <v>41</v>
      </c>
      <c r="G40" s="97" t="s">
        <v>35</v>
      </c>
      <c r="H40" s="130">
        <v>45331</v>
      </c>
      <c r="I40" s="98">
        <v>63</v>
      </c>
      <c r="J40" s="99">
        <v>280</v>
      </c>
      <c r="K40" s="144">
        <v>0</v>
      </c>
      <c r="L40" s="97" t="s">
        <v>36</v>
      </c>
      <c r="M40" s="152">
        <v>17640</v>
      </c>
      <c r="N40" s="152">
        <f>Combined_Data!$M40*(1-Combined_Data!$K40)</f>
        <v>17640</v>
      </c>
      <c r="O40" s="100" t="str">
        <f>IF(Combined_Data!$N40&gt;350000,"High",IF(Combined_Data!$N40&gt;100000,"Medium","Low"))</f>
        <v>Low</v>
      </c>
    </row>
    <row r="41" spans="1:15" x14ac:dyDescent="0.3">
      <c r="A41" s="101" t="s">
        <v>122</v>
      </c>
      <c r="B41" s="102" t="s">
        <v>63</v>
      </c>
      <c r="C41" s="103" t="s">
        <v>253</v>
      </c>
      <c r="D41" s="103" t="s">
        <v>50</v>
      </c>
      <c r="E41" s="103" t="s">
        <v>45</v>
      </c>
      <c r="F41" s="103" t="s">
        <v>46</v>
      </c>
      <c r="G41" s="103" t="s">
        <v>42</v>
      </c>
      <c r="H41" s="131">
        <v>45332</v>
      </c>
      <c r="I41" s="104">
        <v>458</v>
      </c>
      <c r="J41" s="105">
        <v>750</v>
      </c>
      <c r="K41" s="145">
        <v>0.05</v>
      </c>
      <c r="L41" s="103" t="s">
        <v>30</v>
      </c>
      <c r="M41" s="153">
        <f>Combined_Data!$I41*Combined_Data!$J41</f>
        <v>343500</v>
      </c>
      <c r="N41" s="153">
        <f>Combined_Data!$M41*(1-Combined_Data!$K41)</f>
        <v>326325</v>
      </c>
      <c r="O41" s="106" t="str">
        <f>IF(Combined_Data!$N41&gt;350000,"High",IF(Combined_Data!$N41&gt;100000,"Medium","Low"))</f>
        <v>Medium</v>
      </c>
    </row>
    <row r="42" spans="1:15" x14ac:dyDescent="0.3">
      <c r="A42" s="95" t="s">
        <v>123</v>
      </c>
      <c r="B42" s="96" t="s">
        <v>16</v>
      </c>
      <c r="C42" s="97" t="s">
        <v>250</v>
      </c>
      <c r="D42" s="97" t="s">
        <v>39</v>
      </c>
      <c r="E42" s="97" t="s">
        <v>51</v>
      </c>
      <c r="F42" s="97" t="s">
        <v>52</v>
      </c>
      <c r="G42" s="97" t="s">
        <v>47</v>
      </c>
      <c r="H42" s="130">
        <v>45333</v>
      </c>
      <c r="I42" s="98">
        <v>265</v>
      </c>
      <c r="J42" s="99">
        <v>990</v>
      </c>
      <c r="K42" s="144">
        <v>0</v>
      </c>
      <c r="L42" s="97" t="s">
        <v>36</v>
      </c>
      <c r="M42" s="152">
        <f>Combined_Data!$I42*Combined_Data!$J42</f>
        <v>262350</v>
      </c>
      <c r="N42" s="152">
        <f>Combined_Data!$M42*(1-Combined_Data!$K42)</f>
        <v>262350</v>
      </c>
      <c r="O42" s="100" t="str">
        <f>IF(Combined_Data!$N42&gt;350000,"High",IF(Combined_Data!$N42&gt;100000,"Medium","Low"))</f>
        <v>Medium</v>
      </c>
    </row>
    <row r="43" spans="1:15" x14ac:dyDescent="0.3">
      <c r="A43" s="101" t="s">
        <v>124</v>
      </c>
      <c r="B43" s="102" t="s">
        <v>25</v>
      </c>
      <c r="C43" s="103" t="s">
        <v>257</v>
      </c>
      <c r="D43" s="103" t="s">
        <v>26</v>
      </c>
      <c r="E43" s="103" t="s">
        <v>27</v>
      </c>
      <c r="F43" s="103" t="s">
        <v>28</v>
      </c>
      <c r="G43" s="103" t="s">
        <v>53</v>
      </c>
      <c r="H43" s="131">
        <v>45334</v>
      </c>
      <c r="I43" s="104">
        <v>478</v>
      </c>
      <c r="J43" s="105">
        <v>350</v>
      </c>
      <c r="K43" s="145">
        <v>0</v>
      </c>
      <c r="L43" s="103" t="s">
        <v>30</v>
      </c>
      <c r="M43" s="153">
        <f>Combined_Data!$I43*Combined_Data!$J43</f>
        <v>167300</v>
      </c>
      <c r="N43" s="153">
        <f>Combined_Data!$M43*(1-Combined_Data!$K43)</f>
        <v>167300</v>
      </c>
      <c r="O43" s="106" t="str">
        <f>IF(Combined_Data!$N43&gt;350000,"High",IF(Combined_Data!$N43&gt;100000,"Medium","Low"))</f>
        <v>Medium</v>
      </c>
    </row>
    <row r="44" spans="1:15" x14ac:dyDescent="0.3">
      <c r="A44" s="95" t="s">
        <v>125</v>
      </c>
      <c r="B44" s="96" t="s">
        <v>32</v>
      </c>
      <c r="C44" s="97" t="s">
        <v>246</v>
      </c>
      <c r="D44" s="97" t="s">
        <v>26</v>
      </c>
      <c r="E44" s="97" t="s">
        <v>33</v>
      </c>
      <c r="F44" s="97" t="s">
        <v>34</v>
      </c>
      <c r="G44" s="97" t="s">
        <v>56</v>
      </c>
      <c r="H44" s="130">
        <v>45335</v>
      </c>
      <c r="I44" s="98">
        <v>83</v>
      </c>
      <c r="J44" s="99">
        <v>420</v>
      </c>
      <c r="K44" s="144">
        <v>0.05</v>
      </c>
      <c r="L44" s="97" t="s">
        <v>36</v>
      </c>
      <c r="M44" s="152">
        <f>Combined_Data!$I44*Combined_Data!$J44</f>
        <v>34860</v>
      </c>
      <c r="N44" s="152">
        <f>Combined_Data!$M44*(1-Combined_Data!$K44)</f>
        <v>33117</v>
      </c>
      <c r="O44" s="100" t="str">
        <f>IF(Combined_Data!$N44&gt;350000,"High",IF(Combined_Data!$N44&gt;100000,"Medium","Low"))</f>
        <v>Low</v>
      </c>
    </row>
    <row r="45" spans="1:15" x14ac:dyDescent="0.3">
      <c r="A45" s="101" t="s">
        <v>126</v>
      </c>
      <c r="B45" s="102" t="s">
        <v>38</v>
      </c>
      <c r="C45" s="103" t="s">
        <v>247</v>
      </c>
      <c r="D45" s="103" t="s">
        <v>39</v>
      </c>
      <c r="E45" s="103" t="s">
        <v>40</v>
      </c>
      <c r="F45" s="103" t="s">
        <v>41</v>
      </c>
      <c r="G45" s="103" t="s">
        <v>29</v>
      </c>
      <c r="H45" s="131">
        <v>45336</v>
      </c>
      <c r="I45" s="104">
        <v>297</v>
      </c>
      <c r="J45" s="105">
        <v>1200</v>
      </c>
      <c r="K45" s="145">
        <v>0</v>
      </c>
      <c r="L45" s="103" t="s">
        <v>36</v>
      </c>
      <c r="M45" s="153">
        <f>Combined_Data!$I45*Combined_Data!$J45</f>
        <v>356400</v>
      </c>
      <c r="N45" s="153">
        <f>Combined_Data!$M45*(1-Combined_Data!$K45)</f>
        <v>356400</v>
      </c>
      <c r="O45" s="106" t="str">
        <f>IF(Combined_Data!$N45&gt;350000,"High",IF(Combined_Data!$N45&gt;100000,"Medium","Low"))</f>
        <v>High</v>
      </c>
    </row>
    <row r="46" spans="1:15" x14ac:dyDescent="0.3">
      <c r="A46" s="95" t="s">
        <v>127</v>
      </c>
      <c r="B46" s="96" t="s">
        <v>44</v>
      </c>
      <c r="C46" s="97" t="s">
        <v>254</v>
      </c>
      <c r="D46" s="97" t="s">
        <v>39</v>
      </c>
      <c r="E46" s="97" t="s">
        <v>45</v>
      </c>
      <c r="F46" s="97" t="s">
        <v>46</v>
      </c>
      <c r="G46" s="97" t="s">
        <v>35</v>
      </c>
      <c r="H46" s="130">
        <v>45337</v>
      </c>
      <c r="I46" s="98">
        <v>392</v>
      </c>
      <c r="J46" s="99">
        <v>200</v>
      </c>
      <c r="K46" s="144">
        <v>0</v>
      </c>
      <c r="L46" s="97" t="s">
        <v>30</v>
      </c>
      <c r="M46" s="152">
        <f>Combined_Data!$I46*Combined_Data!$J46</f>
        <v>78400</v>
      </c>
      <c r="N46" s="152">
        <f>Combined_Data!$M46*(1-Combined_Data!$K46)</f>
        <v>78400</v>
      </c>
      <c r="O46" s="100" t="str">
        <f>IF(Combined_Data!$N46&gt;350000,"High",IF(Combined_Data!$N46&gt;100000,"Medium","Low"))</f>
        <v>Low</v>
      </c>
    </row>
    <row r="47" spans="1:15" x14ac:dyDescent="0.3">
      <c r="A47" s="101" t="s">
        <v>131</v>
      </c>
      <c r="B47" s="102" t="s">
        <v>49</v>
      </c>
      <c r="C47" s="103" t="s">
        <v>251</v>
      </c>
      <c r="D47" s="103" t="s">
        <v>50</v>
      </c>
      <c r="E47" s="103" t="s">
        <v>51</v>
      </c>
      <c r="F47" s="103" t="s">
        <v>52</v>
      </c>
      <c r="G47" s="103" t="s">
        <v>42</v>
      </c>
      <c r="H47" s="131">
        <v>45338</v>
      </c>
      <c r="I47" s="104">
        <v>469</v>
      </c>
      <c r="J47" s="105">
        <v>895</v>
      </c>
      <c r="K47" s="145">
        <v>7.0000000000000007E-2</v>
      </c>
      <c r="L47" s="103" t="s">
        <v>36</v>
      </c>
      <c r="M47" s="153">
        <f>Combined_Data!$I47*Combined_Data!$J47</f>
        <v>419755</v>
      </c>
      <c r="N47" s="153">
        <f>Combined_Data!$M47*(1-Combined_Data!$K47)</f>
        <v>390372.14999999997</v>
      </c>
      <c r="O47" s="106" t="str">
        <f>IF(Combined_Data!$N47&gt;350000,"High",IF(Combined_Data!$N47&gt;100000,"Medium","Low"))</f>
        <v>High</v>
      </c>
    </row>
    <row r="48" spans="1:15" x14ac:dyDescent="0.3">
      <c r="A48" s="95" t="s">
        <v>132</v>
      </c>
      <c r="B48" s="96" t="s">
        <v>55</v>
      </c>
      <c r="C48" s="97" t="s">
        <v>249</v>
      </c>
      <c r="D48" s="97" t="s">
        <v>39</v>
      </c>
      <c r="E48" s="97" t="s">
        <v>27</v>
      </c>
      <c r="F48" s="97" t="s">
        <v>28</v>
      </c>
      <c r="G48" s="97" t="s">
        <v>47</v>
      </c>
      <c r="H48" s="130">
        <v>45340</v>
      </c>
      <c r="I48" s="98">
        <v>80</v>
      </c>
      <c r="J48" s="99">
        <v>650</v>
      </c>
      <c r="K48" s="144">
        <v>0</v>
      </c>
      <c r="L48" s="97" t="s">
        <v>30</v>
      </c>
      <c r="M48" s="152">
        <f>Combined_Data!$I48*Combined_Data!$J48</f>
        <v>52000</v>
      </c>
      <c r="N48" s="152">
        <f>Combined_Data!$M48*(1-Combined_Data!$K48)</f>
        <v>52000</v>
      </c>
      <c r="O48" s="100" t="str">
        <f>IF(Combined_Data!$N48&gt;350000,"High",IF(Combined_Data!$N48&gt;100000,"Medium","Low"))</f>
        <v>Low</v>
      </c>
    </row>
    <row r="49" spans="1:15" x14ac:dyDescent="0.3">
      <c r="A49" s="101" t="s">
        <v>137</v>
      </c>
      <c r="B49" s="102" t="s">
        <v>58</v>
      </c>
      <c r="C49" s="103" t="s">
        <v>255</v>
      </c>
      <c r="D49" s="103" t="s">
        <v>59</v>
      </c>
      <c r="E49" s="103" t="s">
        <v>33</v>
      </c>
      <c r="F49" s="103" t="s">
        <v>34</v>
      </c>
      <c r="G49" s="103" t="s">
        <v>53</v>
      </c>
      <c r="H49" s="131">
        <v>45341</v>
      </c>
      <c r="I49" s="104">
        <v>56</v>
      </c>
      <c r="J49" s="105">
        <v>2800</v>
      </c>
      <c r="K49" s="145">
        <v>0</v>
      </c>
      <c r="L49" s="103" t="s">
        <v>36</v>
      </c>
      <c r="M49" s="153">
        <f>Combined_Data!$I49*Combined_Data!$J49</f>
        <v>156800</v>
      </c>
      <c r="N49" s="153">
        <f>Combined_Data!$M49*(1-Combined_Data!$K49)</f>
        <v>156800</v>
      </c>
      <c r="O49" s="106" t="str">
        <f>IF(Combined_Data!$N49&gt;350000,"High",IF(Combined_Data!$N49&gt;100000,"Medium","Low"))</f>
        <v>Medium</v>
      </c>
    </row>
    <row r="50" spans="1:15" x14ac:dyDescent="0.3">
      <c r="A50" s="95" t="s">
        <v>138</v>
      </c>
      <c r="B50" s="96" t="s">
        <v>61</v>
      </c>
      <c r="C50" s="97" t="s">
        <v>244</v>
      </c>
      <c r="D50" s="97" t="s">
        <v>26</v>
      </c>
      <c r="E50" s="97" t="s">
        <v>40</v>
      </c>
      <c r="F50" s="97" t="s">
        <v>41</v>
      </c>
      <c r="G50" s="97" t="s">
        <v>56</v>
      </c>
      <c r="H50" s="130">
        <v>45342</v>
      </c>
      <c r="I50" s="98">
        <v>450</v>
      </c>
      <c r="J50" s="99">
        <v>280</v>
      </c>
      <c r="K50" s="144">
        <v>0.1</v>
      </c>
      <c r="L50" s="97" t="s">
        <v>36</v>
      </c>
      <c r="M50" s="152">
        <f>Combined_Data!$I50*Combined_Data!$J50</f>
        <v>126000</v>
      </c>
      <c r="N50" s="152">
        <f>Combined_Data!$M50*(1-Combined_Data!$K50)</f>
        <v>113400</v>
      </c>
      <c r="O50" s="100" t="str">
        <f>IF(Combined_Data!$N50&gt;350000,"High",IF(Combined_Data!$N50&gt;100000,"Medium","Low"))</f>
        <v>Medium</v>
      </c>
    </row>
    <row r="51" spans="1:15" x14ac:dyDescent="0.3">
      <c r="A51" s="101" t="s">
        <v>139</v>
      </c>
      <c r="B51" s="102" t="s">
        <v>63</v>
      </c>
      <c r="C51" s="103" t="s">
        <v>253</v>
      </c>
      <c r="D51" s="103" t="s">
        <v>50</v>
      </c>
      <c r="E51" s="103" t="s">
        <v>45</v>
      </c>
      <c r="F51" s="103" t="s">
        <v>46</v>
      </c>
      <c r="G51" s="103" t="s">
        <v>29</v>
      </c>
      <c r="H51" s="131">
        <v>45343</v>
      </c>
      <c r="I51" s="104">
        <v>415</v>
      </c>
      <c r="J51" s="105">
        <v>750</v>
      </c>
      <c r="K51" s="145">
        <v>0</v>
      </c>
      <c r="L51" s="103" t="s">
        <v>30</v>
      </c>
      <c r="M51" s="153">
        <f>Combined_Data!$I51*Combined_Data!$J51</f>
        <v>311250</v>
      </c>
      <c r="N51" s="153">
        <f>Combined_Data!$M51*(1-Combined_Data!$K51)</f>
        <v>311250</v>
      </c>
      <c r="O51" s="106" t="str">
        <f>IF(Combined_Data!$N51&gt;350000,"High",IF(Combined_Data!$N51&gt;100000,"Medium","Low"))</f>
        <v>Medium</v>
      </c>
    </row>
    <row r="52" spans="1:15" x14ac:dyDescent="0.3">
      <c r="A52" s="95" t="s">
        <v>140</v>
      </c>
      <c r="B52" s="96" t="s">
        <v>16</v>
      </c>
      <c r="C52" s="97" t="s">
        <v>250</v>
      </c>
      <c r="D52" s="97" t="s">
        <v>39</v>
      </c>
      <c r="E52" s="97" t="s">
        <v>51</v>
      </c>
      <c r="F52" s="97" t="s">
        <v>52</v>
      </c>
      <c r="G52" s="97" t="s">
        <v>35</v>
      </c>
      <c r="H52" s="130">
        <v>45344</v>
      </c>
      <c r="I52" s="98">
        <v>315</v>
      </c>
      <c r="J52" s="99">
        <v>990</v>
      </c>
      <c r="K52" s="144">
        <v>0</v>
      </c>
      <c r="L52" s="97" t="s">
        <v>36</v>
      </c>
      <c r="M52" s="152">
        <f>Combined_Data!$I52*Combined_Data!$J52</f>
        <v>311850</v>
      </c>
      <c r="N52" s="152">
        <f>Combined_Data!$M52*(1-Combined_Data!$K52)</f>
        <v>311850</v>
      </c>
      <c r="O52" s="100" t="str">
        <f>IF(Combined_Data!$N52&gt;350000,"High",IF(Combined_Data!$N52&gt;100000,"Medium","Low"))</f>
        <v>Medium</v>
      </c>
    </row>
    <row r="53" spans="1:15" x14ac:dyDescent="0.3">
      <c r="A53" s="101" t="s">
        <v>142</v>
      </c>
      <c r="B53" s="102" t="s">
        <v>25</v>
      </c>
      <c r="C53" s="103" t="s">
        <v>257</v>
      </c>
      <c r="D53" s="103" t="s">
        <v>26</v>
      </c>
      <c r="E53" s="103" t="s">
        <v>27</v>
      </c>
      <c r="F53" s="103" t="s">
        <v>28</v>
      </c>
      <c r="G53" s="103" t="s">
        <v>42</v>
      </c>
      <c r="H53" s="131">
        <v>45345</v>
      </c>
      <c r="I53" s="104">
        <v>205</v>
      </c>
      <c r="J53" s="105">
        <v>350</v>
      </c>
      <c r="K53" s="145">
        <v>0.08</v>
      </c>
      <c r="L53" s="103" t="s">
        <v>30</v>
      </c>
      <c r="M53" s="153">
        <f>Combined_Data!$I53*Combined_Data!$J53</f>
        <v>71750</v>
      </c>
      <c r="N53" s="153">
        <f>Combined_Data!$M53*(1-Combined_Data!$K53)</f>
        <v>66010</v>
      </c>
      <c r="O53" s="106" t="str">
        <f>IF(Combined_Data!$N53&gt;350000,"High",IF(Combined_Data!$N53&gt;100000,"Medium","Low"))</f>
        <v>Low</v>
      </c>
    </row>
    <row r="54" spans="1:15" x14ac:dyDescent="0.3">
      <c r="A54" s="95" t="s">
        <v>147</v>
      </c>
      <c r="B54" s="96" t="s">
        <v>32</v>
      </c>
      <c r="C54" s="97" t="s">
        <v>246</v>
      </c>
      <c r="D54" s="97" t="s">
        <v>26</v>
      </c>
      <c r="E54" s="97" t="s">
        <v>33</v>
      </c>
      <c r="F54" s="97" t="s">
        <v>34</v>
      </c>
      <c r="G54" s="97" t="s">
        <v>47</v>
      </c>
      <c r="H54" s="130">
        <v>45346</v>
      </c>
      <c r="I54" s="98">
        <v>138</v>
      </c>
      <c r="J54" s="99">
        <v>420</v>
      </c>
      <c r="K54" s="144">
        <v>0</v>
      </c>
      <c r="L54" s="97" t="s">
        <v>36</v>
      </c>
      <c r="M54" s="152">
        <f>Combined_Data!$I54*Combined_Data!$J54</f>
        <v>57960</v>
      </c>
      <c r="N54" s="152">
        <f>Combined_Data!$M54*(1-Combined_Data!$K54)</f>
        <v>57960</v>
      </c>
      <c r="O54" s="100" t="str">
        <f>IF(Combined_Data!$N54&gt;350000,"High",IF(Combined_Data!$N54&gt;100000,"Medium","Low"))</f>
        <v>Low</v>
      </c>
    </row>
    <row r="55" spans="1:15" x14ac:dyDescent="0.3">
      <c r="A55" s="101" t="s">
        <v>148</v>
      </c>
      <c r="B55" s="102" t="s">
        <v>38</v>
      </c>
      <c r="C55" s="103" t="s">
        <v>247</v>
      </c>
      <c r="D55" s="103" t="s">
        <v>39</v>
      </c>
      <c r="E55" s="103" t="s">
        <v>40</v>
      </c>
      <c r="F55" s="103" t="s">
        <v>41</v>
      </c>
      <c r="G55" s="103" t="s">
        <v>53</v>
      </c>
      <c r="H55" s="131">
        <v>45347</v>
      </c>
      <c r="I55" s="104">
        <v>450</v>
      </c>
      <c r="J55" s="105">
        <v>1200</v>
      </c>
      <c r="K55" s="145">
        <v>0</v>
      </c>
      <c r="L55" s="103" t="s">
        <v>36</v>
      </c>
      <c r="M55" s="153">
        <f>Combined_Data!$I55*Combined_Data!$J55</f>
        <v>540000</v>
      </c>
      <c r="N55" s="153">
        <f>Combined_Data!$M55*(1-Combined_Data!$K55)</f>
        <v>540000</v>
      </c>
      <c r="O55" s="106" t="str">
        <f>IF(Combined_Data!$N55&gt;350000,"High",IF(Combined_Data!$N55&gt;100000,"Medium","Low"))</f>
        <v>High</v>
      </c>
    </row>
    <row r="56" spans="1:15" x14ac:dyDescent="0.3">
      <c r="A56" s="95" t="s">
        <v>149</v>
      </c>
      <c r="B56" s="96" t="s">
        <v>44</v>
      </c>
      <c r="C56" s="97" t="s">
        <v>254</v>
      </c>
      <c r="D56" s="97" t="s">
        <v>39</v>
      </c>
      <c r="E56" s="97" t="s">
        <v>45</v>
      </c>
      <c r="F56" s="97" t="s">
        <v>46</v>
      </c>
      <c r="G56" s="97" t="s">
        <v>56</v>
      </c>
      <c r="H56" s="130">
        <v>45348</v>
      </c>
      <c r="I56" s="98">
        <v>358</v>
      </c>
      <c r="J56" s="99">
        <v>200</v>
      </c>
      <c r="K56" s="144">
        <v>0.11</v>
      </c>
      <c r="L56" s="97" t="s">
        <v>30</v>
      </c>
      <c r="M56" s="152">
        <f>Combined_Data!$I56*Combined_Data!$J56</f>
        <v>71600</v>
      </c>
      <c r="N56" s="152">
        <f>Combined_Data!$M56*(1-Combined_Data!$K56)</f>
        <v>63724</v>
      </c>
      <c r="O56" s="100" t="str">
        <f>IF(Combined_Data!$N56&gt;350000,"High",IF(Combined_Data!$N56&gt;100000,"Medium","Low"))</f>
        <v>Low</v>
      </c>
    </row>
    <row r="57" spans="1:15" x14ac:dyDescent="0.3">
      <c r="A57" s="101" t="s">
        <v>150</v>
      </c>
      <c r="B57" s="102" t="s">
        <v>49</v>
      </c>
      <c r="C57" s="103" t="s">
        <v>251</v>
      </c>
      <c r="D57" s="103" t="s">
        <v>50</v>
      </c>
      <c r="E57" s="103" t="s">
        <v>51</v>
      </c>
      <c r="F57" s="103" t="s">
        <v>52</v>
      </c>
      <c r="G57" s="103" t="s">
        <v>29</v>
      </c>
      <c r="H57" s="131">
        <v>45349</v>
      </c>
      <c r="I57" s="104">
        <v>160</v>
      </c>
      <c r="J57" s="105">
        <v>895</v>
      </c>
      <c r="K57" s="145">
        <v>0</v>
      </c>
      <c r="L57" s="103" t="s">
        <v>36</v>
      </c>
      <c r="M57" s="153">
        <v>143200</v>
      </c>
      <c r="N57" s="153">
        <f>Combined_Data!$M57*(1-Combined_Data!$K57)</f>
        <v>143200</v>
      </c>
      <c r="O57" s="106" t="str">
        <f>IF(Combined_Data!$N57&gt;350000,"High",IF(Combined_Data!$N57&gt;100000,"Medium","Low"))</f>
        <v>Medium</v>
      </c>
    </row>
    <row r="58" spans="1:15" x14ac:dyDescent="0.3">
      <c r="A58" s="95" t="s">
        <v>155</v>
      </c>
      <c r="B58" s="96" t="s">
        <v>55</v>
      </c>
      <c r="C58" s="97" t="s">
        <v>249</v>
      </c>
      <c r="D58" s="97" t="s">
        <v>39</v>
      </c>
      <c r="E58" s="97" t="s">
        <v>27</v>
      </c>
      <c r="F58" s="97" t="s">
        <v>28</v>
      </c>
      <c r="G58" s="97" t="s">
        <v>35</v>
      </c>
      <c r="H58" s="130">
        <v>45350</v>
      </c>
      <c r="I58" s="98">
        <v>403</v>
      </c>
      <c r="J58" s="99">
        <v>650</v>
      </c>
      <c r="K58" s="144">
        <v>0</v>
      </c>
      <c r="L58" s="97" t="s">
        <v>30</v>
      </c>
      <c r="M58" s="152">
        <f>Combined_Data!$I58*Combined_Data!$J58</f>
        <v>261950</v>
      </c>
      <c r="N58" s="152">
        <f>Combined_Data!$M58*(1-Combined_Data!$K58)</f>
        <v>261950</v>
      </c>
      <c r="O58" s="100" t="str">
        <f>IF(Combined_Data!$N58&gt;350000,"High",IF(Combined_Data!$N58&gt;100000,"Medium","Low"))</f>
        <v>Medium</v>
      </c>
    </row>
    <row r="59" spans="1:15" x14ac:dyDescent="0.3">
      <c r="A59" s="101" t="s">
        <v>156</v>
      </c>
      <c r="B59" s="102" t="s">
        <v>58</v>
      </c>
      <c r="C59" s="103" t="s">
        <v>255</v>
      </c>
      <c r="D59" s="103" t="s">
        <v>59</v>
      </c>
      <c r="E59" s="103" t="s">
        <v>33</v>
      </c>
      <c r="F59" s="103" t="s">
        <v>34</v>
      </c>
      <c r="G59" s="103" t="s">
        <v>42</v>
      </c>
      <c r="H59" s="131">
        <v>45351</v>
      </c>
      <c r="I59" s="104">
        <v>67</v>
      </c>
      <c r="J59" s="105">
        <v>2800</v>
      </c>
      <c r="K59" s="145">
        <v>0.04</v>
      </c>
      <c r="L59" s="103" t="s">
        <v>36</v>
      </c>
      <c r="M59" s="153">
        <f>Combined_Data!$I59*Combined_Data!$J59</f>
        <v>187600</v>
      </c>
      <c r="N59" s="153">
        <f>Combined_Data!$M59*(1-Combined_Data!$K59)</f>
        <v>180096</v>
      </c>
      <c r="O59" s="106" t="str">
        <f>IF(Combined_Data!$N59&gt;350000,"High",IF(Combined_Data!$N59&gt;100000,"Medium","Low"))</f>
        <v>Medium</v>
      </c>
    </row>
    <row r="60" spans="1:15" x14ac:dyDescent="0.3">
      <c r="A60" s="95" t="s">
        <v>158</v>
      </c>
      <c r="B60" s="96" t="s">
        <v>61</v>
      </c>
      <c r="C60" s="97" t="s">
        <v>244</v>
      </c>
      <c r="D60" s="97" t="s">
        <v>26</v>
      </c>
      <c r="E60" s="97" t="s">
        <v>40</v>
      </c>
      <c r="F60" s="97" t="s">
        <v>41</v>
      </c>
      <c r="G60" s="97" t="s">
        <v>47</v>
      </c>
      <c r="H60" s="130">
        <v>45352</v>
      </c>
      <c r="I60" s="98">
        <v>11</v>
      </c>
      <c r="J60" s="99">
        <v>280</v>
      </c>
      <c r="K60" s="144">
        <v>0</v>
      </c>
      <c r="L60" s="97" t="s">
        <v>36</v>
      </c>
      <c r="M60" s="152">
        <f>Combined_Data!$I60*Combined_Data!$J60</f>
        <v>3080</v>
      </c>
      <c r="N60" s="152">
        <f>Combined_Data!$M60*(1-Combined_Data!$K60)</f>
        <v>3080</v>
      </c>
      <c r="O60" s="100" t="str">
        <f>IF(Combined_Data!$N60&gt;350000,"High",IF(Combined_Data!$N60&gt;100000,"Medium","Low"))</f>
        <v>Low</v>
      </c>
    </row>
    <row r="61" spans="1:15" x14ac:dyDescent="0.3">
      <c r="A61" s="101" t="s">
        <v>159</v>
      </c>
      <c r="B61" s="102" t="s">
        <v>63</v>
      </c>
      <c r="C61" s="103" t="s">
        <v>253</v>
      </c>
      <c r="D61" s="103" t="s">
        <v>50</v>
      </c>
      <c r="E61" s="103" t="s">
        <v>45</v>
      </c>
      <c r="F61" s="103" t="s">
        <v>46</v>
      </c>
      <c r="G61" s="103" t="s">
        <v>53</v>
      </c>
      <c r="H61" s="131">
        <v>45353</v>
      </c>
      <c r="I61" s="104">
        <v>458</v>
      </c>
      <c r="J61" s="105">
        <v>750</v>
      </c>
      <c r="K61" s="145">
        <v>0</v>
      </c>
      <c r="L61" s="103" t="s">
        <v>30</v>
      </c>
      <c r="M61" s="153">
        <f>Combined_Data!$I61*Combined_Data!$J61</f>
        <v>343500</v>
      </c>
      <c r="N61" s="153">
        <f>Combined_Data!$M61*(1-Combined_Data!$K61)</f>
        <v>343500</v>
      </c>
      <c r="O61" s="106" t="str">
        <f>IF(Combined_Data!$N61&gt;350000,"High",IF(Combined_Data!$N61&gt;100000,"Medium","Low"))</f>
        <v>Medium</v>
      </c>
    </row>
    <row r="62" spans="1:15" x14ac:dyDescent="0.3">
      <c r="A62" s="95" t="s">
        <v>160</v>
      </c>
      <c r="B62" s="96" t="s">
        <v>16</v>
      </c>
      <c r="C62" s="97" t="s">
        <v>250</v>
      </c>
      <c r="D62" s="97" t="s">
        <v>39</v>
      </c>
      <c r="E62" s="97" t="s">
        <v>51</v>
      </c>
      <c r="F62" s="97" t="s">
        <v>52</v>
      </c>
      <c r="G62" s="97" t="s">
        <v>56</v>
      </c>
      <c r="H62" s="130">
        <v>45354</v>
      </c>
      <c r="I62" s="98">
        <v>266</v>
      </c>
      <c r="J62" s="99">
        <v>990</v>
      </c>
      <c r="K62" s="144">
        <v>0.09</v>
      </c>
      <c r="L62" s="97" t="s">
        <v>36</v>
      </c>
      <c r="M62" s="152">
        <f>Combined_Data!$I62*Combined_Data!$J62</f>
        <v>263340</v>
      </c>
      <c r="N62" s="152">
        <f>Combined_Data!$M62*(1-Combined_Data!$K62)</f>
        <v>239639.4</v>
      </c>
      <c r="O62" s="100" t="str">
        <f>IF(Combined_Data!$N62&gt;350000,"High",IF(Combined_Data!$N62&gt;100000,"Medium","Low"))</f>
        <v>Medium</v>
      </c>
    </row>
    <row r="63" spans="1:15" x14ac:dyDescent="0.3">
      <c r="A63" s="101" t="s">
        <v>161</v>
      </c>
      <c r="B63" s="102" t="s">
        <v>25</v>
      </c>
      <c r="C63" s="103" t="s">
        <v>257</v>
      </c>
      <c r="D63" s="103" t="s">
        <v>26</v>
      </c>
      <c r="E63" s="103" t="s">
        <v>27</v>
      </c>
      <c r="F63" s="103" t="s">
        <v>28</v>
      </c>
      <c r="G63" s="103" t="s">
        <v>29</v>
      </c>
      <c r="H63" s="131">
        <v>45355</v>
      </c>
      <c r="I63" s="104">
        <v>64</v>
      </c>
      <c r="J63" s="105">
        <v>350</v>
      </c>
      <c r="K63" s="145">
        <v>0</v>
      </c>
      <c r="L63" s="103" t="s">
        <v>30</v>
      </c>
      <c r="M63" s="153">
        <f>Combined_Data!$I63*Combined_Data!$J63</f>
        <v>22400</v>
      </c>
      <c r="N63" s="153">
        <f>Combined_Data!$M63*(1-Combined_Data!$K63)</f>
        <v>22400</v>
      </c>
      <c r="O63" s="106" t="str">
        <f>IF(Combined_Data!$N63&gt;350000,"High",IF(Combined_Data!$N63&gt;100000,"Medium","Low"))</f>
        <v>Low</v>
      </c>
    </row>
    <row r="64" spans="1:15" x14ac:dyDescent="0.3">
      <c r="A64" s="95" t="s">
        <v>162</v>
      </c>
      <c r="B64" s="96" t="s">
        <v>32</v>
      </c>
      <c r="C64" s="97" t="s">
        <v>246</v>
      </c>
      <c r="D64" s="97" t="s">
        <v>26</v>
      </c>
      <c r="E64" s="97" t="s">
        <v>33</v>
      </c>
      <c r="F64" s="97" t="s">
        <v>34</v>
      </c>
      <c r="G64" s="97" t="s">
        <v>35</v>
      </c>
      <c r="H64" s="130">
        <v>45356</v>
      </c>
      <c r="I64" s="98">
        <v>162</v>
      </c>
      <c r="J64" s="99">
        <v>420</v>
      </c>
      <c r="K64" s="144">
        <v>0</v>
      </c>
      <c r="L64" s="97" t="s">
        <v>36</v>
      </c>
      <c r="M64" s="152">
        <f>Combined_Data!$I64*Combined_Data!$J64</f>
        <v>68040</v>
      </c>
      <c r="N64" s="152">
        <f>Combined_Data!$M64*(1-Combined_Data!$K64)</f>
        <v>68040</v>
      </c>
      <c r="O64" s="100" t="str">
        <f>IF(Combined_Data!$N64&gt;350000,"High",IF(Combined_Data!$N64&gt;100000,"Medium","Low"))</f>
        <v>Low</v>
      </c>
    </row>
    <row r="65" spans="1:15" x14ac:dyDescent="0.3">
      <c r="A65" s="101" t="s">
        <v>163</v>
      </c>
      <c r="B65" s="102" t="s">
        <v>38</v>
      </c>
      <c r="C65" s="103" t="s">
        <v>247</v>
      </c>
      <c r="D65" s="103" t="s">
        <v>39</v>
      </c>
      <c r="E65" s="103" t="s">
        <v>40</v>
      </c>
      <c r="F65" s="103" t="s">
        <v>41</v>
      </c>
      <c r="G65" s="103" t="s">
        <v>42</v>
      </c>
      <c r="H65" s="131">
        <v>45357</v>
      </c>
      <c r="I65" s="104">
        <v>269</v>
      </c>
      <c r="J65" s="105">
        <v>1200</v>
      </c>
      <c r="K65" s="145">
        <v>0.04</v>
      </c>
      <c r="L65" s="103" t="s">
        <v>36</v>
      </c>
      <c r="M65" s="153">
        <f>Combined_Data!$I65*Combined_Data!$J65</f>
        <v>322800</v>
      </c>
      <c r="N65" s="153">
        <f>Combined_Data!$M65*(1-Combined_Data!$K65)</f>
        <v>309888</v>
      </c>
      <c r="O65" s="106" t="str">
        <f>IF(Combined_Data!$N65&gt;350000,"High",IF(Combined_Data!$N65&gt;100000,"Medium","Low"))</f>
        <v>Medium</v>
      </c>
    </row>
    <row r="66" spans="1:15" x14ac:dyDescent="0.3">
      <c r="A66" s="95" t="s">
        <v>164</v>
      </c>
      <c r="B66" s="96" t="s">
        <v>44</v>
      </c>
      <c r="C66" s="97" t="s">
        <v>254</v>
      </c>
      <c r="D66" s="97" t="s">
        <v>39</v>
      </c>
      <c r="E66" s="97" t="s">
        <v>45</v>
      </c>
      <c r="F66" s="97" t="s">
        <v>46</v>
      </c>
      <c r="G66" s="97" t="s">
        <v>47</v>
      </c>
      <c r="H66" s="130">
        <v>45358</v>
      </c>
      <c r="I66" s="98">
        <v>400</v>
      </c>
      <c r="J66" s="99">
        <v>200</v>
      </c>
      <c r="K66" s="144">
        <v>0</v>
      </c>
      <c r="L66" s="97" t="s">
        <v>30</v>
      </c>
      <c r="M66" s="152">
        <f>Combined_Data!$I66*Combined_Data!$J66</f>
        <v>80000</v>
      </c>
      <c r="N66" s="152">
        <f>Combined_Data!$M66*(1-Combined_Data!$K66)</f>
        <v>80000</v>
      </c>
      <c r="O66" s="100" t="str">
        <f>IF(Combined_Data!$N66&gt;350000,"High",IF(Combined_Data!$N66&gt;100000,"Medium","Low"))</f>
        <v>Low</v>
      </c>
    </row>
    <row r="67" spans="1:15" x14ac:dyDescent="0.3">
      <c r="A67" s="101" t="s">
        <v>165</v>
      </c>
      <c r="B67" s="102" t="s">
        <v>49</v>
      </c>
      <c r="C67" s="103" t="s">
        <v>251</v>
      </c>
      <c r="D67" s="103" t="s">
        <v>50</v>
      </c>
      <c r="E67" s="103" t="s">
        <v>51</v>
      </c>
      <c r="F67" s="103" t="s">
        <v>52</v>
      </c>
      <c r="G67" s="103" t="s">
        <v>53</v>
      </c>
      <c r="H67" s="131">
        <v>45359</v>
      </c>
      <c r="I67" s="104">
        <v>498</v>
      </c>
      <c r="J67" s="105">
        <v>895</v>
      </c>
      <c r="K67" s="145">
        <v>0</v>
      </c>
      <c r="L67" s="103" t="s">
        <v>36</v>
      </c>
      <c r="M67" s="153">
        <f>Combined_Data!$I67*Combined_Data!$J67</f>
        <v>445710</v>
      </c>
      <c r="N67" s="153">
        <f>Combined_Data!$M67*(1-Combined_Data!$K67)</f>
        <v>445710</v>
      </c>
      <c r="O67" s="106" t="str">
        <f>IF(Combined_Data!$N67&gt;350000,"High",IF(Combined_Data!$N67&gt;100000,"Medium","Low"))</f>
        <v>High</v>
      </c>
    </row>
    <row r="68" spans="1:15" x14ac:dyDescent="0.3">
      <c r="A68" s="95" t="s">
        <v>166</v>
      </c>
      <c r="B68" s="96" t="s">
        <v>55</v>
      </c>
      <c r="C68" s="97" t="s">
        <v>249</v>
      </c>
      <c r="D68" s="97" t="s">
        <v>39</v>
      </c>
      <c r="E68" s="97" t="s">
        <v>27</v>
      </c>
      <c r="F68" s="97" t="s">
        <v>28</v>
      </c>
      <c r="G68" s="97" t="s">
        <v>56</v>
      </c>
      <c r="H68" s="130">
        <v>45360</v>
      </c>
      <c r="I68" s="98">
        <v>281</v>
      </c>
      <c r="J68" s="99">
        <v>650</v>
      </c>
      <c r="K68" s="144">
        <v>0.1</v>
      </c>
      <c r="L68" s="97" t="s">
        <v>30</v>
      </c>
      <c r="M68" s="152">
        <f>Combined_Data!$I68*Combined_Data!$J68</f>
        <v>182650</v>
      </c>
      <c r="N68" s="152">
        <f>Combined_Data!$M68*(1-Combined_Data!$K68)</f>
        <v>164385</v>
      </c>
      <c r="O68" s="100" t="str">
        <f>IF(Combined_Data!$N68&gt;350000,"High",IF(Combined_Data!$N68&gt;100000,"Medium","Low"))</f>
        <v>Medium</v>
      </c>
    </row>
    <row r="69" spans="1:15" x14ac:dyDescent="0.3">
      <c r="A69" s="101" t="s">
        <v>168</v>
      </c>
      <c r="B69" s="102" t="s">
        <v>58</v>
      </c>
      <c r="C69" s="103" t="s">
        <v>255</v>
      </c>
      <c r="D69" s="103" t="s">
        <v>59</v>
      </c>
      <c r="E69" s="103" t="s">
        <v>33</v>
      </c>
      <c r="F69" s="103" t="s">
        <v>34</v>
      </c>
      <c r="G69" s="103" t="s">
        <v>29</v>
      </c>
      <c r="H69" s="131">
        <v>45361</v>
      </c>
      <c r="I69" s="104">
        <v>260</v>
      </c>
      <c r="J69" s="105">
        <v>2800</v>
      </c>
      <c r="K69" s="145">
        <v>0</v>
      </c>
      <c r="L69" s="103" t="s">
        <v>36</v>
      </c>
      <c r="M69" s="153">
        <f>Combined_Data!$I69*Combined_Data!$J69</f>
        <v>728000</v>
      </c>
      <c r="N69" s="153">
        <f>Combined_Data!$M69*(1-Combined_Data!$K69)</f>
        <v>728000</v>
      </c>
      <c r="O69" s="106" t="str">
        <f>IF(Combined_Data!$N69&gt;350000,"High",IF(Combined_Data!$N69&gt;100000,"Medium","Low"))</f>
        <v>High</v>
      </c>
    </row>
    <row r="70" spans="1:15" x14ac:dyDescent="0.3">
      <c r="A70" s="95" t="s">
        <v>169</v>
      </c>
      <c r="B70" s="96" t="s">
        <v>61</v>
      </c>
      <c r="C70" s="97" t="s">
        <v>244</v>
      </c>
      <c r="D70" s="97" t="s">
        <v>26</v>
      </c>
      <c r="E70" s="97" t="s">
        <v>40</v>
      </c>
      <c r="F70" s="97" t="s">
        <v>41</v>
      </c>
      <c r="G70" s="97" t="s">
        <v>35</v>
      </c>
      <c r="H70" s="130">
        <v>45362</v>
      </c>
      <c r="I70" s="98">
        <v>485</v>
      </c>
      <c r="J70" s="99">
        <v>280</v>
      </c>
      <c r="K70" s="144">
        <v>0</v>
      </c>
      <c r="L70" s="97" t="s">
        <v>36</v>
      </c>
      <c r="M70" s="152">
        <f>Combined_Data!$I70*Combined_Data!$J70</f>
        <v>135800</v>
      </c>
      <c r="N70" s="152">
        <f>Combined_Data!$M70*(1-Combined_Data!$K70)</f>
        <v>135800</v>
      </c>
      <c r="O70" s="100" t="str">
        <f>IF(Combined_Data!$N70&gt;350000,"High",IF(Combined_Data!$N70&gt;100000,"Medium","Low"))</f>
        <v>Medium</v>
      </c>
    </row>
    <row r="71" spans="1:15" x14ac:dyDescent="0.3">
      <c r="A71" s="101" t="s">
        <v>173</v>
      </c>
      <c r="B71" s="102" t="s">
        <v>63</v>
      </c>
      <c r="C71" s="103" t="s">
        <v>253</v>
      </c>
      <c r="D71" s="103" t="s">
        <v>50</v>
      </c>
      <c r="E71" s="103" t="s">
        <v>45</v>
      </c>
      <c r="F71" s="103" t="s">
        <v>46</v>
      </c>
      <c r="G71" s="103" t="s">
        <v>42</v>
      </c>
      <c r="H71" s="131">
        <v>45363</v>
      </c>
      <c r="I71" s="104">
        <v>435</v>
      </c>
      <c r="J71" s="105">
        <v>750</v>
      </c>
      <c r="K71" s="145">
        <v>0.05</v>
      </c>
      <c r="L71" s="103" t="s">
        <v>30</v>
      </c>
      <c r="M71" s="153">
        <f>Combined_Data!$I71*Combined_Data!$J71</f>
        <v>326250</v>
      </c>
      <c r="N71" s="153">
        <f>Combined_Data!$M71*(1-Combined_Data!$K71)</f>
        <v>309937.5</v>
      </c>
      <c r="O71" s="106" t="str">
        <f>IF(Combined_Data!$N71&gt;350000,"High",IF(Combined_Data!$N71&gt;100000,"Medium","Low"))</f>
        <v>Medium</v>
      </c>
    </row>
    <row r="72" spans="1:15" x14ac:dyDescent="0.3">
      <c r="A72" s="95" t="s">
        <v>178</v>
      </c>
      <c r="B72" s="96" t="s">
        <v>16</v>
      </c>
      <c r="C72" s="97" t="s">
        <v>250</v>
      </c>
      <c r="D72" s="97" t="s">
        <v>39</v>
      </c>
      <c r="E72" s="97" t="s">
        <v>51</v>
      </c>
      <c r="F72" s="97" t="s">
        <v>52</v>
      </c>
      <c r="G72" s="97" t="s">
        <v>47</v>
      </c>
      <c r="H72" s="130">
        <v>45364</v>
      </c>
      <c r="I72" s="98">
        <v>133</v>
      </c>
      <c r="J72" s="99">
        <v>990</v>
      </c>
      <c r="K72" s="144">
        <v>0</v>
      </c>
      <c r="L72" s="97" t="s">
        <v>36</v>
      </c>
      <c r="M72" s="152">
        <f>Combined_Data!$I72*Combined_Data!$J72</f>
        <v>131670</v>
      </c>
      <c r="N72" s="152">
        <f>Combined_Data!$M72*(1-Combined_Data!$K72)</f>
        <v>131670</v>
      </c>
      <c r="O72" s="100" t="str">
        <f>IF(Combined_Data!$N72&gt;350000,"High",IF(Combined_Data!$N72&gt;100000,"Medium","Low"))</f>
        <v>Medium</v>
      </c>
    </row>
    <row r="73" spans="1:15" x14ac:dyDescent="0.3">
      <c r="A73" s="101" t="s">
        <v>179</v>
      </c>
      <c r="B73" s="102" t="s">
        <v>25</v>
      </c>
      <c r="C73" s="103" t="s">
        <v>257</v>
      </c>
      <c r="D73" s="103" t="s">
        <v>26</v>
      </c>
      <c r="E73" s="103" t="s">
        <v>27</v>
      </c>
      <c r="F73" s="103" t="s">
        <v>28</v>
      </c>
      <c r="G73" s="103" t="s">
        <v>53</v>
      </c>
      <c r="H73" s="131">
        <v>45365</v>
      </c>
      <c r="I73" s="104">
        <v>89</v>
      </c>
      <c r="J73" s="105">
        <v>350</v>
      </c>
      <c r="K73" s="145">
        <v>0</v>
      </c>
      <c r="L73" s="103" t="s">
        <v>30</v>
      </c>
      <c r="M73" s="153">
        <v>31150</v>
      </c>
      <c r="N73" s="153">
        <f>Combined_Data!$M73*(1-Combined_Data!$K73)</f>
        <v>31150</v>
      </c>
      <c r="O73" s="106" t="str">
        <f>IF(Combined_Data!$N73&gt;350000,"High",IF(Combined_Data!$N73&gt;100000,"Medium","Low"))</f>
        <v>Low</v>
      </c>
    </row>
    <row r="74" spans="1:15" x14ac:dyDescent="0.3">
      <c r="A74" s="95" t="s">
        <v>180</v>
      </c>
      <c r="B74" s="96" t="s">
        <v>32</v>
      </c>
      <c r="C74" s="97" t="s">
        <v>246</v>
      </c>
      <c r="D74" s="97" t="s">
        <v>26</v>
      </c>
      <c r="E74" s="97" t="s">
        <v>33</v>
      </c>
      <c r="F74" s="97" t="s">
        <v>34</v>
      </c>
      <c r="G74" s="97" t="s">
        <v>56</v>
      </c>
      <c r="H74" s="130">
        <v>45366</v>
      </c>
      <c r="I74" s="98">
        <v>384</v>
      </c>
      <c r="J74" s="99">
        <v>420</v>
      </c>
      <c r="K74" s="144">
        <v>0.03</v>
      </c>
      <c r="L74" s="97" t="s">
        <v>36</v>
      </c>
      <c r="M74" s="152">
        <f>Combined_Data!$I74*Combined_Data!$J74</f>
        <v>161280</v>
      </c>
      <c r="N74" s="152">
        <f>Combined_Data!$M74*(1-Combined_Data!$K74)</f>
        <v>156441.60000000001</v>
      </c>
      <c r="O74" s="100" t="str">
        <f>IF(Combined_Data!$N74&gt;350000,"High",IF(Combined_Data!$N74&gt;100000,"Medium","Low"))</f>
        <v>Medium</v>
      </c>
    </row>
    <row r="75" spans="1:15" x14ac:dyDescent="0.3">
      <c r="A75" s="101" t="s">
        <v>181</v>
      </c>
      <c r="B75" s="102" t="s">
        <v>38</v>
      </c>
      <c r="C75" s="103" t="s">
        <v>247</v>
      </c>
      <c r="D75" s="103" t="s">
        <v>39</v>
      </c>
      <c r="E75" s="103" t="s">
        <v>40</v>
      </c>
      <c r="F75" s="103" t="s">
        <v>41</v>
      </c>
      <c r="G75" s="103" t="s">
        <v>29</v>
      </c>
      <c r="H75" s="131">
        <v>45367</v>
      </c>
      <c r="I75" s="104">
        <v>399</v>
      </c>
      <c r="J75" s="105">
        <v>1200</v>
      </c>
      <c r="K75" s="145">
        <v>0</v>
      </c>
      <c r="L75" s="103" t="s">
        <v>36</v>
      </c>
      <c r="M75" s="153">
        <f>Combined_Data!$I75*Combined_Data!$J75</f>
        <v>478800</v>
      </c>
      <c r="N75" s="153">
        <f>Combined_Data!$M75*(1-Combined_Data!$K75)</f>
        <v>478800</v>
      </c>
      <c r="O75" s="106" t="str">
        <f>IF(Combined_Data!$N75&gt;350000,"High",IF(Combined_Data!$N75&gt;100000,"Medium","Low"))</f>
        <v>High</v>
      </c>
    </row>
    <row r="76" spans="1:15" x14ac:dyDescent="0.3">
      <c r="A76" s="95" t="s">
        <v>182</v>
      </c>
      <c r="B76" s="96" t="s">
        <v>44</v>
      </c>
      <c r="C76" s="97" t="s">
        <v>254</v>
      </c>
      <c r="D76" s="97" t="s">
        <v>39</v>
      </c>
      <c r="E76" s="97" t="s">
        <v>45</v>
      </c>
      <c r="F76" s="97" t="s">
        <v>46</v>
      </c>
      <c r="G76" s="97" t="s">
        <v>35</v>
      </c>
      <c r="H76" s="130">
        <v>45368</v>
      </c>
      <c r="I76" s="98">
        <v>74</v>
      </c>
      <c r="J76" s="99">
        <v>200</v>
      </c>
      <c r="K76" s="144">
        <v>0</v>
      </c>
      <c r="L76" s="97" t="s">
        <v>30</v>
      </c>
      <c r="M76" s="152">
        <f>Combined_Data!$I76*Combined_Data!$J76</f>
        <v>14800</v>
      </c>
      <c r="N76" s="152">
        <f>Combined_Data!$M76*(1-Combined_Data!$K76)</f>
        <v>14800</v>
      </c>
      <c r="O76" s="100" t="str">
        <f>IF(Combined_Data!$N76&gt;350000,"High",IF(Combined_Data!$N76&gt;100000,"Medium","Low"))</f>
        <v>Low</v>
      </c>
    </row>
    <row r="77" spans="1:15" x14ac:dyDescent="0.3">
      <c r="A77" s="101" t="s">
        <v>183</v>
      </c>
      <c r="B77" s="102" t="s">
        <v>49</v>
      </c>
      <c r="C77" s="103" t="s">
        <v>251</v>
      </c>
      <c r="D77" s="103" t="s">
        <v>50</v>
      </c>
      <c r="E77" s="103" t="s">
        <v>51</v>
      </c>
      <c r="F77" s="103" t="s">
        <v>52</v>
      </c>
      <c r="G77" s="103" t="s">
        <v>42</v>
      </c>
      <c r="H77" s="131">
        <v>45369</v>
      </c>
      <c r="I77" s="104">
        <v>253</v>
      </c>
      <c r="J77" s="105">
        <v>895</v>
      </c>
      <c r="K77" s="145">
        <v>0.04</v>
      </c>
      <c r="L77" s="103" t="s">
        <v>36</v>
      </c>
      <c r="M77" s="153">
        <f>Combined_Data!$I77*Combined_Data!$J77</f>
        <v>226435</v>
      </c>
      <c r="N77" s="153">
        <f>Combined_Data!$M77*(1-Combined_Data!$K77)</f>
        <v>217377.6</v>
      </c>
      <c r="O77" s="106" t="str">
        <f>IF(Combined_Data!$N77&gt;350000,"High",IF(Combined_Data!$N77&gt;100000,"Medium","Low"))</f>
        <v>Medium</v>
      </c>
    </row>
    <row r="78" spans="1:15" x14ac:dyDescent="0.3">
      <c r="A78" s="95" t="s">
        <v>185</v>
      </c>
      <c r="B78" s="96" t="s">
        <v>55</v>
      </c>
      <c r="C78" s="97" t="s">
        <v>249</v>
      </c>
      <c r="D78" s="97" t="s">
        <v>39</v>
      </c>
      <c r="E78" s="97" t="s">
        <v>27</v>
      </c>
      <c r="F78" s="97" t="s">
        <v>28</v>
      </c>
      <c r="G78" s="97" t="s">
        <v>47</v>
      </c>
      <c r="H78" s="130">
        <v>45370</v>
      </c>
      <c r="I78" s="98">
        <v>280</v>
      </c>
      <c r="J78" s="99">
        <v>650</v>
      </c>
      <c r="K78" s="144">
        <v>0</v>
      </c>
      <c r="L78" s="97" t="s">
        <v>30</v>
      </c>
      <c r="M78" s="152">
        <f>Combined_Data!$I78*Combined_Data!$J78</f>
        <v>182000</v>
      </c>
      <c r="N78" s="152">
        <f>Combined_Data!$M78*(1-Combined_Data!$K78)</f>
        <v>182000</v>
      </c>
      <c r="O78" s="100" t="str">
        <f>IF(Combined_Data!$N78&gt;350000,"High",IF(Combined_Data!$N78&gt;100000,"Medium","Low"))</f>
        <v>Medium</v>
      </c>
    </row>
    <row r="79" spans="1:15" x14ac:dyDescent="0.3">
      <c r="A79" s="101" t="s">
        <v>187</v>
      </c>
      <c r="B79" s="102" t="s">
        <v>58</v>
      </c>
      <c r="C79" s="103" t="s">
        <v>255</v>
      </c>
      <c r="D79" s="103" t="s">
        <v>59</v>
      </c>
      <c r="E79" s="103" t="s">
        <v>33</v>
      </c>
      <c r="F79" s="103" t="s">
        <v>34</v>
      </c>
      <c r="G79" s="103" t="s">
        <v>53</v>
      </c>
      <c r="H79" s="131">
        <v>45371</v>
      </c>
      <c r="I79" s="104">
        <v>226</v>
      </c>
      <c r="J79" s="105">
        <v>2800</v>
      </c>
      <c r="K79" s="145">
        <v>0</v>
      </c>
      <c r="L79" s="103" t="s">
        <v>36</v>
      </c>
      <c r="M79" s="153">
        <f>Combined_Data!$I79*Combined_Data!$J79</f>
        <v>632800</v>
      </c>
      <c r="N79" s="153">
        <f>Combined_Data!$M79*(1-Combined_Data!$K79)</f>
        <v>632800</v>
      </c>
      <c r="O79" s="106" t="str">
        <f>IF(Combined_Data!$N79&gt;350000,"High",IF(Combined_Data!$N79&gt;100000,"Medium","Low"))</f>
        <v>High</v>
      </c>
    </row>
    <row r="80" spans="1:15" x14ac:dyDescent="0.3">
      <c r="A80" s="95" t="s">
        <v>189</v>
      </c>
      <c r="B80" s="96" t="s">
        <v>61</v>
      </c>
      <c r="C80" s="97" t="s">
        <v>244</v>
      </c>
      <c r="D80" s="97" t="s">
        <v>26</v>
      </c>
      <c r="E80" s="97" t="s">
        <v>40</v>
      </c>
      <c r="F80" s="97" t="s">
        <v>41</v>
      </c>
      <c r="G80" s="97" t="s">
        <v>56</v>
      </c>
      <c r="H80" s="130">
        <v>45372</v>
      </c>
      <c r="I80" s="98">
        <v>485</v>
      </c>
      <c r="J80" s="99">
        <v>280</v>
      </c>
      <c r="K80" s="144">
        <v>0.11</v>
      </c>
      <c r="L80" s="97" t="s">
        <v>36</v>
      </c>
      <c r="M80" s="152">
        <f>Combined_Data!$I80*Combined_Data!$J80</f>
        <v>135800</v>
      </c>
      <c r="N80" s="152">
        <f>Combined_Data!$M80*(1-Combined_Data!$K80)</f>
        <v>120862</v>
      </c>
      <c r="O80" s="100" t="str">
        <f>IF(Combined_Data!$N80&gt;350000,"High",IF(Combined_Data!$N80&gt;100000,"Medium","Low"))</f>
        <v>Medium</v>
      </c>
    </row>
    <row r="81" spans="1:15" x14ac:dyDescent="0.3">
      <c r="A81" s="101" t="s">
        <v>190</v>
      </c>
      <c r="B81" s="102" t="s">
        <v>63</v>
      </c>
      <c r="C81" s="103" t="s">
        <v>253</v>
      </c>
      <c r="D81" s="103" t="s">
        <v>50</v>
      </c>
      <c r="E81" s="103" t="s">
        <v>45</v>
      </c>
      <c r="F81" s="103" t="s">
        <v>46</v>
      </c>
      <c r="G81" s="103" t="s">
        <v>29</v>
      </c>
      <c r="H81" s="131">
        <v>45373</v>
      </c>
      <c r="I81" s="104">
        <v>112</v>
      </c>
      <c r="J81" s="105">
        <v>750</v>
      </c>
      <c r="K81" s="145">
        <v>0</v>
      </c>
      <c r="L81" s="103" t="s">
        <v>30</v>
      </c>
      <c r="M81" s="153">
        <f>Combined_Data!$I81*Combined_Data!$J81</f>
        <v>84000</v>
      </c>
      <c r="N81" s="153">
        <f>Combined_Data!$M81*(1-Combined_Data!$K81)</f>
        <v>84000</v>
      </c>
      <c r="O81" s="106" t="str">
        <f>IF(Combined_Data!$N81&gt;350000,"High",IF(Combined_Data!$N81&gt;100000,"Medium","Low"))</f>
        <v>Low</v>
      </c>
    </row>
    <row r="82" spans="1:15" x14ac:dyDescent="0.3">
      <c r="A82" s="95" t="s">
        <v>191</v>
      </c>
      <c r="B82" s="96" t="s">
        <v>16</v>
      </c>
      <c r="C82" s="97" t="s">
        <v>250</v>
      </c>
      <c r="D82" s="97" t="s">
        <v>39</v>
      </c>
      <c r="E82" s="97" t="s">
        <v>51</v>
      </c>
      <c r="F82" s="97" t="s">
        <v>52</v>
      </c>
      <c r="G82" s="97" t="s">
        <v>35</v>
      </c>
      <c r="H82" s="130">
        <v>45374</v>
      </c>
      <c r="I82" s="98">
        <v>214</v>
      </c>
      <c r="J82" s="99">
        <v>990</v>
      </c>
      <c r="K82" s="144">
        <v>0</v>
      </c>
      <c r="L82" s="97" t="s">
        <v>36</v>
      </c>
      <c r="M82" s="152">
        <f>Combined_Data!$I82*Combined_Data!$J82</f>
        <v>211860</v>
      </c>
      <c r="N82" s="152">
        <f>Combined_Data!$M82*(1-Combined_Data!$K82)</f>
        <v>211860</v>
      </c>
      <c r="O82" s="100" t="str">
        <f>IF(Combined_Data!$N82&gt;350000,"High",IF(Combined_Data!$N82&gt;100000,"Medium","Low"))</f>
        <v>Medium</v>
      </c>
    </row>
    <row r="83" spans="1:15" x14ac:dyDescent="0.3">
      <c r="A83" s="101" t="s">
        <v>192</v>
      </c>
      <c r="B83" s="102" t="s">
        <v>25</v>
      </c>
      <c r="C83" s="103" t="s">
        <v>257</v>
      </c>
      <c r="D83" s="103" t="s">
        <v>26</v>
      </c>
      <c r="E83" s="103" t="s">
        <v>27</v>
      </c>
      <c r="F83" s="103" t="s">
        <v>28</v>
      </c>
      <c r="G83" s="103" t="s">
        <v>42</v>
      </c>
      <c r="H83" s="131">
        <v>45375</v>
      </c>
      <c r="I83" s="104">
        <v>342</v>
      </c>
      <c r="J83" s="105">
        <v>350</v>
      </c>
      <c r="K83" s="145">
        <v>0.14000000000000001</v>
      </c>
      <c r="L83" s="103" t="s">
        <v>30</v>
      </c>
      <c r="M83" s="153">
        <f>Combined_Data!$I83*Combined_Data!$J83</f>
        <v>119700</v>
      </c>
      <c r="N83" s="153">
        <f>Combined_Data!$M83*(1-Combined_Data!$K83)</f>
        <v>102942</v>
      </c>
      <c r="O83" s="106" t="str">
        <f>IF(Combined_Data!$N83&gt;350000,"High",IF(Combined_Data!$N83&gt;100000,"Medium","Low"))</f>
        <v>Medium</v>
      </c>
    </row>
    <row r="84" spans="1:15" x14ac:dyDescent="0.3">
      <c r="A84" s="95" t="s">
        <v>193</v>
      </c>
      <c r="B84" s="96" t="s">
        <v>32</v>
      </c>
      <c r="C84" s="97" t="s">
        <v>246</v>
      </c>
      <c r="D84" s="97" t="s">
        <v>26</v>
      </c>
      <c r="E84" s="97" t="s">
        <v>33</v>
      </c>
      <c r="F84" s="97" t="s">
        <v>34</v>
      </c>
      <c r="G84" s="97" t="s">
        <v>47</v>
      </c>
      <c r="H84" s="130">
        <v>45376</v>
      </c>
      <c r="I84" s="98">
        <v>241</v>
      </c>
      <c r="J84" s="99">
        <v>420</v>
      </c>
      <c r="K84" s="144">
        <v>0</v>
      </c>
      <c r="L84" s="97" t="s">
        <v>36</v>
      </c>
      <c r="M84" s="152">
        <f>Combined_Data!$I84*Combined_Data!$J84</f>
        <v>101220</v>
      </c>
      <c r="N84" s="152">
        <f>Combined_Data!$M84*(1-Combined_Data!$K84)</f>
        <v>101220</v>
      </c>
      <c r="O84" s="100" t="str">
        <f>IF(Combined_Data!$N84&gt;350000,"High",IF(Combined_Data!$N84&gt;100000,"Medium","Low"))</f>
        <v>Medium</v>
      </c>
    </row>
    <row r="85" spans="1:15" x14ac:dyDescent="0.3">
      <c r="A85" s="101" t="s">
        <v>194</v>
      </c>
      <c r="B85" s="102" t="s">
        <v>38</v>
      </c>
      <c r="C85" s="103" t="s">
        <v>247</v>
      </c>
      <c r="D85" s="103" t="s">
        <v>39</v>
      </c>
      <c r="E85" s="103" t="s">
        <v>40</v>
      </c>
      <c r="F85" s="103" t="s">
        <v>41</v>
      </c>
      <c r="G85" s="103" t="s">
        <v>53</v>
      </c>
      <c r="H85" s="131">
        <v>45377</v>
      </c>
      <c r="I85" s="104">
        <v>125</v>
      </c>
      <c r="J85" s="105">
        <v>1200</v>
      </c>
      <c r="K85" s="145">
        <v>0</v>
      </c>
      <c r="L85" s="103" t="s">
        <v>36</v>
      </c>
      <c r="M85" s="153">
        <f>Combined_Data!$I85*Combined_Data!$J85</f>
        <v>150000</v>
      </c>
      <c r="N85" s="153">
        <f>Combined_Data!$M85*(1-Combined_Data!$K85)</f>
        <v>150000</v>
      </c>
      <c r="O85" s="106" t="str">
        <f>IF(Combined_Data!$N85&gt;350000,"High",IF(Combined_Data!$N85&gt;100000,"Medium","Low"))</f>
        <v>Medium</v>
      </c>
    </row>
    <row r="86" spans="1:15" x14ac:dyDescent="0.3">
      <c r="A86" s="95" t="s">
        <v>195</v>
      </c>
      <c r="B86" s="96" t="s">
        <v>44</v>
      </c>
      <c r="C86" s="97" t="s">
        <v>254</v>
      </c>
      <c r="D86" s="97" t="s">
        <v>39</v>
      </c>
      <c r="E86" s="97" t="s">
        <v>45</v>
      </c>
      <c r="F86" s="97" t="s">
        <v>46</v>
      </c>
      <c r="G86" s="97" t="s">
        <v>56</v>
      </c>
      <c r="H86" s="130">
        <v>45378</v>
      </c>
      <c r="I86" s="98">
        <v>20</v>
      </c>
      <c r="J86" s="99">
        <v>200</v>
      </c>
      <c r="K86" s="144">
        <v>0.05</v>
      </c>
      <c r="L86" s="97" t="s">
        <v>30</v>
      </c>
      <c r="M86" s="152">
        <f>Combined_Data!$I86*Combined_Data!$J86</f>
        <v>4000</v>
      </c>
      <c r="N86" s="152">
        <f>Combined_Data!$M86*(1-Combined_Data!$K86)</f>
        <v>3800</v>
      </c>
      <c r="O86" s="100" t="str">
        <f>IF(Combined_Data!$N86&gt;350000,"High",IF(Combined_Data!$N86&gt;100000,"Medium","Low"))</f>
        <v>Low</v>
      </c>
    </row>
    <row r="87" spans="1:15" x14ac:dyDescent="0.3">
      <c r="A87" s="101" t="s">
        <v>196</v>
      </c>
      <c r="B87" s="102" t="s">
        <v>49</v>
      </c>
      <c r="C87" s="103" t="s">
        <v>251</v>
      </c>
      <c r="D87" s="103" t="s">
        <v>50</v>
      </c>
      <c r="E87" s="103" t="s">
        <v>51</v>
      </c>
      <c r="F87" s="103" t="s">
        <v>52</v>
      </c>
      <c r="G87" s="103" t="s">
        <v>29</v>
      </c>
      <c r="H87" s="131">
        <v>45379</v>
      </c>
      <c r="I87" s="104">
        <v>122</v>
      </c>
      <c r="J87" s="105">
        <v>895</v>
      </c>
      <c r="K87" s="145">
        <v>0</v>
      </c>
      <c r="L87" s="103" t="s">
        <v>36</v>
      </c>
      <c r="M87" s="153">
        <f>Combined_Data!$I87*Combined_Data!$J87</f>
        <v>109190</v>
      </c>
      <c r="N87" s="153">
        <f>Combined_Data!$M87*(1-Combined_Data!$K87)</f>
        <v>109190</v>
      </c>
      <c r="O87" s="106" t="str">
        <f>IF(Combined_Data!$N87&gt;350000,"High",IF(Combined_Data!$N87&gt;100000,"Medium","Low"))</f>
        <v>Medium</v>
      </c>
    </row>
    <row r="88" spans="1:15" x14ac:dyDescent="0.3">
      <c r="A88" s="95" t="s">
        <v>199</v>
      </c>
      <c r="B88" s="96" t="s">
        <v>58</v>
      </c>
      <c r="C88" s="97" t="s">
        <v>255</v>
      </c>
      <c r="D88" s="97" t="s">
        <v>59</v>
      </c>
      <c r="E88" s="97" t="s">
        <v>33</v>
      </c>
      <c r="F88" s="97" t="s">
        <v>34</v>
      </c>
      <c r="G88" s="97" t="s">
        <v>29</v>
      </c>
      <c r="H88" s="130">
        <v>45381</v>
      </c>
      <c r="I88" s="98">
        <v>120</v>
      </c>
      <c r="J88" s="99">
        <v>2800</v>
      </c>
      <c r="K88" s="144">
        <v>0.02</v>
      </c>
      <c r="L88" s="97" t="s">
        <v>36</v>
      </c>
      <c r="M88" s="152">
        <f>Combined_Data!$I88*Combined_Data!$J88</f>
        <v>336000</v>
      </c>
      <c r="N88" s="152">
        <f>Combined_Data!$M88*(1-Combined_Data!$K88)</f>
        <v>329280</v>
      </c>
      <c r="O88" s="100" t="str">
        <f>IF(Combined_Data!$N88&gt;350000,"High",IF(Combined_Data!$N88&gt;100000,"Medium","Low"))</f>
        <v>Medium</v>
      </c>
    </row>
    <row r="89" spans="1:15" x14ac:dyDescent="0.3">
      <c r="A89" s="101" t="s">
        <v>200</v>
      </c>
      <c r="B89" s="102" t="s">
        <v>58</v>
      </c>
      <c r="C89" s="103" t="s">
        <v>255</v>
      </c>
      <c r="D89" s="103" t="s">
        <v>59</v>
      </c>
      <c r="E89" s="103" t="s">
        <v>33</v>
      </c>
      <c r="F89" s="103" t="s">
        <v>34</v>
      </c>
      <c r="G89" s="103" t="s">
        <v>42</v>
      </c>
      <c r="H89" s="131">
        <v>45382</v>
      </c>
      <c r="I89" s="104">
        <v>127</v>
      </c>
      <c r="J89" s="105">
        <v>2800</v>
      </c>
      <c r="K89" s="145">
        <v>0.02</v>
      </c>
      <c r="L89" s="103" t="s">
        <v>36</v>
      </c>
      <c r="M89" s="153">
        <f>Combined_Data!$I89*Combined_Data!$J89</f>
        <v>355600</v>
      </c>
      <c r="N89" s="153">
        <f>Combined_Data!$M89*(1-Combined_Data!$K89)</f>
        <v>348488</v>
      </c>
      <c r="O89" s="106" t="str">
        <f>IF(Combined_Data!$N89&gt;350000,"High",IF(Combined_Data!$N89&gt;100000,"Medium","Low"))</f>
        <v>Medium</v>
      </c>
    </row>
    <row r="90" spans="1:15" x14ac:dyDescent="0.3">
      <c r="A90" s="95" t="s">
        <v>201</v>
      </c>
      <c r="B90" s="96" t="s">
        <v>61</v>
      </c>
      <c r="C90" s="97" t="s">
        <v>244</v>
      </c>
      <c r="D90" s="97" t="s">
        <v>26</v>
      </c>
      <c r="E90" s="97" t="s">
        <v>40</v>
      </c>
      <c r="F90" s="97" t="s">
        <v>41</v>
      </c>
      <c r="G90" s="97" t="s">
        <v>47</v>
      </c>
      <c r="H90" s="130">
        <v>45383</v>
      </c>
      <c r="I90" s="98">
        <v>179</v>
      </c>
      <c r="J90" s="99">
        <v>280</v>
      </c>
      <c r="K90" s="144">
        <v>0</v>
      </c>
      <c r="L90" s="97" t="s">
        <v>36</v>
      </c>
      <c r="M90" s="152">
        <f>Combined_Data!$I90*Combined_Data!$J90</f>
        <v>50120</v>
      </c>
      <c r="N90" s="152">
        <f>Combined_Data!$M90*(1-Combined_Data!$K90)</f>
        <v>50120</v>
      </c>
      <c r="O90" s="100" t="str">
        <f>IF(Combined_Data!$N90&gt;350000,"High",IF(Combined_Data!$N90&gt;100000,"Medium","Low"))</f>
        <v>Low</v>
      </c>
    </row>
    <row r="91" spans="1:15" x14ac:dyDescent="0.3">
      <c r="A91" s="101" t="s">
        <v>202</v>
      </c>
      <c r="B91" s="102" t="s">
        <v>63</v>
      </c>
      <c r="C91" s="103" t="s">
        <v>253</v>
      </c>
      <c r="D91" s="103" t="s">
        <v>50</v>
      </c>
      <c r="E91" s="103" t="s">
        <v>45</v>
      </c>
      <c r="F91" s="103" t="s">
        <v>46</v>
      </c>
      <c r="G91" s="103" t="s">
        <v>53</v>
      </c>
      <c r="H91" s="131">
        <v>45384</v>
      </c>
      <c r="I91" s="104">
        <v>111</v>
      </c>
      <c r="J91" s="105">
        <v>750</v>
      </c>
      <c r="K91" s="145">
        <v>0</v>
      </c>
      <c r="L91" s="103" t="s">
        <v>30</v>
      </c>
      <c r="M91" s="153">
        <v>83250</v>
      </c>
      <c r="N91" s="153">
        <f>Combined_Data!$M91*(1-Combined_Data!$K91)</f>
        <v>83250</v>
      </c>
      <c r="O91" s="106" t="str">
        <f>IF(Combined_Data!$N91&gt;350000,"High",IF(Combined_Data!$N91&gt;100000,"Medium","Low"))</f>
        <v>Low</v>
      </c>
    </row>
    <row r="92" spans="1:15" x14ac:dyDescent="0.3">
      <c r="A92" s="95" t="s">
        <v>203</v>
      </c>
      <c r="B92" s="96" t="s">
        <v>16</v>
      </c>
      <c r="C92" s="97" t="s">
        <v>250</v>
      </c>
      <c r="D92" s="97" t="s">
        <v>39</v>
      </c>
      <c r="E92" s="97" t="s">
        <v>51</v>
      </c>
      <c r="F92" s="97" t="s">
        <v>52</v>
      </c>
      <c r="G92" s="97" t="s">
        <v>56</v>
      </c>
      <c r="H92" s="130">
        <v>45385</v>
      </c>
      <c r="I92" s="98">
        <v>258</v>
      </c>
      <c r="J92" s="99">
        <v>990</v>
      </c>
      <c r="K92" s="144">
        <v>0.04</v>
      </c>
      <c r="L92" s="97" t="s">
        <v>36</v>
      </c>
      <c r="M92" s="152">
        <f>Combined_Data!$I92*Combined_Data!$J92</f>
        <v>255420</v>
      </c>
      <c r="N92" s="152">
        <f>Combined_Data!$M92*(1-Combined_Data!$K92)</f>
        <v>245203.19999999998</v>
      </c>
      <c r="O92" s="100" t="str">
        <f>IF(Combined_Data!$N92&gt;350000,"High",IF(Combined_Data!$N92&gt;100000,"Medium","Low"))</f>
        <v>Medium</v>
      </c>
    </row>
    <row r="93" spans="1:15" x14ac:dyDescent="0.3">
      <c r="A93" s="101" t="s">
        <v>204</v>
      </c>
      <c r="B93" s="102" t="s">
        <v>25</v>
      </c>
      <c r="C93" s="103" t="s">
        <v>257</v>
      </c>
      <c r="D93" s="103" t="s">
        <v>26</v>
      </c>
      <c r="E93" s="103" t="s">
        <v>27</v>
      </c>
      <c r="F93" s="103" t="s">
        <v>28</v>
      </c>
      <c r="G93" s="103" t="s">
        <v>29</v>
      </c>
      <c r="H93" s="131">
        <v>45386</v>
      </c>
      <c r="I93" s="104">
        <v>488</v>
      </c>
      <c r="J93" s="105">
        <v>350</v>
      </c>
      <c r="K93" s="145">
        <v>0</v>
      </c>
      <c r="L93" s="103" t="s">
        <v>30</v>
      </c>
      <c r="M93" s="153">
        <f>Combined_Data!$I93*Combined_Data!$J93</f>
        <v>170800</v>
      </c>
      <c r="N93" s="153">
        <f>Combined_Data!$M93*(1-Combined_Data!$K93)</f>
        <v>170800</v>
      </c>
      <c r="O93" s="106" t="str">
        <f>IF(Combined_Data!$N93&gt;350000,"High",IF(Combined_Data!$N93&gt;100000,"Medium","Low"))</f>
        <v>Medium</v>
      </c>
    </row>
    <row r="94" spans="1:15" x14ac:dyDescent="0.3">
      <c r="A94" s="95" t="s">
        <v>205</v>
      </c>
      <c r="B94" s="96" t="s">
        <v>32</v>
      </c>
      <c r="C94" s="97" t="s">
        <v>246</v>
      </c>
      <c r="D94" s="97" t="s">
        <v>26</v>
      </c>
      <c r="E94" s="97" t="s">
        <v>33</v>
      </c>
      <c r="F94" s="97" t="s">
        <v>34</v>
      </c>
      <c r="G94" s="97" t="s">
        <v>35</v>
      </c>
      <c r="H94" s="130">
        <v>45387</v>
      </c>
      <c r="I94" s="98">
        <v>305</v>
      </c>
      <c r="J94" s="99">
        <v>420</v>
      </c>
      <c r="K94" s="144">
        <v>0</v>
      </c>
      <c r="L94" s="97" t="s">
        <v>36</v>
      </c>
      <c r="M94" s="152">
        <f>Combined_Data!$I94*Combined_Data!$J94</f>
        <v>128100</v>
      </c>
      <c r="N94" s="152">
        <f>Combined_Data!$M94*(1-Combined_Data!$K94)</f>
        <v>128100</v>
      </c>
      <c r="O94" s="100" t="str">
        <f>IF(Combined_Data!$N94&gt;350000,"High",IF(Combined_Data!$N94&gt;100000,"Medium","Low"))</f>
        <v>Medium</v>
      </c>
    </row>
    <row r="95" spans="1:15" x14ac:dyDescent="0.3">
      <c r="A95" s="101" t="s">
        <v>210</v>
      </c>
      <c r="B95" s="102" t="s">
        <v>38</v>
      </c>
      <c r="C95" s="103" t="s">
        <v>247</v>
      </c>
      <c r="D95" s="103" t="s">
        <v>39</v>
      </c>
      <c r="E95" s="103" t="s">
        <v>40</v>
      </c>
      <c r="F95" s="103" t="s">
        <v>41</v>
      </c>
      <c r="G95" s="103" t="s">
        <v>42</v>
      </c>
      <c r="H95" s="131">
        <v>45388</v>
      </c>
      <c r="I95" s="104">
        <v>411</v>
      </c>
      <c r="J95" s="105">
        <v>1200</v>
      </c>
      <c r="K95" s="145">
        <v>7.0000000000000007E-2</v>
      </c>
      <c r="L95" s="103" t="s">
        <v>36</v>
      </c>
      <c r="M95" s="153">
        <f>Combined_Data!$I95*Combined_Data!$J95</f>
        <v>493200</v>
      </c>
      <c r="N95" s="153">
        <f>Combined_Data!$M95*(1-Combined_Data!$K95)</f>
        <v>458675.99999999994</v>
      </c>
      <c r="O95" s="106" t="str">
        <f>IF(Combined_Data!$N95&gt;350000,"High",IF(Combined_Data!$N95&gt;100000,"Medium","Low"))</f>
        <v>High</v>
      </c>
    </row>
    <row r="96" spans="1:15" x14ac:dyDescent="0.3">
      <c r="A96" s="95" t="s">
        <v>211</v>
      </c>
      <c r="B96" s="96" t="s">
        <v>44</v>
      </c>
      <c r="C96" s="97" t="s">
        <v>254</v>
      </c>
      <c r="D96" s="97" t="s">
        <v>39</v>
      </c>
      <c r="E96" s="97" t="s">
        <v>45</v>
      </c>
      <c r="F96" s="97" t="s">
        <v>46</v>
      </c>
      <c r="G96" s="97" t="s">
        <v>47</v>
      </c>
      <c r="H96" s="130">
        <v>45389</v>
      </c>
      <c r="I96" s="98">
        <v>58</v>
      </c>
      <c r="J96" s="99">
        <v>200</v>
      </c>
      <c r="K96" s="144">
        <v>0</v>
      </c>
      <c r="L96" s="97" t="s">
        <v>30</v>
      </c>
      <c r="M96" s="152">
        <f>Combined_Data!$I96*Combined_Data!$J96</f>
        <v>11600</v>
      </c>
      <c r="N96" s="152">
        <f>Combined_Data!$M96*(1-Combined_Data!$K96)</f>
        <v>11600</v>
      </c>
      <c r="O96" s="100" t="str">
        <f>IF(Combined_Data!$N96&gt;350000,"High",IF(Combined_Data!$N96&gt;100000,"Medium","Low"))</f>
        <v>Low</v>
      </c>
    </row>
    <row r="97" spans="1:15" x14ac:dyDescent="0.3">
      <c r="A97" s="101" t="s">
        <v>212</v>
      </c>
      <c r="B97" s="102" t="s">
        <v>49</v>
      </c>
      <c r="C97" s="103" t="s">
        <v>251</v>
      </c>
      <c r="D97" s="103" t="s">
        <v>50</v>
      </c>
      <c r="E97" s="103" t="s">
        <v>51</v>
      </c>
      <c r="F97" s="103" t="s">
        <v>52</v>
      </c>
      <c r="G97" s="103" t="s">
        <v>53</v>
      </c>
      <c r="H97" s="131">
        <v>45390</v>
      </c>
      <c r="I97" s="104">
        <v>230</v>
      </c>
      <c r="J97" s="105">
        <v>895</v>
      </c>
      <c r="K97" s="145">
        <v>0</v>
      </c>
      <c r="L97" s="103" t="s">
        <v>36</v>
      </c>
      <c r="M97" s="153">
        <f>Combined_Data!$I97*Combined_Data!$J97</f>
        <v>205850</v>
      </c>
      <c r="N97" s="153">
        <f>Combined_Data!$M97*(1-Combined_Data!$K97)</f>
        <v>205850</v>
      </c>
      <c r="O97" s="106" t="str">
        <f>IF(Combined_Data!$N97&gt;350000,"High",IF(Combined_Data!$N97&gt;100000,"Medium","Low"))</f>
        <v>Medium</v>
      </c>
    </row>
    <row r="98" spans="1:15" x14ac:dyDescent="0.3">
      <c r="A98" s="95" t="s">
        <v>214</v>
      </c>
      <c r="B98" s="96" t="s">
        <v>55</v>
      </c>
      <c r="C98" s="97" t="s">
        <v>249</v>
      </c>
      <c r="D98" s="97" t="s">
        <v>39</v>
      </c>
      <c r="E98" s="97" t="s">
        <v>27</v>
      </c>
      <c r="F98" s="97" t="s">
        <v>28</v>
      </c>
      <c r="G98" s="97" t="s">
        <v>56</v>
      </c>
      <c r="H98" s="130">
        <v>45391</v>
      </c>
      <c r="I98" s="98">
        <v>220</v>
      </c>
      <c r="J98" s="99">
        <v>650</v>
      </c>
      <c r="K98" s="144">
        <v>0.11</v>
      </c>
      <c r="L98" s="97" t="s">
        <v>30</v>
      </c>
      <c r="M98" s="152">
        <f>Combined_Data!$I98*Combined_Data!$J98</f>
        <v>143000</v>
      </c>
      <c r="N98" s="152">
        <f>Combined_Data!$M98*(1-Combined_Data!$K98)</f>
        <v>127270</v>
      </c>
      <c r="O98" s="100" t="str">
        <f>IF(Combined_Data!$N98&gt;350000,"High",IF(Combined_Data!$N98&gt;100000,"Medium","Low"))</f>
        <v>Medium</v>
      </c>
    </row>
    <row r="99" spans="1:15" x14ac:dyDescent="0.3">
      <c r="A99" s="101" t="s">
        <v>215</v>
      </c>
      <c r="B99" s="102" t="s">
        <v>58</v>
      </c>
      <c r="C99" s="103" t="s">
        <v>255</v>
      </c>
      <c r="D99" s="103" t="s">
        <v>59</v>
      </c>
      <c r="E99" s="103" t="s">
        <v>33</v>
      </c>
      <c r="F99" s="103" t="s">
        <v>34</v>
      </c>
      <c r="G99" s="103" t="s">
        <v>29</v>
      </c>
      <c r="H99" s="131">
        <v>45392</v>
      </c>
      <c r="I99" s="104">
        <v>354</v>
      </c>
      <c r="J99" s="105">
        <v>2800</v>
      </c>
      <c r="K99" s="145">
        <v>0</v>
      </c>
      <c r="L99" s="103" t="s">
        <v>36</v>
      </c>
      <c r="M99" s="153">
        <f>Combined_Data!$I99*Combined_Data!$J99</f>
        <v>991200</v>
      </c>
      <c r="N99" s="153">
        <f>Combined_Data!$M99*(1-Combined_Data!$K99)</f>
        <v>991200</v>
      </c>
      <c r="O99" s="106" t="str">
        <f>IF(Combined_Data!$N99&gt;350000,"High",IF(Combined_Data!$N99&gt;100000,"Medium","Low"))</f>
        <v>High</v>
      </c>
    </row>
    <row r="100" spans="1:15" x14ac:dyDescent="0.3">
      <c r="A100" s="95" t="s">
        <v>216</v>
      </c>
      <c r="B100" s="96" t="s">
        <v>61</v>
      </c>
      <c r="C100" s="97" t="s">
        <v>244</v>
      </c>
      <c r="D100" s="97" t="s">
        <v>26</v>
      </c>
      <c r="E100" s="97" t="s">
        <v>40</v>
      </c>
      <c r="F100" s="97" t="s">
        <v>41</v>
      </c>
      <c r="G100" s="97" t="s">
        <v>35</v>
      </c>
      <c r="H100" s="130">
        <v>45393</v>
      </c>
      <c r="I100" s="98">
        <v>340</v>
      </c>
      <c r="J100" s="99">
        <v>280</v>
      </c>
      <c r="K100" s="144">
        <v>0</v>
      </c>
      <c r="L100" s="97" t="s">
        <v>36</v>
      </c>
      <c r="M100" s="152">
        <f>Combined_Data!$I100*Combined_Data!$J100</f>
        <v>95200</v>
      </c>
      <c r="N100" s="152">
        <f>Combined_Data!$M100*(1-Combined_Data!$K100)</f>
        <v>95200</v>
      </c>
      <c r="O100" s="100" t="str">
        <f>IF(Combined_Data!$N100&gt;350000,"High",IF(Combined_Data!$N100&gt;100000,"Medium","Low"))</f>
        <v>Low</v>
      </c>
    </row>
    <row r="101" spans="1:15" x14ac:dyDescent="0.3">
      <c r="A101" s="101" t="s">
        <v>217</v>
      </c>
      <c r="B101" s="102" t="s">
        <v>63</v>
      </c>
      <c r="C101" s="103" t="s">
        <v>253</v>
      </c>
      <c r="D101" s="103" t="s">
        <v>50</v>
      </c>
      <c r="E101" s="103" t="s">
        <v>45</v>
      </c>
      <c r="F101" s="103" t="s">
        <v>46</v>
      </c>
      <c r="G101" s="103" t="s">
        <v>42</v>
      </c>
      <c r="H101" s="131">
        <v>45394</v>
      </c>
      <c r="I101" s="104">
        <v>216</v>
      </c>
      <c r="J101" s="105">
        <v>750</v>
      </c>
      <c r="K101" s="145">
        <v>0.12</v>
      </c>
      <c r="L101" s="103" t="s">
        <v>30</v>
      </c>
      <c r="M101" s="153">
        <f>Combined_Data!$I101*Combined_Data!$J101</f>
        <v>162000</v>
      </c>
      <c r="N101" s="153">
        <f>Combined_Data!$M101*(1-Combined_Data!$K101)</f>
        <v>142560</v>
      </c>
      <c r="O101" s="106" t="str">
        <f>IF(Combined_Data!$N101&gt;350000,"High",IF(Combined_Data!$N101&gt;100000,"Medium","Low"))</f>
        <v>Medium</v>
      </c>
    </row>
    <row r="102" spans="1:15" x14ac:dyDescent="0.3">
      <c r="A102" s="95" t="s">
        <v>218</v>
      </c>
      <c r="B102" s="96" t="s">
        <v>16</v>
      </c>
      <c r="C102" s="97" t="s">
        <v>250</v>
      </c>
      <c r="D102" s="97" t="s">
        <v>39</v>
      </c>
      <c r="E102" s="97" t="s">
        <v>51</v>
      </c>
      <c r="F102" s="97" t="s">
        <v>52</v>
      </c>
      <c r="G102" s="97" t="s">
        <v>47</v>
      </c>
      <c r="H102" s="130">
        <v>45395</v>
      </c>
      <c r="I102" s="98">
        <v>65</v>
      </c>
      <c r="J102" s="99">
        <v>990</v>
      </c>
      <c r="K102" s="144">
        <v>0</v>
      </c>
      <c r="L102" s="97" t="s">
        <v>36</v>
      </c>
      <c r="M102" s="152">
        <f>Combined_Data!$I102*Combined_Data!$J102</f>
        <v>64350</v>
      </c>
      <c r="N102" s="152">
        <f>Combined_Data!$M102*(1-Combined_Data!$K102)</f>
        <v>64350</v>
      </c>
      <c r="O102" s="100" t="str">
        <f>IF(Combined_Data!$N102&gt;350000,"High",IF(Combined_Data!$N102&gt;100000,"Medium","Low"))</f>
        <v>Low</v>
      </c>
    </row>
    <row r="103" spans="1:15" x14ac:dyDescent="0.3">
      <c r="A103" s="101" t="s">
        <v>220</v>
      </c>
      <c r="B103" s="102" t="s">
        <v>25</v>
      </c>
      <c r="C103" s="103" t="s">
        <v>257</v>
      </c>
      <c r="D103" s="103" t="s">
        <v>26</v>
      </c>
      <c r="E103" s="103" t="s">
        <v>27</v>
      </c>
      <c r="F103" s="103" t="s">
        <v>28</v>
      </c>
      <c r="G103" s="103" t="s">
        <v>53</v>
      </c>
      <c r="H103" s="131">
        <v>45396</v>
      </c>
      <c r="I103" s="104">
        <v>107</v>
      </c>
      <c r="J103" s="105">
        <v>350</v>
      </c>
      <c r="K103" s="145">
        <v>0</v>
      </c>
      <c r="L103" s="103" t="s">
        <v>30</v>
      </c>
      <c r="M103" s="153">
        <f>Combined_Data!$I103*Combined_Data!$J103</f>
        <v>37450</v>
      </c>
      <c r="N103" s="153">
        <f>Combined_Data!$M103*(1-Combined_Data!$K103)</f>
        <v>37450</v>
      </c>
      <c r="O103" s="106" t="str">
        <f>IF(Combined_Data!$N103&gt;350000,"High",IF(Combined_Data!$N103&gt;100000,"Medium","Low"))</f>
        <v>Low</v>
      </c>
    </row>
    <row r="104" spans="1:15" x14ac:dyDescent="0.3">
      <c r="A104" s="95" t="s">
        <v>221</v>
      </c>
      <c r="B104" s="96" t="s">
        <v>32</v>
      </c>
      <c r="C104" s="97" t="s">
        <v>246</v>
      </c>
      <c r="D104" s="97" t="s">
        <v>26</v>
      </c>
      <c r="E104" s="97" t="s">
        <v>33</v>
      </c>
      <c r="F104" s="97" t="s">
        <v>34</v>
      </c>
      <c r="G104" s="97" t="s">
        <v>56</v>
      </c>
      <c r="H104" s="130">
        <v>45397</v>
      </c>
      <c r="I104" s="98">
        <v>81</v>
      </c>
      <c r="J104" s="99">
        <v>420</v>
      </c>
      <c r="K104" s="144">
        <v>0.06</v>
      </c>
      <c r="L104" s="97" t="s">
        <v>36</v>
      </c>
      <c r="M104" s="152">
        <f>Combined_Data!$I104*Combined_Data!$J104</f>
        <v>34020</v>
      </c>
      <c r="N104" s="152">
        <f>Combined_Data!$M104*(1-Combined_Data!$K104)</f>
        <v>31978.799999999999</v>
      </c>
      <c r="O104" s="100" t="str">
        <f>IF(Combined_Data!$N104&gt;350000,"High",IF(Combined_Data!$N104&gt;100000,"Medium","Low"))</f>
        <v>Low</v>
      </c>
    </row>
    <row r="105" spans="1:15" x14ac:dyDescent="0.3">
      <c r="A105" s="101" t="s">
        <v>222</v>
      </c>
      <c r="B105" s="102" t="s">
        <v>38</v>
      </c>
      <c r="C105" s="103" t="s">
        <v>247</v>
      </c>
      <c r="D105" s="103" t="s">
        <v>39</v>
      </c>
      <c r="E105" s="103" t="s">
        <v>40</v>
      </c>
      <c r="F105" s="103" t="s">
        <v>41</v>
      </c>
      <c r="G105" s="103" t="s">
        <v>29</v>
      </c>
      <c r="H105" s="131">
        <v>45398</v>
      </c>
      <c r="I105" s="104">
        <v>100</v>
      </c>
      <c r="J105" s="105">
        <v>1200</v>
      </c>
      <c r="K105" s="145">
        <v>0</v>
      </c>
      <c r="L105" s="103" t="s">
        <v>36</v>
      </c>
      <c r="M105" s="153">
        <v>120000</v>
      </c>
      <c r="N105" s="153">
        <f>Combined_Data!$M105*(1-Combined_Data!$K105)</f>
        <v>120000</v>
      </c>
      <c r="O105" s="106" t="str">
        <f>IF(Combined_Data!$N105&gt;350000,"High",IF(Combined_Data!$N105&gt;100000,"Medium","Low"))</f>
        <v>Medium</v>
      </c>
    </row>
    <row r="106" spans="1:15" x14ac:dyDescent="0.3">
      <c r="A106" s="95" t="s">
        <v>223</v>
      </c>
      <c r="B106" s="96" t="s">
        <v>44</v>
      </c>
      <c r="C106" s="97" t="s">
        <v>254</v>
      </c>
      <c r="D106" s="97" t="s">
        <v>39</v>
      </c>
      <c r="E106" s="97" t="s">
        <v>45</v>
      </c>
      <c r="F106" s="97" t="s">
        <v>46</v>
      </c>
      <c r="G106" s="97" t="s">
        <v>35</v>
      </c>
      <c r="H106" s="130">
        <v>45399</v>
      </c>
      <c r="I106" s="98">
        <v>48</v>
      </c>
      <c r="J106" s="99">
        <v>200</v>
      </c>
      <c r="K106" s="144">
        <v>0</v>
      </c>
      <c r="L106" s="97" t="s">
        <v>30</v>
      </c>
      <c r="M106" s="152">
        <f>Combined_Data!$I106*Combined_Data!$J106</f>
        <v>9600</v>
      </c>
      <c r="N106" s="152">
        <f>Combined_Data!$M106*(1-Combined_Data!$K106)</f>
        <v>9600</v>
      </c>
      <c r="O106" s="100" t="str">
        <f>IF(Combined_Data!$N106&gt;350000,"High",IF(Combined_Data!$N106&gt;100000,"Medium","Low"))</f>
        <v>Low</v>
      </c>
    </row>
    <row r="107" spans="1:15" x14ac:dyDescent="0.3">
      <c r="A107" s="101" t="s">
        <v>224</v>
      </c>
      <c r="B107" s="102" t="s">
        <v>49</v>
      </c>
      <c r="C107" s="103" t="s">
        <v>251</v>
      </c>
      <c r="D107" s="103" t="s">
        <v>50</v>
      </c>
      <c r="E107" s="103" t="s">
        <v>51</v>
      </c>
      <c r="F107" s="103" t="s">
        <v>52</v>
      </c>
      <c r="G107" s="103" t="s">
        <v>42</v>
      </c>
      <c r="H107" s="131">
        <v>45400</v>
      </c>
      <c r="I107" s="104">
        <v>451</v>
      </c>
      <c r="J107" s="105">
        <v>895</v>
      </c>
      <c r="K107" s="145">
        <v>0.03</v>
      </c>
      <c r="L107" s="103" t="s">
        <v>36</v>
      </c>
      <c r="M107" s="153">
        <f>Combined_Data!$I107*Combined_Data!$J107</f>
        <v>403645</v>
      </c>
      <c r="N107" s="153">
        <f>Combined_Data!$M107*(1-Combined_Data!$K107)</f>
        <v>391535.64999999997</v>
      </c>
      <c r="O107" s="106" t="str">
        <f>IF(Combined_Data!$N107&gt;350000,"High",IF(Combined_Data!$N107&gt;100000,"Medium","Low"))</f>
        <v>High</v>
      </c>
    </row>
    <row r="108" spans="1:15" x14ac:dyDescent="0.3">
      <c r="A108" s="95" t="s">
        <v>225</v>
      </c>
      <c r="B108" s="96" t="s">
        <v>55</v>
      </c>
      <c r="C108" s="97" t="s">
        <v>249</v>
      </c>
      <c r="D108" s="97" t="s">
        <v>39</v>
      </c>
      <c r="E108" s="97" t="s">
        <v>27</v>
      </c>
      <c r="F108" s="97" t="s">
        <v>28</v>
      </c>
      <c r="G108" s="97" t="s">
        <v>47</v>
      </c>
      <c r="H108" s="130">
        <v>45401</v>
      </c>
      <c r="I108" s="98">
        <v>343</v>
      </c>
      <c r="J108" s="99">
        <v>650</v>
      </c>
      <c r="K108" s="144">
        <v>0</v>
      </c>
      <c r="L108" s="97" t="s">
        <v>30</v>
      </c>
      <c r="M108" s="152">
        <f>Combined_Data!$I108*Combined_Data!$J108</f>
        <v>222950</v>
      </c>
      <c r="N108" s="152">
        <f>Combined_Data!$M108*(1-Combined_Data!$K108)</f>
        <v>222950</v>
      </c>
      <c r="O108" s="100" t="str">
        <f>IF(Combined_Data!$N108&gt;350000,"High",IF(Combined_Data!$N108&gt;100000,"Medium","Low"))</f>
        <v>Medium</v>
      </c>
    </row>
    <row r="109" spans="1:15" x14ac:dyDescent="0.3">
      <c r="A109" s="101" t="s">
        <v>226</v>
      </c>
      <c r="B109" s="102" t="s">
        <v>58</v>
      </c>
      <c r="C109" s="103" t="s">
        <v>255</v>
      </c>
      <c r="D109" s="103" t="s">
        <v>59</v>
      </c>
      <c r="E109" s="103" t="s">
        <v>33</v>
      </c>
      <c r="F109" s="103" t="s">
        <v>34</v>
      </c>
      <c r="G109" s="103" t="s">
        <v>53</v>
      </c>
      <c r="H109" s="131">
        <v>45402</v>
      </c>
      <c r="I109" s="104">
        <v>438</v>
      </c>
      <c r="J109" s="105">
        <v>2800</v>
      </c>
      <c r="K109" s="145">
        <v>0</v>
      </c>
      <c r="L109" s="103" t="s">
        <v>36</v>
      </c>
      <c r="M109" s="153">
        <f>Combined_Data!$I109*Combined_Data!$J109</f>
        <v>1226400</v>
      </c>
      <c r="N109" s="153">
        <f>Combined_Data!$M109*(1-Combined_Data!$K109)</f>
        <v>1226400</v>
      </c>
      <c r="O109" s="106" t="str">
        <f>IF(Combined_Data!$N109&gt;350000,"High",IF(Combined_Data!$N109&gt;100000,"Medium","Low"))</f>
        <v>High</v>
      </c>
    </row>
    <row r="110" spans="1:15" x14ac:dyDescent="0.3">
      <c r="A110" s="95" t="s">
        <v>227</v>
      </c>
      <c r="B110" s="96" t="s">
        <v>61</v>
      </c>
      <c r="C110" s="97" t="s">
        <v>244</v>
      </c>
      <c r="D110" s="97" t="s">
        <v>26</v>
      </c>
      <c r="E110" s="97" t="s">
        <v>40</v>
      </c>
      <c r="F110" s="97" t="s">
        <v>41</v>
      </c>
      <c r="G110" s="97" t="s">
        <v>56</v>
      </c>
      <c r="H110" s="130">
        <v>45403</v>
      </c>
      <c r="I110" s="98">
        <v>57</v>
      </c>
      <c r="J110" s="99">
        <v>280</v>
      </c>
      <c r="K110" s="144">
        <v>0.13</v>
      </c>
      <c r="L110" s="97" t="s">
        <v>36</v>
      </c>
      <c r="M110" s="152">
        <f>Combined_Data!$I110*Combined_Data!$J110</f>
        <v>15960</v>
      </c>
      <c r="N110" s="152">
        <f>Combined_Data!$M110*(1-Combined_Data!$K110)</f>
        <v>13885.2</v>
      </c>
      <c r="O110" s="100" t="str">
        <f>IF(Combined_Data!$N110&gt;350000,"High",IF(Combined_Data!$N110&gt;100000,"Medium","Low"))</f>
        <v>Low</v>
      </c>
    </row>
    <row r="111" spans="1:15" x14ac:dyDescent="0.3">
      <c r="A111" s="101" t="s">
        <v>228</v>
      </c>
      <c r="B111" s="102" t="s">
        <v>63</v>
      </c>
      <c r="C111" s="103" t="s">
        <v>253</v>
      </c>
      <c r="D111" s="103" t="s">
        <v>50</v>
      </c>
      <c r="E111" s="103" t="s">
        <v>45</v>
      </c>
      <c r="F111" s="103" t="s">
        <v>46</v>
      </c>
      <c r="G111" s="103" t="s">
        <v>29</v>
      </c>
      <c r="H111" s="131">
        <v>45404</v>
      </c>
      <c r="I111" s="104">
        <v>95</v>
      </c>
      <c r="J111" s="105">
        <v>750</v>
      </c>
      <c r="K111" s="145">
        <v>0</v>
      </c>
      <c r="L111" s="103" t="s">
        <v>30</v>
      </c>
      <c r="M111" s="153">
        <f>Combined_Data!$I111*Combined_Data!$J111</f>
        <v>71250</v>
      </c>
      <c r="N111" s="153">
        <f>Combined_Data!$M111*(1-Combined_Data!$K111)</f>
        <v>71250</v>
      </c>
      <c r="O111" s="106" t="str">
        <f>IF(Combined_Data!$N111&gt;350000,"High",IF(Combined_Data!$N111&gt;100000,"Medium","Low"))</f>
        <v>Low</v>
      </c>
    </row>
    <row r="112" spans="1:15" x14ac:dyDescent="0.3">
      <c r="A112" s="95" t="s">
        <v>229</v>
      </c>
      <c r="B112" s="96" t="s">
        <v>16</v>
      </c>
      <c r="C112" s="97" t="s">
        <v>250</v>
      </c>
      <c r="D112" s="97" t="s">
        <v>39</v>
      </c>
      <c r="E112" s="97" t="s">
        <v>51</v>
      </c>
      <c r="F112" s="97" t="s">
        <v>52</v>
      </c>
      <c r="G112" s="97" t="s">
        <v>35</v>
      </c>
      <c r="H112" s="130">
        <v>45405</v>
      </c>
      <c r="I112" s="98">
        <v>256</v>
      </c>
      <c r="J112" s="99">
        <v>990</v>
      </c>
      <c r="K112" s="144">
        <v>0</v>
      </c>
      <c r="L112" s="97" t="s">
        <v>36</v>
      </c>
      <c r="M112" s="152">
        <f>Combined_Data!$I112*Combined_Data!$J112</f>
        <v>253440</v>
      </c>
      <c r="N112" s="152">
        <f>Combined_Data!$M112*(1-Combined_Data!$K112)</f>
        <v>253440</v>
      </c>
      <c r="O112" s="100" t="str">
        <f>IF(Combined_Data!$N112&gt;350000,"High",IF(Combined_Data!$N112&gt;100000,"Medium","Low"))</f>
        <v>Medium</v>
      </c>
    </row>
    <row r="113" spans="1:15" x14ac:dyDescent="0.3">
      <c r="A113" s="101" t="s">
        <v>230</v>
      </c>
      <c r="B113" s="102" t="s">
        <v>25</v>
      </c>
      <c r="C113" s="103" t="s">
        <v>257</v>
      </c>
      <c r="D113" s="103" t="s">
        <v>26</v>
      </c>
      <c r="E113" s="103" t="s">
        <v>27</v>
      </c>
      <c r="F113" s="103" t="s">
        <v>28</v>
      </c>
      <c r="G113" s="103" t="s">
        <v>42</v>
      </c>
      <c r="H113" s="131">
        <v>45406</v>
      </c>
      <c r="I113" s="104">
        <v>215</v>
      </c>
      <c r="J113" s="105">
        <v>350</v>
      </c>
      <c r="K113" s="145">
        <v>0.04</v>
      </c>
      <c r="L113" s="103" t="s">
        <v>30</v>
      </c>
      <c r="M113" s="153">
        <f>Combined_Data!$I113*Combined_Data!$J113</f>
        <v>75250</v>
      </c>
      <c r="N113" s="153">
        <f>Combined_Data!$M113*(1-Combined_Data!$K113)</f>
        <v>72240</v>
      </c>
      <c r="O113" s="106" t="str">
        <f>IF(Combined_Data!$N113&gt;350000,"High",IF(Combined_Data!$N113&gt;100000,"Medium","Low"))</f>
        <v>Low</v>
      </c>
    </row>
    <row r="114" spans="1:15" x14ac:dyDescent="0.3">
      <c r="A114" s="95" t="s">
        <v>231</v>
      </c>
      <c r="B114" s="96" t="s">
        <v>32</v>
      </c>
      <c r="C114" s="97" t="s">
        <v>246</v>
      </c>
      <c r="D114" s="97" t="s">
        <v>26</v>
      </c>
      <c r="E114" s="97" t="s">
        <v>33</v>
      </c>
      <c r="F114" s="97" t="s">
        <v>34</v>
      </c>
      <c r="G114" s="97" t="s">
        <v>47</v>
      </c>
      <c r="H114" s="130">
        <v>45407</v>
      </c>
      <c r="I114" s="98">
        <v>160</v>
      </c>
      <c r="J114" s="99">
        <v>420</v>
      </c>
      <c r="K114" s="144">
        <v>0</v>
      </c>
      <c r="L114" s="97" t="s">
        <v>36</v>
      </c>
      <c r="M114" s="152">
        <v>67200</v>
      </c>
      <c r="N114" s="152">
        <f>Combined_Data!$M114*(1-Combined_Data!$K114)</f>
        <v>67200</v>
      </c>
      <c r="O114" s="100" t="str">
        <f>IF(Combined_Data!$N114&gt;350000,"High",IF(Combined_Data!$N114&gt;100000,"Medium","Low"))</f>
        <v>Low</v>
      </c>
    </row>
    <row r="115" spans="1:15" x14ac:dyDescent="0.3">
      <c r="A115" s="101" t="s">
        <v>232</v>
      </c>
      <c r="B115" s="102" t="s">
        <v>38</v>
      </c>
      <c r="C115" s="103" t="s">
        <v>247</v>
      </c>
      <c r="D115" s="103" t="s">
        <v>39</v>
      </c>
      <c r="E115" s="103" t="s">
        <v>40</v>
      </c>
      <c r="F115" s="103" t="s">
        <v>41</v>
      </c>
      <c r="G115" s="103" t="s">
        <v>53</v>
      </c>
      <c r="H115" s="131">
        <v>45408</v>
      </c>
      <c r="I115" s="104">
        <v>145</v>
      </c>
      <c r="J115" s="105">
        <v>1200</v>
      </c>
      <c r="K115" s="145">
        <v>0</v>
      </c>
      <c r="L115" s="103" t="s">
        <v>36</v>
      </c>
      <c r="M115" s="153">
        <f>Combined_Data!$I115*Combined_Data!$J115</f>
        <v>174000</v>
      </c>
      <c r="N115" s="153">
        <f>Combined_Data!$M115*(1-Combined_Data!$K115)</f>
        <v>174000</v>
      </c>
      <c r="O115" s="106" t="str">
        <f>IF(Combined_Data!$N115&gt;350000,"High",IF(Combined_Data!$N115&gt;100000,"Medium","Low"))</f>
        <v>Medium</v>
      </c>
    </row>
    <row r="116" spans="1:15" x14ac:dyDescent="0.3">
      <c r="A116" s="95" t="s">
        <v>233</v>
      </c>
      <c r="B116" s="96" t="s">
        <v>44</v>
      </c>
      <c r="C116" s="97" t="s">
        <v>254</v>
      </c>
      <c r="D116" s="97" t="s">
        <v>39</v>
      </c>
      <c r="E116" s="97" t="s">
        <v>45</v>
      </c>
      <c r="F116" s="97" t="s">
        <v>46</v>
      </c>
      <c r="G116" s="97" t="s">
        <v>56</v>
      </c>
      <c r="H116" s="130">
        <v>45409</v>
      </c>
      <c r="I116" s="98">
        <v>411</v>
      </c>
      <c r="J116" s="99">
        <v>200</v>
      </c>
      <c r="K116" s="144">
        <v>7.0000000000000007E-2</v>
      </c>
      <c r="L116" s="97" t="s">
        <v>30</v>
      </c>
      <c r="M116" s="152">
        <f>Combined_Data!$I116*Combined_Data!$J116</f>
        <v>82200</v>
      </c>
      <c r="N116" s="152">
        <f>Combined_Data!$M116*(1-Combined_Data!$K116)</f>
        <v>76446</v>
      </c>
      <c r="O116" s="100" t="str">
        <f>IF(Combined_Data!$N116&gt;350000,"High",IF(Combined_Data!$N116&gt;100000,"Medium","Low"))</f>
        <v>Low</v>
      </c>
    </row>
    <row r="117" spans="1:15" x14ac:dyDescent="0.3">
      <c r="A117" s="101" t="s">
        <v>235</v>
      </c>
      <c r="B117" s="102" t="s">
        <v>49</v>
      </c>
      <c r="C117" s="103" t="s">
        <v>251</v>
      </c>
      <c r="D117" s="103" t="s">
        <v>50</v>
      </c>
      <c r="E117" s="103" t="s">
        <v>51</v>
      </c>
      <c r="F117" s="103" t="s">
        <v>52</v>
      </c>
      <c r="G117" s="103" t="s">
        <v>29</v>
      </c>
      <c r="H117" s="131">
        <v>45410</v>
      </c>
      <c r="I117" s="104">
        <v>500</v>
      </c>
      <c r="J117" s="105">
        <v>895</v>
      </c>
      <c r="K117" s="145">
        <v>0</v>
      </c>
      <c r="L117" s="103" t="s">
        <v>36</v>
      </c>
      <c r="M117" s="153">
        <f>Combined_Data!$I117*Combined_Data!$J117</f>
        <v>447500</v>
      </c>
      <c r="N117" s="153">
        <f>Combined_Data!$M117*(1-Combined_Data!$K117)</f>
        <v>447500</v>
      </c>
      <c r="O117" s="106" t="str">
        <f>IF(Combined_Data!$N117&gt;350000,"High",IF(Combined_Data!$N117&gt;100000,"Medium","Low"))</f>
        <v>High</v>
      </c>
    </row>
    <row r="118" spans="1:15" x14ac:dyDescent="0.3">
      <c r="A118" s="95" t="s">
        <v>239</v>
      </c>
      <c r="B118" s="96" t="s">
        <v>55</v>
      </c>
      <c r="C118" s="97" t="s">
        <v>249</v>
      </c>
      <c r="D118" s="97" t="s">
        <v>39</v>
      </c>
      <c r="E118" s="97" t="s">
        <v>27</v>
      </c>
      <c r="F118" s="97" t="s">
        <v>28</v>
      </c>
      <c r="G118" s="97" t="s">
        <v>35</v>
      </c>
      <c r="H118" s="130">
        <v>45411</v>
      </c>
      <c r="I118" s="98">
        <v>411</v>
      </c>
      <c r="J118" s="99">
        <v>650</v>
      </c>
      <c r="K118" s="144">
        <v>0</v>
      </c>
      <c r="L118" s="97" t="s">
        <v>30</v>
      </c>
      <c r="M118" s="152">
        <f>Combined_Data!$I118*Combined_Data!$J118</f>
        <v>267150</v>
      </c>
      <c r="N118" s="152">
        <f>Combined_Data!$M118*(1-Combined_Data!$K118)</f>
        <v>267150</v>
      </c>
      <c r="O118" s="100" t="str">
        <f>IF(Combined_Data!$N118&gt;350000,"High",IF(Combined_Data!$N118&gt;100000,"Medium","Low"))</f>
        <v>Medium</v>
      </c>
    </row>
    <row r="119" spans="1:15" x14ac:dyDescent="0.3">
      <c r="A119" s="101" t="s">
        <v>240</v>
      </c>
      <c r="B119" s="102" t="s">
        <v>58</v>
      </c>
      <c r="C119" s="103" t="s">
        <v>255</v>
      </c>
      <c r="D119" s="103" t="s">
        <v>59</v>
      </c>
      <c r="E119" s="103" t="s">
        <v>33</v>
      </c>
      <c r="F119" s="103" t="s">
        <v>34</v>
      </c>
      <c r="G119" s="103" t="s">
        <v>42</v>
      </c>
      <c r="H119" s="131">
        <v>45412</v>
      </c>
      <c r="I119" s="104">
        <v>377</v>
      </c>
      <c r="J119" s="105">
        <v>2800</v>
      </c>
      <c r="K119" s="145">
        <v>0.04</v>
      </c>
      <c r="L119" s="103" t="s">
        <v>36</v>
      </c>
      <c r="M119" s="153">
        <f>Combined_Data!$I119*Combined_Data!$J119</f>
        <v>1055600</v>
      </c>
      <c r="N119" s="153">
        <f>Combined_Data!$M119*(1-Combined_Data!$K119)</f>
        <v>1013376</v>
      </c>
      <c r="O119" s="106" t="str">
        <f>IF(Combined_Data!$N119&gt;350000,"High",IF(Combined_Data!$N119&gt;100000,"Medium","Low"))</f>
        <v>High</v>
      </c>
    </row>
    <row r="120" spans="1:15" x14ac:dyDescent="0.3">
      <c r="A120" s="95" t="s">
        <v>241</v>
      </c>
      <c r="B120" s="96" t="s">
        <v>61</v>
      </c>
      <c r="C120" s="97" t="s">
        <v>244</v>
      </c>
      <c r="D120" s="97" t="s">
        <v>26</v>
      </c>
      <c r="E120" s="97" t="s">
        <v>40</v>
      </c>
      <c r="F120" s="97" t="s">
        <v>41</v>
      </c>
      <c r="G120" s="97" t="s">
        <v>47</v>
      </c>
      <c r="H120" s="130">
        <v>45413</v>
      </c>
      <c r="I120" s="98">
        <v>121</v>
      </c>
      <c r="J120" s="99">
        <v>280</v>
      </c>
      <c r="K120" s="144">
        <v>0</v>
      </c>
      <c r="L120" s="97" t="s">
        <v>36</v>
      </c>
      <c r="M120" s="152">
        <f>Combined_Data!$I120*Combined_Data!$J120</f>
        <v>33880</v>
      </c>
      <c r="N120" s="152">
        <f>Combined_Data!$M120*(1-Combined_Data!$K120)</f>
        <v>33880</v>
      </c>
      <c r="O120" s="100" t="str">
        <f>IF(Combined_Data!$N120&gt;350000,"High",IF(Combined_Data!$N120&gt;100000,"Medium","Low"))</f>
        <v>Low</v>
      </c>
    </row>
    <row r="121" spans="1:15" x14ac:dyDescent="0.3">
      <c r="A121" s="76" t="s">
        <v>242</v>
      </c>
      <c r="B121" s="77" t="s">
        <v>63</v>
      </c>
      <c r="C121" s="107" t="s">
        <v>253</v>
      </c>
      <c r="D121" s="107" t="s">
        <v>50</v>
      </c>
      <c r="E121" s="107" t="s">
        <v>45</v>
      </c>
      <c r="F121" s="107" t="s">
        <v>46</v>
      </c>
      <c r="G121" s="107" t="s">
        <v>53</v>
      </c>
      <c r="H121" s="132">
        <v>45414</v>
      </c>
      <c r="I121" s="108">
        <v>306</v>
      </c>
      <c r="J121" s="109">
        <v>750</v>
      </c>
      <c r="K121" s="146">
        <v>0</v>
      </c>
      <c r="L121" s="107" t="s">
        <v>30</v>
      </c>
      <c r="M121" s="154">
        <f>Combined_Data!$I121*Combined_Data!$J121</f>
        <v>229500</v>
      </c>
      <c r="N121" s="154">
        <f>Combined_Data!$M121*(1-Combined_Data!$K121)</f>
        <v>229500</v>
      </c>
      <c r="O121" s="110" t="str">
        <f>IF(Combined_Data!$N121&gt;350000,"High",IF(Combined_Data!$N121&gt;100000,"Medium","Low"))</f>
        <v>Medium</v>
      </c>
    </row>
    <row r="122" spans="1:15" x14ac:dyDescent="0.3">
      <c r="A122" s="111" t="s">
        <v>1028</v>
      </c>
      <c r="B122" s="112" t="s">
        <v>32</v>
      </c>
      <c r="C122" s="113" t="s">
        <v>246</v>
      </c>
      <c r="D122" s="113" t="s">
        <v>26</v>
      </c>
      <c r="E122" s="113" t="s">
        <v>33</v>
      </c>
      <c r="F122" s="113" t="s">
        <v>52</v>
      </c>
      <c r="G122" s="113" t="s">
        <v>53</v>
      </c>
      <c r="H122" s="114">
        <v>45450</v>
      </c>
      <c r="I122" s="134">
        <v>77</v>
      </c>
      <c r="J122" s="139">
        <v>420</v>
      </c>
      <c r="K122" s="147">
        <v>0.05</v>
      </c>
      <c r="L122" s="165" t="s">
        <v>30</v>
      </c>
      <c r="M122" s="155">
        <v>32340</v>
      </c>
      <c r="N122" s="155">
        <v>30723</v>
      </c>
      <c r="O122" s="168" t="s">
        <v>265</v>
      </c>
    </row>
    <row r="123" spans="1:15" x14ac:dyDescent="0.3">
      <c r="A123" s="115" t="s">
        <v>1029</v>
      </c>
      <c r="B123" s="116" t="s">
        <v>58</v>
      </c>
      <c r="C123" s="117" t="s">
        <v>255</v>
      </c>
      <c r="D123" s="117" t="s">
        <v>59</v>
      </c>
      <c r="E123" s="117" t="s">
        <v>45</v>
      </c>
      <c r="F123" s="117" t="s">
        <v>41</v>
      </c>
      <c r="G123" s="117" t="s">
        <v>42</v>
      </c>
      <c r="H123" s="118">
        <v>45473</v>
      </c>
      <c r="I123" s="135">
        <v>74</v>
      </c>
      <c r="J123" s="140">
        <v>2800</v>
      </c>
      <c r="K123" s="148">
        <v>0.08</v>
      </c>
      <c r="L123" s="166" t="s">
        <v>30</v>
      </c>
      <c r="M123" s="156">
        <v>207200</v>
      </c>
      <c r="N123" s="156">
        <v>190624</v>
      </c>
      <c r="O123" s="169" t="s">
        <v>267</v>
      </c>
    </row>
    <row r="124" spans="1:15" x14ac:dyDescent="0.3">
      <c r="A124" s="111" t="s">
        <v>1030</v>
      </c>
      <c r="B124" s="112" t="s">
        <v>61</v>
      </c>
      <c r="C124" s="113" t="s">
        <v>244</v>
      </c>
      <c r="D124" s="113" t="s">
        <v>26</v>
      </c>
      <c r="E124" s="113" t="s">
        <v>51</v>
      </c>
      <c r="F124" s="113" t="s">
        <v>34</v>
      </c>
      <c r="G124" s="113" t="s">
        <v>56</v>
      </c>
      <c r="H124" s="114">
        <v>45457</v>
      </c>
      <c r="I124" s="134">
        <v>99</v>
      </c>
      <c r="J124" s="139">
        <v>280</v>
      </c>
      <c r="K124" s="147">
        <v>0.11</v>
      </c>
      <c r="L124" s="165" t="s">
        <v>36</v>
      </c>
      <c r="M124" s="155">
        <v>27720</v>
      </c>
      <c r="N124" s="155">
        <v>24670.799999999999</v>
      </c>
      <c r="O124" s="168" t="s">
        <v>265</v>
      </c>
    </row>
    <row r="125" spans="1:15" x14ac:dyDescent="0.3">
      <c r="A125" s="115" t="s">
        <v>1031</v>
      </c>
      <c r="B125" s="116" t="s">
        <v>58</v>
      </c>
      <c r="C125" s="117" t="s">
        <v>255</v>
      </c>
      <c r="D125" s="117" t="s">
        <v>59</v>
      </c>
      <c r="E125" s="117" t="s">
        <v>27</v>
      </c>
      <c r="F125" s="117" t="s">
        <v>52</v>
      </c>
      <c r="G125" s="117" t="s">
        <v>42</v>
      </c>
      <c r="H125" s="118">
        <v>45462</v>
      </c>
      <c r="I125" s="135">
        <v>39</v>
      </c>
      <c r="J125" s="140">
        <v>2800</v>
      </c>
      <c r="K125" s="148">
        <v>0</v>
      </c>
      <c r="L125" s="166" t="s">
        <v>36</v>
      </c>
      <c r="M125" s="156">
        <v>109200</v>
      </c>
      <c r="N125" s="156">
        <v>109200</v>
      </c>
      <c r="O125" s="169" t="s">
        <v>267</v>
      </c>
    </row>
    <row r="126" spans="1:15" x14ac:dyDescent="0.3">
      <c r="A126" s="111" t="s">
        <v>1032</v>
      </c>
      <c r="B126" s="112" t="s">
        <v>55</v>
      </c>
      <c r="C126" s="113" t="s">
        <v>249</v>
      </c>
      <c r="D126" s="113" t="s">
        <v>39</v>
      </c>
      <c r="E126" s="113" t="s">
        <v>27</v>
      </c>
      <c r="F126" s="113" t="s">
        <v>28</v>
      </c>
      <c r="G126" s="113" t="s">
        <v>29</v>
      </c>
      <c r="H126" s="114">
        <v>45467</v>
      </c>
      <c r="I126" s="134">
        <v>135</v>
      </c>
      <c r="J126" s="139">
        <v>650</v>
      </c>
      <c r="K126" s="147">
        <v>0</v>
      </c>
      <c r="L126" s="165" t="s">
        <v>30</v>
      </c>
      <c r="M126" s="155">
        <v>87750</v>
      </c>
      <c r="N126" s="155">
        <v>87750</v>
      </c>
      <c r="O126" s="168" t="s">
        <v>265</v>
      </c>
    </row>
    <row r="127" spans="1:15" x14ac:dyDescent="0.3">
      <c r="A127" s="115" t="s">
        <v>1033</v>
      </c>
      <c r="B127" s="116" t="s">
        <v>16</v>
      </c>
      <c r="C127" s="117" t="s">
        <v>250</v>
      </c>
      <c r="D127" s="117" t="s">
        <v>39</v>
      </c>
      <c r="E127" s="117" t="s">
        <v>51</v>
      </c>
      <c r="F127" s="117" t="s">
        <v>41</v>
      </c>
      <c r="G127" s="117" t="s">
        <v>35</v>
      </c>
      <c r="H127" s="118">
        <v>45470</v>
      </c>
      <c r="I127" s="135">
        <v>103</v>
      </c>
      <c r="J127" s="140">
        <v>990</v>
      </c>
      <c r="K127" s="148">
        <v>7.0000000000000007E-2</v>
      </c>
      <c r="L127" s="166" t="s">
        <v>36</v>
      </c>
      <c r="M127" s="156">
        <v>101970</v>
      </c>
      <c r="N127" s="156">
        <v>94832.1</v>
      </c>
      <c r="O127" s="169" t="s">
        <v>265</v>
      </c>
    </row>
    <row r="128" spans="1:15" x14ac:dyDescent="0.3">
      <c r="A128" s="111" t="s">
        <v>1034</v>
      </c>
      <c r="B128" s="112" t="s">
        <v>58</v>
      </c>
      <c r="C128" s="113" t="s">
        <v>255</v>
      </c>
      <c r="D128" s="113" t="s">
        <v>59</v>
      </c>
      <c r="E128" s="113" t="s">
        <v>27</v>
      </c>
      <c r="F128" s="113" t="s">
        <v>28</v>
      </c>
      <c r="G128" s="113" t="s">
        <v>29</v>
      </c>
      <c r="H128" s="114">
        <v>45451</v>
      </c>
      <c r="I128" s="134">
        <v>49</v>
      </c>
      <c r="J128" s="139">
        <v>2800</v>
      </c>
      <c r="K128" s="147">
        <v>0.11</v>
      </c>
      <c r="L128" s="165" t="s">
        <v>30</v>
      </c>
      <c r="M128" s="155">
        <v>137200</v>
      </c>
      <c r="N128" s="155">
        <v>122108</v>
      </c>
      <c r="O128" s="168" t="s">
        <v>267</v>
      </c>
    </row>
    <row r="129" spans="1:15" x14ac:dyDescent="0.3">
      <c r="A129" s="115" t="s">
        <v>1035</v>
      </c>
      <c r="B129" s="116" t="s">
        <v>44</v>
      </c>
      <c r="C129" s="117" t="s">
        <v>254</v>
      </c>
      <c r="D129" s="117" t="s">
        <v>39</v>
      </c>
      <c r="E129" s="117" t="s">
        <v>27</v>
      </c>
      <c r="F129" s="117" t="s">
        <v>41</v>
      </c>
      <c r="G129" s="117" t="s">
        <v>42</v>
      </c>
      <c r="H129" s="118">
        <v>45450</v>
      </c>
      <c r="I129" s="135">
        <v>189</v>
      </c>
      <c r="J129" s="140">
        <v>200</v>
      </c>
      <c r="K129" s="148">
        <v>0.12</v>
      </c>
      <c r="L129" s="166" t="s">
        <v>36</v>
      </c>
      <c r="M129" s="156">
        <v>37800</v>
      </c>
      <c r="N129" s="156">
        <v>33264</v>
      </c>
      <c r="O129" s="169" t="s">
        <v>265</v>
      </c>
    </row>
    <row r="130" spans="1:15" x14ac:dyDescent="0.3">
      <c r="A130" s="111" t="s">
        <v>1036</v>
      </c>
      <c r="B130" s="112" t="s">
        <v>25</v>
      </c>
      <c r="C130" s="113" t="s">
        <v>257</v>
      </c>
      <c r="D130" s="113" t="s">
        <v>26</v>
      </c>
      <c r="E130" s="113" t="s">
        <v>33</v>
      </c>
      <c r="F130" s="113" t="s">
        <v>52</v>
      </c>
      <c r="G130" s="113" t="s">
        <v>53</v>
      </c>
      <c r="H130" s="114">
        <v>45456</v>
      </c>
      <c r="I130" s="134">
        <v>96</v>
      </c>
      <c r="J130" s="139">
        <v>350</v>
      </c>
      <c r="K130" s="147">
        <v>0.05</v>
      </c>
      <c r="L130" s="165" t="s">
        <v>30</v>
      </c>
      <c r="M130" s="155">
        <v>33600</v>
      </c>
      <c r="N130" s="155">
        <v>31920</v>
      </c>
      <c r="O130" s="168" t="s">
        <v>265</v>
      </c>
    </row>
    <row r="131" spans="1:15" x14ac:dyDescent="0.3">
      <c r="A131" s="115" t="s">
        <v>1037</v>
      </c>
      <c r="B131" s="116" t="s">
        <v>25</v>
      </c>
      <c r="C131" s="117" t="s">
        <v>257</v>
      </c>
      <c r="D131" s="117" t="s">
        <v>26</v>
      </c>
      <c r="E131" s="117" t="s">
        <v>45</v>
      </c>
      <c r="F131" s="117" t="s">
        <v>41</v>
      </c>
      <c r="G131" s="117" t="s">
        <v>42</v>
      </c>
      <c r="H131" s="118">
        <v>45448</v>
      </c>
      <c r="I131" s="135">
        <v>157</v>
      </c>
      <c r="J131" s="140">
        <v>350</v>
      </c>
      <c r="K131" s="148">
        <v>0.1</v>
      </c>
      <c r="L131" s="166" t="s">
        <v>30</v>
      </c>
      <c r="M131" s="156">
        <v>54950</v>
      </c>
      <c r="N131" s="156">
        <v>49455</v>
      </c>
      <c r="O131" s="169" t="s">
        <v>265</v>
      </c>
    </row>
    <row r="132" spans="1:15" x14ac:dyDescent="0.3">
      <c r="A132" s="111" t="s">
        <v>1038</v>
      </c>
      <c r="B132" s="112" t="s">
        <v>61</v>
      </c>
      <c r="C132" s="113" t="s">
        <v>244</v>
      </c>
      <c r="D132" s="113" t="s">
        <v>26</v>
      </c>
      <c r="E132" s="113" t="s">
        <v>33</v>
      </c>
      <c r="F132" s="113" t="s">
        <v>52</v>
      </c>
      <c r="G132" s="113" t="s">
        <v>35</v>
      </c>
      <c r="H132" s="114">
        <v>45452</v>
      </c>
      <c r="I132" s="134">
        <v>97</v>
      </c>
      <c r="J132" s="139">
        <v>280</v>
      </c>
      <c r="K132" s="147">
        <v>0.08</v>
      </c>
      <c r="L132" s="165" t="s">
        <v>36</v>
      </c>
      <c r="M132" s="155">
        <v>27160</v>
      </c>
      <c r="N132" s="155">
        <v>24987.200000000001</v>
      </c>
      <c r="O132" s="168" t="s">
        <v>265</v>
      </c>
    </row>
    <row r="133" spans="1:15" x14ac:dyDescent="0.3">
      <c r="A133" s="115" t="s">
        <v>1039</v>
      </c>
      <c r="B133" s="116" t="s">
        <v>63</v>
      </c>
      <c r="C133" s="117" t="s">
        <v>253</v>
      </c>
      <c r="D133" s="117" t="s">
        <v>50</v>
      </c>
      <c r="E133" s="117" t="s">
        <v>27</v>
      </c>
      <c r="F133" s="117" t="s">
        <v>34</v>
      </c>
      <c r="G133" s="117" t="s">
        <v>56</v>
      </c>
      <c r="H133" s="118">
        <v>45459</v>
      </c>
      <c r="I133" s="135">
        <v>80</v>
      </c>
      <c r="J133" s="140">
        <v>750</v>
      </c>
      <c r="K133" s="148">
        <v>0.15</v>
      </c>
      <c r="L133" s="166" t="s">
        <v>36</v>
      </c>
      <c r="M133" s="156">
        <v>60000</v>
      </c>
      <c r="N133" s="156">
        <v>51000</v>
      </c>
      <c r="O133" s="169" t="s">
        <v>265</v>
      </c>
    </row>
    <row r="134" spans="1:15" x14ac:dyDescent="0.3">
      <c r="A134" s="111" t="s">
        <v>1040</v>
      </c>
      <c r="B134" s="112" t="s">
        <v>55</v>
      </c>
      <c r="C134" s="113" t="s">
        <v>249</v>
      </c>
      <c r="D134" s="113" t="s">
        <v>39</v>
      </c>
      <c r="E134" s="113" t="s">
        <v>33</v>
      </c>
      <c r="F134" s="113" t="s">
        <v>34</v>
      </c>
      <c r="G134" s="113" t="s">
        <v>47</v>
      </c>
      <c r="H134" s="114">
        <v>45455</v>
      </c>
      <c r="I134" s="134">
        <v>193</v>
      </c>
      <c r="J134" s="139">
        <v>650</v>
      </c>
      <c r="K134" s="147">
        <v>0</v>
      </c>
      <c r="L134" s="165" t="s">
        <v>30</v>
      </c>
      <c r="M134" s="155">
        <v>125450</v>
      </c>
      <c r="N134" s="155">
        <v>125450</v>
      </c>
      <c r="O134" s="168" t="s">
        <v>267</v>
      </c>
    </row>
    <row r="135" spans="1:15" x14ac:dyDescent="0.3">
      <c r="A135" s="115" t="s">
        <v>1041</v>
      </c>
      <c r="B135" s="116" t="s">
        <v>38</v>
      </c>
      <c r="C135" s="117" t="s">
        <v>247</v>
      </c>
      <c r="D135" s="117" t="s">
        <v>39</v>
      </c>
      <c r="E135" s="117" t="s">
        <v>40</v>
      </c>
      <c r="F135" s="117" t="s">
        <v>34</v>
      </c>
      <c r="G135" s="117" t="s">
        <v>42</v>
      </c>
      <c r="H135" s="118">
        <v>45466</v>
      </c>
      <c r="I135" s="135">
        <v>94</v>
      </c>
      <c r="J135" s="140">
        <v>1200</v>
      </c>
      <c r="K135" s="148">
        <v>0.11</v>
      </c>
      <c r="L135" s="166" t="s">
        <v>36</v>
      </c>
      <c r="M135" s="156">
        <v>112800</v>
      </c>
      <c r="N135" s="156">
        <v>100392</v>
      </c>
      <c r="O135" s="169" t="s">
        <v>267</v>
      </c>
    </row>
    <row r="136" spans="1:15" x14ac:dyDescent="0.3">
      <c r="A136" s="111" t="s">
        <v>1042</v>
      </c>
      <c r="B136" s="112" t="s">
        <v>58</v>
      </c>
      <c r="C136" s="113" t="s">
        <v>255</v>
      </c>
      <c r="D136" s="113" t="s">
        <v>59</v>
      </c>
      <c r="E136" s="113" t="s">
        <v>27</v>
      </c>
      <c r="F136" s="113" t="s">
        <v>28</v>
      </c>
      <c r="G136" s="113" t="s">
        <v>29</v>
      </c>
      <c r="H136" s="114">
        <v>45464</v>
      </c>
      <c r="I136" s="134">
        <v>79</v>
      </c>
      <c r="J136" s="139">
        <v>2800</v>
      </c>
      <c r="K136" s="147">
        <v>0.03</v>
      </c>
      <c r="L136" s="165" t="s">
        <v>36</v>
      </c>
      <c r="M136" s="155">
        <v>221200</v>
      </c>
      <c r="N136" s="155">
        <v>214564</v>
      </c>
      <c r="O136" s="168" t="s">
        <v>267</v>
      </c>
    </row>
    <row r="137" spans="1:15" x14ac:dyDescent="0.3">
      <c r="A137" s="115" t="s">
        <v>1043</v>
      </c>
      <c r="B137" s="116" t="s">
        <v>49</v>
      </c>
      <c r="C137" s="117" t="s">
        <v>251</v>
      </c>
      <c r="D137" s="117" t="s">
        <v>50</v>
      </c>
      <c r="E137" s="117" t="s">
        <v>40</v>
      </c>
      <c r="F137" s="117" t="s">
        <v>46</v>
      </c>
      <c r="G137" s="117" t="s">
        <v>53</v>
      </c>
      <c r="H137" s="118">
        <v>45466</v>
      </c>
      <c r="I137" s="135">
        <v>145</v>
      </c>
      <c r="J137" s="140">
        <v>895</v>
      </c>
      <c r="K137" s="148">
        <v>0</v>
      </c>
      <c r="L137" s="166" t="s">
        <v>36</v>
      </c>
      <c r="M137" s="156">
        <v>129775</v>
      </c>
      <c r="N137" s="156">
        <v>129775</v>
      </c>
      <c r="O137" s="169" t="s">
        <v>267</v>
      </c>
    </row>
    <row r="138" spans="1:15" x14ac:dyDescent="0.3">
      <c r="A138" s="111" t="s">
        <v>1044</v>
      </c>
      <c r="B138" s="112" t="s">
        <v>61</v>
      </c>
      <c r="C138" s="113" t="s">
        <v>244</v>
      </c>
      <c r="D138" s="113" t="s">
        <v>26</v>
      </c>
      <c r="E138" s="113" t="s">
        <v>51</v>
      </c>
      <c r="F138" s="113" t="s">
        <v>46</v>
      </c>
      <c r="G138" s="113" t="s">
        <v>47</v>
      </c>
      <c r="H138" s="114">
        <v>45445</v>
      </c>
      <c r="I138" s="134">
        <v>105</v>
      </c>
      <c r="J138" s="139">
        <v>280</v>
      </c>
      <c r="K138" s="147">
        <v>0</v>
      </c>
      <c r="L138" s="165" t="s">
        <v>36</v>
      </c>
      <c r="M138" s="155">
        <v>29400</v>
      </c>
      <c r="N138" s="155">
        <v>29400</v>
      </c>
      <c r="O138" s="168" t="s">
        <v>265</v>
      </c>
    </row>
    <row r="139" spans="1:15" x14ac:dyDescent="0.3">
      <c r="A139" s="115" t="s">
        <v>1045</v>
      </c>
      <c r="B139" s="116" t="s">
        <v>55</v>
      </c>
      <c r="C139" s="117" t="s">
        <v>249</v>
      </c>
      <c r="D139" s="117" t="s">
        <v>39</v>
      </c>
      <c r="E139" s="117" t="s">
        <v>51</v>
      </c>
      <c r="F139" s="117" t="s">
        <v>41</v>
      </c>
      <c r="G139" s="117" t="s">
        <v>29</v>
      </c>
      <c r="H139" s="118">
        <v>45464</v>
      </c>
      <c r="I139" s="135">
        <v>102</v>
      </c>
      <c r="J139" s="140">
        <v>650</v>
      </c>
      <c r="K139" s="148">
        <v>0.03</v>
      </c>
      <c r="L139" s="166" t="s">
        <v>36</v>
      </c>
      <c r="M139" s="156">
        <v>66300</v>
      </c>
      <c r="N139" s="156">
        <v>64311</v>
      </c>
      <c r="O139" s="169" t="s">
        <v>265</v>
      </c>
    </row>
    <row r="140" spans="1:15" x14ac:dyDescent="0.3">
      <c r="A140" s="111" t="s">
        <v>1046</v>
      </c>
      <c r="B140" s="112" t="s">
        <v>38</v>
      </c>
      <c r="C140" s="113" t="s">
        <v>247</v>
      </c>
      <c r="D140" s="113" t="s">
        <v>39</v>
      </c>
      <c r="E140" s="113" t="s">
        <v>40</v>
      </c>
      <c r="F140" s="113" t="s">
        <v>46</v>
      </c>
      <c r="G140" s="113" t="s">
        <v>42</v>
      </c>
      <c r="H140" s="114">
        <v>45444</v>
      </c>
      <c r="I140" s="134">
        <v>72</v>
      </c>
      <c r="J140" s="139">
        <v>1200</v>
      </c>
      <c r="K140" s="147">
        <v>0.15</v>
      </c>
      <c r="L140" s="165" t="s">
        <v>36</v>
      </c>
      <c r="M140" s="155">
        <v>86400</v>
      </c>
      <c r="N140" s="155">
        <v>73440</v>
      </c>
      <c r="O140" s="168" t="s">
        <v>265</v>
      </c>
    </row>
    <row r="141" spans="1:15" x14ac:dyDescent="0.3">
      <c r="A141" s="115" t="s">
        <v>1047</v>
      </c>
      <c r="B141" s="116" t="s">
        <v>58</v>
      </c>
      <c r="C141" s="117" t="s">
        <v>255</v>
      </c>
      <c r="D141" s="117" t="s">
        <v>59</v>
      </c>
      <c r="E141" s="117" t="s">
        <v>33</v>
      </c>
      <c r="F141" s="117" t="s">
        <v>52</v>
      </c>
      <c r="G141" s="117" t="s">
        <v>42</v>
      </c>
      <c r="H141" s="118">
        <v>45455</v>
      </c>
      <c r="I141" s="135">
        <v>55</v>
      </c>
      <c r="J141" s="140">
        <v>2800</v>
      </c>
      <c r="K141" s="148">
        <v>0.08</v>
      </c>
      <c r="L141" s="166" t="s">
        <v>36</v>
      </c>
      <c r="M141" s="156">
        <v>154000</v>
      </c>
      <c r="N141" s="156">
        <v>141680</v>
      </c>
      <c r="O141" s="169" t="s">
        <v>267</v>
      </c>
    </row>
    <row r="142" spans="1:15" x14ac:dyDescent="0.3">
      <c r="A142" s="111" t="s">
        <v>1048</v>
      </c>
      <c r="B142" s="112" t="s">
        <v>49</v>
      </c>
      <c r="C142" s="113" t="s">
        <v>251</v>
      </c>
      <c r="D142" s="113" t="s">
        <v>50</v>
      </c>
      <c r="E142" s="113" t="s">
        <v>51</v>
      </c>
      <c r="F142" s="113" t="s">
        <v>52</v>
      </c>
      <c r="G142" s="113" t="s">
        <v>29</v>
      </c>
      <c r="H142" s="114">
        <v>45471</v>
      </c>
      <c r="I142" s="134">
        <v>131</v>
      </c>
      <c r="J142" s="139">
        <v>895</v>
      </c>
      <c r="K142" s="147">
        <v>0</v>
      </c>
      <c r="L142" s="165" t="s">
        <v>30</v>
      </c>
      <c r="M142" s="155">
        <v>117245</v>
      </c>
      <c r="N142" s="155">
        <v>117245</v>
      </c>
      <c r="O142" s="168" t="s">
        <v>267</v>
      </c>
    </row>
    <row r="143" spans="1:15" x14ac:dyDescent="0.3">
      <c r="A143" s="115" t="s">
        <v>1049</v>
      </c>
      <c r="B143" s="116" t="s">
        <v>61</v>
      </c>
      <c r="C143" s="117" t="s">
        <v>244</v>
      </c>
      <c r="D143" s="117" t="s">
        <v>26</v>
      </c>
      <c r="E143" s="117" t="s">
        <v>51</v>
      </c>
      <c r="F143" s="117" t="s">
        <v>34</v>
      </c>
      <c r="G143" s="117" t="s">
        <v>53</v>
      </c>
      <c r="H143" s="118">
        <v>45468</v>
      </c>
      <c r="I143" s="135">
        <v>219</v>
      </c>
      <c r="J143" s="140">
        <v>280</v>
      </c>
      <c r="K143" s="148">
        <v>7.0000000000000007E-2</v>
      </c>
      <c r="L143" s="166" t="s">
        <v>30</v>
      </c>
      <c r="M143" s="156">
        <v>61320</v>
      </c>
      <c r="N143" s="156">
        <v>57027.6</v>
      </c>
      <c r="O143" s="169" t="s">
        <v>265</v>
      </c>
    </row>
    <row r="144" spans="1:15" x14ac:dyDescent="0.3">
      <c r="A144" s="111" t="s">
        <v>1050</v>
      </c>
      <c r="B144" s="112" t="s">
        <v>61</v>
      </c>
      <c r="C144" s="113" t="s">
        <v>244</v>
      </c>
      <c r="D144" s="113" t="s">
        <v>26</v>
      </c>
      <c r="E144" s="113" t="s">
        <v>51</v>
      </c>
      <c r="F144" s="113" t="s">
        <v>41</v>
      </c>
      <c r="G144" s="113" t="s">
        <v>47</v>
      </c>
      <c r="H144" s="114">
        <v>45464</v>
      </c>
      <c r="I144" s="134">
        <v>228</v>
      </c>
      <c r="J144" s="139">
        <v>280</v>
      </c>
      <c r="K144" s="147">
        <v>0.03</v>
      </c>
      <c r="L144" s="165" t="s">
        <v>36</v>
      </c>
      <c r="M144" s="155">
        <v>63840</v>
      </c>
      <c r="N144" s="155">
        <v>61924.800000000003</v>
      </c>
      <c r="O144" s="168" t="s">
        <v>265</v>
      </c>
    </row>
    <row r="145" spans="1:15" x14ac:dyDescent="0.3">
      <c r="A145" s="115" t="s">
        <v>1051</v>
      </c>
      <c r="B145" s="116" t="s">
        <v>58</v>
      </c>
      <c r="C145" s="117" t="s">
        <v>255</v>
      </c>
      <c r="D145" s="117" t="s">
        <v>59</v>
      </c>
      <c r="E145" s="117" t="s">
        <v>51</v>
      </c>
      <c r="F145" s="117" t="s">
        <v>52</v>
      </c>
      <c r="G145" s="117" t="s">
        <v>35</v>
      </c>
      <c r="H145" s="118">
        <v>45460</v>
      </c>
      <c r="I145" s="135">
        <v>64</v>
      </c>
      <c r="J145" s="140">
        <v>2800</v>
      </c>
      <c r="K145" s="148">
        <v>0.13</v>
      </c>
      <c r="L145" s="166" t="s">
        <v>36</v>
      </c>
      <c r="M145" s="156">
        <v>179200</v>
      </c>
      <c r="N145" s="156">
        <v>155904</v>
      </c>
      <c r="O145" s="169" t="s">
        <v>267</v>
      </c>
    </row>
    <row r="146" spans="1:15" x14ac:dyDescent="0.3">
      <c r="A146" s="111" t="s">
        <v>1052</v>
      </c>
      <c r="B146" s="112" t="s">
        <v>55</v>
      </c>
      <c r="C146" s="113" t="s">
        <v>249</v>
      </c>
      <c r="D146" s="113" t="s">
        <v>39</v>
      </c>
      <c r="E146" s="113" t="s">
        <v>45</v>
      </c>
      <c r="F146" s="113" t="s">
        <v>28</v>
      </c>
      <c r="G146" s="113" t="s">
        <v>35</v>
      </c>
      <c r="H146" s="114">
        <v>45470</v>
      </c>
      <c r="I146" s="134">
        <v>68</v>
      </c>
      <c r="J146" s="139">
        <v>650</v>
      </c>
      <c r="K146" s="147">
        <v>0</v>
      </c>
      <c r="L146" s="165" t="s">
        <v>36</v>
      </c>
      <c r="M146" s="155">
        <v>44200</v>
      </c>
      <c r="N146" s="155">
        <v>44200</v>
      </c>
      <c r="O146" s="168" t="s">
        <v>265</v>
      </c>
    </row>
    <row r="147" spans="1:15" x14ac:dyDescent="0.3">
      <c r="A147" s="115" t="s">
        <v>1053</v>
      </c>
      <c r="B147" s="116" t="s">
        <v>63</v>
      </c>
      <c r="C147" s="117" t="s">
        <v>253</v>
      </c>
      <c r="D147" s="117" t="s">
        <v>50</v>
      </c>
      <c r="E147" s="117" t="s">
        <v>33</v>
      </c>
      <c r="F147" s="117" t="s">
        <v>46</v>
      </c>
      <c r="G147" s="117" t="s">
        <v>47</v>
      </c>
      <c r="H147" s="118">
        <v>45468</v>
      </c>
      <c r="I147" s="135">
        <v>148</v>
      </c>
      <c r="J147" s="140">
        <v>750</v>
      </c>
      <c r="K147" s="148">
        <v>0.13</v>
      </c>
      <c r="L147" s="166" t="s">
        <v>30</v>
      </c>
      <c r="M147" s="156">
        <v>111000</v>
      </c>
      <c r="N147" s="156">
        <v>96570</v>
      </c>
      <c r="O147" s="169" t="s">
        <v>265</v>
      </c>
    </row>
    <row r="148" spans="1:15" x14ac:dyDescent="0.3">
      <c r="A148" s="111" t="s">
        <v>1054</v>
      </c>
      <c r="B148" s="112" t="s">
        <v>25</v>
      </c>
      <c r="C148" s="113" t="s">
        <v>257</v>
      </c>
      <c r="D148" s="113" t="s">
        <v>26</v>
      </c>
      <c r="E148" s="113" t="s">
        <v>40</v>
      </c>
      <c r="F148" s="113" t="s">
        <v>41</v>
      </c>
      <c r="G148" s="113" t="s">
        <v>47</v>
      </c>
      <c r="H148" s="114">
        <v>45466</v>
      </c>
      <c r="I148" s="134">
        <v>35</v>
      </c>
      <c r="J148" s="139">
        <v>350</v>
      </c>
      <c r="K148" s="147">
        <v>7.0000000000000007E-2</v>
      </c>
      <c r="L148" s="165" t="s">
        <v>36</v>
      </c>
      <c r="M148" s="155">
        <v>12250</v>
      </c>
      <c r="N148" s="155">
        <v>11392.5</v>
      </c>
      <c r="O148" s="168" t="s">
        <v>265</v>
      </c>
    </row>
    <row r="149" spans="1:15" x14ac:dyDescent="0.3">
      <c r="A149" s="115" t="s">
        <v>1055</v>
      </c>
      <c r="B149" s="116" t="s">
        <v>63</v>
      </c>
      <c r="C149" s="117" t="s">
        <v>253</v>
      </c>
      <c r="D149" s="117" t="s">
        <v>50</v>
      </c>
      <c r="E149" s="117" t="s">
        <v>51</v>
      </c>
      <c r="F149" s="117" t="s">
        <v>46</v>
      </c>
      <c r="G149" s="117" t="s">
        <v>56</v>
      </c>
      <c r="H149" s="118">
        <v>45460</v>
      </c>
      <c r="I149" s="135">
        <v>97</v>
      </c>
      <c r="J149" s="140">
        <v>750</v>
      </c>
      <c r="K149" s="148">
        <v>0</v>
      </c>
      <c r="L149" s="166" t="s">
        <v>30</v>
      </c>
      <c r="M149" s="156">
        <v>72750</v>
      </c>
      <c r="N149" s="156">
        <v>72750</v>
      </c>
      <c r="O149" s="169" t="s">
        <v>265</v>
      </c>
    </row>
    <row r="150" spans="1:15" x14ac:dyDescent="0.3">
      <c r="A150" s="111" t="s">
        <v>1056</v>
      </c>
      <c r="B150" s="112" t="s">
        <v>25</v>
      </c>
      <c r="C150" s="113" t="s">
        <v>257</v>
      </c>
      <c r="D150" s="113" t="s">
        <v>26</v>
      </c>
      <c r="E150" s="113" t="s">
        <v>40</v>
      </c>
      <c r="F150" s="113" t="s">
        <v>41</v>
      </c>
      <c r="G150" s="113" t="s">
        <v>35</v>
      </c>
      <c r="H150" s="114">
        <v>45449</v>
      </c>
      <c r="I150" s="134">
        <v>37</v>
      </c>
      <c r="J150" s="139">
        <v>350</v>
      </c>
      <c r="K150" s="147">
        <v>0</v>
      </c>
      <c r="L150" s="165" t="s">
        <v>36</v>
      </c>
      <c r="M150" s="155">
        <v>12950</v>
      </c>
      <c r="N150" s="155">
        <v>12950</v>
      </c>
      <c r="O150" s="168" t="s">
        <v>265</v>
      </c>
    </row>
    <row r="151" spans="1:15" x14ac:dyDescent="0.3">
      <c r="A151" s="115" t="s">
        <v>1057</v>
      </c>
      <c r="B151" s="116" t="s">
        <v>25</v>
      </c>
      <c r="C151" s="117" t="s">
        <v>257</v>
      </c>
      <c r="D151" s="117" t="s">
        <v>26</v>
      </c>
      <c r="E151" s="117" t="s">
        <v>45</v>
      </c>
      <c r="F151" s="117" t="s">
        <v>28</v>
      </c>
      <c r="G151" s="117" t="s">
        <v>42</v>
      </c>
      <c r="H151" s="118">
        <v>45456</v>
      </c>
      <c r="I151" s="135">
        <v>131</v>
      </c>
      <c r="J151" s="140">
        <v>350</v>
      </c>
      <c r="K151" s="148">
        <v>0</v>
      </c>
      <c r="L151" s="166" t="s">
        <v>30</v>
      </c>
      <c r="M151" s="156">
        <v>45850</v>
      </c>
      <c r="N151" s="156">
        <v>45850</v>
      </c>
      <c r="O151" s="169" t="s">
        <v>265</v>
      </c>
    </row>
    <row r="152" spans="1:15" x14ac:dyDescent="0.3">
      <c r="A152" s="111" t="s">
        <v>1058</v>
      </c>
      <c r="B152" s="112" t="s">
        <v>25</v>
      </c>
      <c r="C152" s="113" t="s">
        <v>257</v>
      </c>
      <c r="D152" s="113" t="s">
        <v>26</v>
      </c>
      <c r="E152" s="113" t="s">
        <v>51</v>
      </c>
      <c r="F152" s="113" t="s">
        <v>52</v>
      </c>
      <c r="G152" s="113" t="s">
        <v>56</v>
      </c>
      <c r="H152" s="114">
        <v>45457</v>
      </c>
      <c r="I152" s="134">
        <v>174</v>
      </c>
      <c r="J152" s="139">
        <v>350</v>
      </c>
      <c r="K152" s="147">
        <v>0.12</v>
      </c>
      <c r="L152" s="165" t="s">
        <v>36</v>
      </c>
      <c r="M152" s="155">
        <v>60900</v>
      </c>
      <c r="N152" s="155">
        <v>53592</v>
      </c>
      <c r="O152" s="168" t="s">
        <v>265</v>
      </c>
    </row>
    <row r="153" spans="1:15" x14ac:dyDescent="0.3">
      <c r="A153" s="115" t="s">
        <v>1059</v>
      </c>
      <c r="B153" s="116" t="s">
        <v>25</v>
      </c>
      <c r="C153" s="117" t="s">
        <v>257</v>
      </c>
      <c r="D153" s="117" t="s">
        <v>26</v>
      </c>
      <c r="E153" s="117" t="s">
        <v>40</v>
      </c>
      <c r="F153" s="117" t="s">
        <v>34</v>
      </c>
      <c r="G153" s="117" t="s">
        <v>53</v>
      </c>
      <c r="H153" s="118">
        <v>45462</v>
      </c>
      <c r="I153" s="135">
        <v>104</v>
      </c>
      <c r="J153" s="140">
        <v>350</v>
      </c>
      <c r="K153" s="148">
        <v>0.03</v>
      </c>
      <c r="L153" s="166" t="s">
        <v>36</v>
      </c>
      <c r="M153" s="156">
        <v>36400</v>
      </c>
      <c r="N153" s="156">
        <v>35308</v>
      </c>
      <c r="O153" s="169" t="s">
        <v>265</v>
      </c>
    </row>
    <row r="154" spans="1:15" x14ac:dyDescent="0.3">
      <c r="A154" s="111" t="s">
        <v>1060</v>
      </c>
      <c r="B154" s="112" t="s">
        <v>63</v>
      </c>
      <c r="C154" s="113" t="s">
        <v>253</v>
      </c>
      <c r="D154" s="113" t="s">
        <v>50</v>
      </c>
      <c r="E154" s="113" t="s">
        <v>40</v>
      </c>
      <c r="F154" s="113" t="s">
        <v>52</v>
      </c>
      <c r="G154" s="113" t="s">
        <v>29</v>
      </c>
      <c r="H154" s="114">
        <v>45473</v>
      </c>
      <c r="I154" s="134">
        <v>56</v>
      </c>
      <c r="J154" s="139">
        <v>750</v>
      </c>
      <c r="K154" s="147">
        <v>7.0000000000000007E-2</v>
      </c>
      <c r="L154" s="165" t="s">
        <v>36</v>
      </c>
      <c r="M154" s="155">
        <v>42000</v>
      </c>
      <c r="N154" s="155">
        <v>39060</v>
      </c>
      <c r="O154" s="168" t="s">
        <v>265</v>
      </c>
    </row>
    <row r="155" spans="1:15" x14ac:dyDescent="0.3">
      <c r="A155" s="115" t="s">
        <v>1061</v>
      </c>
      <c r="B155" s="116" t="s">
        <v>58</v>
      </c>
      <c r="C155" s="117" t="s">
        <v>255</v>
      </c>
      <c r="D155" s="117" t="s">
        <v>59</v>
      </c>
      <c r="E155" s="117" t="s">
        <v>51</v>
      </c>
      <c r="F155" s="117" t="s">
        <v>28</v>
      </c>
      <c r="G155" s="117" t="s">
        <v>35</v>
      </c>
      <c r="H155" s="118">
        <v>45455</v>
      </c>
      <c r="I155" s="135">
        <v>70</v>
      </c>
      <c r="J155" s="140">
        <v>2800</v>
      </c>
      <c r="K155" s="148">
        <v>0.12</v>
      </c>
      <c r="L155" s="166" t="s">
        <v>36</v>
      </c>
      <c r="M155" s="156">
        <v>196000</v>
      </c>
      <c r="N155" s="156">
        <v>172480</v>
      </c>
      <c r="O155" s="169" t="s">
        <v>267</v>
      </c>
    </row>
    <row r="156" spans="1:15" x14ac:dyDescent="0.3">
      <c r="A156" s="111" t="s">
        <v>1062</v>
      </c>
      <c r="B156" s="112" t="s">
        <v>25</v>
      </c>
      <c r="C156" s="113" t="s">
        <v>257</v>
      </c>
      <c r="D156" s="113" t="s">
        <v>26</v>
      </c>
      <c r="E156" s="113" t="s">
        <v>51</v>
      </c>
      <c r="F156" s="113" t="s">
        <v>46</v>
      </c>
      <c r="G156" s="113" t="s">
        <v>47</v>
      </c>
      <c r="H156" s="114">
        <v>45454</v>
      </c>
      <c r="I156" s="134">
        <v>113</v>
      </c>
      <c r="J156" s="139">
        <v>350</v>
      </c>
      <c r="K156" s="147">
        <v>0.13</v>
      </c>
      <c r="L156" s="165" t="s">
        <v>36</v>
      </c>
      <c r="M156" s="155">
        <v>39550</v>
      </c>
      <c r="N156" s="155">
        <v>34408.5</v>
      </c>
      <c r="O156" s="168" t="s">
        <v>265</v>
      </c>
    </row>
    <row r="157" spans="1:15" x14ac:dyDescent="0.3">
      <c r="A157" s="115" t="s">
        <v>1063</v>
      </c>
      <c r="B157" s="116" t="s">
        <v>44</v>
      </c>
      <c r="C157" s="117" t="s">
        <v>254</v>
      </c>
      <c r="D157" s="117" t="s">
        <v>39</v>
      </c>
      <c r="E157" s="117" t="s">
        <v>45</v>
      </c>
      <c r="F157" s="117" t="s">
        <v>34</v>
      </c>
      <c r="G157" s="117" t="s">
        <v>53</v>
      </c>
      <c r="H157" s="118">
        <v>45453</v>
      </c>
      <c r="I157" s="135">
        <v>162</v>
      </c>
      <c r="J157" s="140">
        <v>200</v>
      </c>
      <c r="K157" s="148">
        <v>0</v>
      </c>
      <c r="L157" s="166" t="s">
        <v>36</v>
      </c>
      <c r="M157" s="156">
        <v>32400</v>
      </c>
      <c r="N157" s="156">
        <v>32400</v>
      </c>
      <c r="O157" s="169" t="s">
        <v>265</v>
      </c>
    </row>
    <row r="158" spans="1:15" x14ac:dyDescent="0.3">
      <c r="A158" s="111" t="s">
        <v>1064</v>
      </c>
      <c r="B158" s="112" t="s">
        <v>38</v>
      </c>
      <c r="C158" s="113" t="s">
        <v>247</v>
      </c>
      <c r="D158" s="113" t="s">
        <v>39</v>
      </c>
      <c r="E158" s="113" t="s">
        <v>51</v>
      </c>
      <c r="F158" s="113" t="s">
        <v>46</v>
      </c>
      <c r="G158" s="113" t="s">
        <v>56</v>
      </c>
      <c r="H158" s="114">
        <v>45471</v>
      </c>
      <c r="I158" s="134">
        <v>54</v>
      </c>
      <c r="J158" s="139">
        <v>1200</v>
      </c>
      <c r="K158" s="147">
        <v>7.0000000000000007E-2</v>
      </c>
      <c r="L158" s="165" t="s">
        <v>30</v>
      </c>
      <c r="M158" s="155">
        <v>64800</v>
      </c>
      <c r="N158" s="155">
        <v>60264</v>
      </c>
      <c r="O158" s="168" t="s">
        <v>265</v>
      </c>
    </row>
    <row r="159" spans="1:15" x14ac:dyDescent="0.3">
      <c r="A159" s="115" t="s">
        <v>1065</v>
      </c>
      <c r="B159" s="116" t="s">
        <v>61</v>
      </c>
      <c r="C159" s="117" t="s">
        <v>244</v>
      </c>
      <c r="D159" s="117" t="s">
        <v>26</v>
      </c>
      <c r="E159" s="117" t="s">
        <v>45</v>
      </c>
      <c r="F159" s="117" t="s">
        <v>28</v>
      </c>
      <c r="G159" s="117" t="s">
        <v>53</v>
      </c>
      <c r="H159" s="118">
        <v>45456</v>
      </c>
      <c r="I159" s="135">
        <v>144</v>
      </c>
      <c r="J159" s="140">
        <v>280</v>
      </c>
      <c r="K159" s="148">
        <v>0</v>
      </c>
      <c r="L159" s="166" t="s">
        <v>36</v>
      </c>
      <c r="M159" s="156">
        <v>40320</v>
      </c>
      <c r="N159" s="156">
        <v>40320</v>
      </c>
      <c r="O159" s="169" t="s">
        <v>265</v>
      </c>
    </row>
    <row r="160" spans="1:15" x14ac:dyDescent="0.3">
      <c r="A160" s="111" t="s">
        <v>1066</v>
      </c>
      <c r="B160" s="112" t="s">
        <v>44</v>
      </c>
      <c r="C160" s="113" t="s">
        <v>254</v>
      </c>
      <c r="D160" s="113" t="s">
        <v>39</v>
      </c>
      <c r="E160" s="113" t="s">
        <v>51</v>
      </c>
      <c r="F160" s="113" t="s">
        <v>46</v>
      </c>
      <c r="G160" s="113" t="s">
        <v>29</v>
      </c>
      <c r="H160" s="114">
        <v>45469</v>
      </c>
      <c r="I160" s="134">
        <v>210</v>
      </c>
      <c r="J160" s="139">
        <v>200</v>
      </c>
      <c r="K160" s="147">
        <v>0</v>
      </c>
      <c r="L160" s="165" t="s">
        <v>30</v>
      </c>
      <c r="M160" s="155">
        <v>42000</v>
      </c>
      <c r="N160" s="155">
        <v>42000</v>
      </c>
      <c r="O160" s="168" t="s">
        <v>265</v>
      </c>
    </row>
    <row r="161" spans="1:15" x14ac:dyDescent="0.3">
      <c r="A161" s="115" t="s">
        <v>1067</v>
      </c>
      <c r="B161" s="116" t="s">
        <v>16</v>
      </c>
      <c r="C161" s="117" t="s">
        <v>250</v>
      </c>
      <c r="D161" s="117" t="s">
        <v>39</v>
      </c>
      <c r="E161" s="117" t="s">
        <v>40</v>
      </c>
      <c r="F161" s="117" t="s">
        <v>46</v>
      </c>
      <c r="G161" s="117" t="s">
        <v>53</v>
      </c>
      <c r="H161" s="118">
        <v>45455</v>
      </c>
      <c r="I161" s="135">
        <v>140</v>
      </c>
      <c r="J161" s="140">
        <v>990</v>
      </c>
      <c r="K161" s="148">
        <v>0</v>
      </c>
      <c r="L161" s="166" t="s">
        <v>30</v>
      </c>
      <c r="M161" s="156">
        <v>138600</v>
      </c>
      <c r="N161" s="156">
        <v>138600</v>
      </c>
      <c r="O161" s="169" t="s">
        <v>267</v>
      </c>
    </row>
    <row r="162" spans="1:15" x14ac:dyDescent="0.3">
      <c r="A162" s="111" t="s">
        <v>1068</v>
      </c>
      <c r="B162" s="112" t="s">
        <v>38</v>
      </c>
      <c r="C162" s="113" t="s">
        <v>247</v>
      </c>
      <c r="D162" s="113" t="s">
        <v>39</v>
      </c>
      <c r="E162" s="113" t="s">
        <v>45</v>
      </c>
      <c r="F162" s="113" t="s">
        <v>28</v>
      </c>
      <c r="G162" s="113" t="s">
        <v>35</v>
      </c>
      <c r="H162" s="114">
        <v>45451</v>
      </c>
      <c r="I162" s="134">
        <v>141</v>
      </c>
      <c r="J162" s="139">
        <v>1200</v>
      </c>
      <c r="K162" s="147">
        <v>0.11</v>
      </c>
      <c r="L162" s="165" t="s">
        <v>36</v>
      </c>
      <c r="M162" s="155">
        <v>169200</v>
      </c>
      <c r="N162" s="155">
        <v>150588</v>
      </c>
      <c r="O162" s="168" t="s">
        <v>267</v>
      </c>
    </row>
    <row r="163" spans="1:15" x14ac:dyDescent="0.3">
      <c r="A163" s="115" t="s">
        <v>1069</v>
      </c>
      <c r="B163" s="116" t="s">
        <v>61</v>
      </c>
      <c r="C163" s="117" t="s">
        <v>244</v>
      </c>
      <c r="D163" s="117" t="s">
        <v>26</v>
      </c>
      <c r="E163" s="117" t="s">
        <v>51</v>
      </c>
      <c r="F163" s="117" t="s">
        <v>46</v>
      </c>
      <c r="G163" s="117" t="s">
        <v>56</v>
      </c>
      <c r="H163" s="118">
        <v>45454</v>
      </c>
      <c r="I163" s="135">
        <v>131</v>
      </c>
      <c r="J163" s="140">
        <v>280</v>
      </c>
      <c r="K163" s="148">
        <v>0.14000000000000001</v>
      </c>
      <c r="L163" s="166" t="s">
        <v>36</v>
      </c>
      <c r="M163" s="156">
        <v>36680</v>
      </c>
      <c r="N163" s="156">
        <v>31544.799999999999</v>
      </c>
      <c r="O163" s="169" t="s">
        <v>265</v>
      </c>
    </row>
    <row r="164" spans="1:15" x14ac:dyDescent="0.3">
      <c r="A164" s="111" t="s">
        <v>1070</v>
      </c>
      <c r="B164" s="112" t="s">
        <v>63</v>
      </c>
      <c r="C164" s="113" t="s">
        <v>253</v>
      </c>
      <c r="D164" s="113" t="s">
        <v>50</v>
      </c>
      <c r="E164" s="113" t="s">
        <v>27</v>
      </c>
      <c r="F164" s="113" t="s">
        <v>52</v>
      </c>
      <c r="G164" s="113" t="s">
        <v>53</v>
      </c>
      <c r="H164" s="114">
        <v>45460</v>
      </c>
      <c r="I164" s="134">
        <v>99</v>
      </c>
      <c r="J164" s="139">
        <v>750</v>
      </c>
      <c r="K164" s="147">
        <v>0.05</v>
      </c>
      <c r="L164" s="165" t="s">
        <v>36</v>
      </c>
      <c r="M164" s="155">
        <v>74250</v>
      </c>
      <c r="N164" s="155">
        <v>70537.5</v>
      </c>
      <c r="O164" s="168" t="s">
        <v>265</v>
      </c>
    </row>
    <row r="165" spans="1:15" x14ac:dyDescent="0.3">
      <c r="A165" s="115" t="s">
        <v>1071</v>
      </c>
      <c r="B165" s="116" t="s">
        <v>16</v>
      </c>
      <c r="C165" s="117" t="s">
        <v>250</v>
      </c>
      <c r="D165" s="117" t="s">
        <v>39</v>
      </c>
      <c r="E165" s="117" t="s">
        <v>40</v>
      </c>
      <c r="F165" s="117" t="s">
        <v>34</v>
      </c>
      <c r="G165" s="117" t="s">
        <v>56</v>
      </c>
      <c r="H165" s="118">
        <v>45473</v>
      </c>
      <c r="I165" s="135">
        <v>56</v>
      </c>
      <c r="J165" s="140">
        <v>990</v>
      </c>
      <c r="K165" s="148">
        <v>0.05</v>
      </c>
      <c r="L165" s="166" t="s">
        <v>36</v>
      </c>
      <c r="M165" s="156">
        <v>55440</v>
      </c>
      <c r="N165" s="156">
        <v>52668</v>
      </c>
      <c r="O165" s="169" t="s">
        <v>265</v>
      </c>
    </row>
    <row r="166" spans="1:15" x14ac:dyDescent="0.3">
      <c r="A166" s="111" t="s">
        <v>1072</v>
      </c>
      <c r="B166" s="112" t="s">
        <v>44</v>
      </c>
      <c r="C166" s="113" t="s">
        <v>254</v>
      </c>
      <c r="D166" s="113" t="s">
        <v>39</v>
      </c>
      <c r="E166" s="113" t="s">
        <v>33</v>
      </c>
      <c r="F166" s="113" t="s">
        <v>28</v>
      </c>
      <c r="G166" s="113" t="s">
        <v>56</v>
      </c>
      <c r="H166" s="114">
        <v>45455</v>
      </c>
      <c r="I166" s="134">
        <v>114</v>
      </c>
      <c r="J166" s="139">
        <v>200</v>
      </c>
      <c r="K166" s="147">
        <v>0</v>
      </c>
      <c r="L166" s="165" t="s">
        <v>30</v>
      </c>
      <c r="M166" s="155">
        <v>22800</v>
      </c>
      <c r="N166" s="155">
        <v>22800</v>
      </c>
      <c r="O166" s="168" t="s">
        <v>265</v>
      </c>
    </row>
    <row r="167" spans="1:15" x14ac:dyDescent="0.3">
      <c r="A167" s="115" t="s">
        <v>1073</v>
      </c>
      <c r="B167" s="116" t="s">
        <v>32</v>
      </c>
      <c r="C167" s="117" t="s">
        <v>246</v>
      </c>
      <c r="D167" s="117" t="s">
        <v>26</v>
      </c>
      <c r="E167" s="117" t="s">
        <v>40</v>
      </c>
      <c r="F167" s="117" t="s">
        <v>34</v>
      </c>
      <c r="G167" s="117" t="s">
        <v>53</v>
      </c>
      <c r="H167" s="118">
        <v>45460</v>
      </c>
      <c r="I167" s="135">
        <v>64</v>
      </c>
      <c r="J167" s="140">
        <v>420</v>
      </c>
      <c r="K167" s="148">
        <v>0.15</v>
      </c>
      <c r="L167" s="166" t="s">
        <v>36</v>
      </c>
      <c r="M167" s="156">
        <v>26880</v>
      </c>
      <c r="N167" s="156">
        <v>22848</v>
      </c>
      <c r="O167" s="169" t="s">
        <v>265</v>
      </c>
    </row>
    <row r="168" spans="1:15" x14ac:dyDescent="0.3">
      <c r="A168" s="111" t="s">
        <v>1074</v>
      </c>
      <c r="B168" s="112" t="s">
        <v>38</v>
      </c>
      <c r="C168" s="113" t="s">
        <v>247</v>
      </c>
      <c r="D168" s="113" t="s">
        <v>39</v>
      </c>
      <c r="E168" s="113" t="s">
        <v>40</v>
      </c>
      <c r="F168" s="113" t="s">
        <v>41</v>
      </c>
      <c r="G168" s="113" t="s">
        <v>47</v>
      </c>
      <c r="H168" s="114">
        <v>45453</v>
      </c>
      <c r="I168" s="134">
        <v>87</v>
      </c>
      <c r="J168" s="139">
        <v>1200</v>
      </c>
      <c r="K168" s="147">
        <v>0.05</v>
      </c>
      <c r="L168" s="165" t="s">
        <v>36</v>
      </c>
      <c r="M168" s="155">
        <v>104400</v>
      </c>
      <c r="N168" s="155">
        <v>99180</v>
      </c>
      <c r="O168" s="168" t="s">
        <v>265</v>
      </c>
    </row>
    <row r="169" spans="1:15" x14ac:dyDescent="0.3">
      <c r="A169" s="115" t="s">
        <v>1075</v>
      </c>
      <c r="B169" s="116" t="s">
        <v>55</v>
      </c>
      <c r="C169" s="117" t="s">
        <v>249</v>
      </c>
      <c r="D169" s="117" t="s">
        <v>39</v>
      </c>
      <c r="E169" s="117" t="s">
        <v>51</v>
      </c>
      <c r="F169" s="117" t="s">
        <v>34</v>
      </c>
      <c r="G169" s="117" t="s">
        <v>42</v>
      </c>
      <c r="H169" s="118">
        <v>45464</v>
      </c>
      <c r="I169" s="135">
        <v>59</v>
      </c>
      <c r="J169" s="140">
        <v>650</v>
      </c>
      <c r="K169" s="148">
        <v>0.11</v>
      </c>
      <c r="L169" s="166" t="s">
        <v>36</v>
      </c>
      <c r="M169" s="156">
        <v>38350</v>
      </c>
      <c r="N169" s="156">
        <v>34131.5</v>
      </c>
      <c r="O169" s="169" t="s">
        <v>265</v>
      </c>
    </row>
    <row r="170" spans="1:15" x14ac:dyDescent="0.3">
      <c r="A170" s="111" t="s">
        <v>1076</v>
      </c>
      <c r="B170" s="112" t="s">
        <v>44</v>
      </c>
      <c r="C170" s="113" t="s">
        <v>254</v>
      </c>
      <c r="D170" s="113" t="s">
        <v>39</v>
      </c>
      <c r="E170" s="113" t="s">
        <v>51</v>
      </c>
      <c r="F170" s="113" t="s">
        <v>46</v>
      </c>
      <c r="G170" s="113" t="s">
        <v>35</v>
      </c>
      <c r="H170" s="114">
        <v>45453</v>
      </c>
      <c r="I170" s="134">
        <v>175</v>
      </c>
      <c r="J170" s="139">
        <v>200</v>
      </c>
      <c r="K170" s="147">
        <v>0.03</v>
      </c>
      <c r="L170" s="165" t="s">
        <v>36</v>
      </c>
      <c r="M170" s="155">
        <v>35000</v>
      </c>
      <c r="N170" s="155">
        <v>33950</v>
      </c>
      <c r="O170" s="168" t="s">
        <v>265</v>
      </c>
    </row>
    <row r="171" spans="1:15" x14ac:dyDescent="0.3">
      <c r="A171" s="115" t="s">
        <v>1077</v>
      </c>
      <c r="B171" s="116" t="s">
        <v>32</v>
      </c>
      <c r="C171" s="117" t="s">
        <v>246</v>
      </c>
      <c r="D171" s="117" t="s">
        <v>26</v>
      </c>
      <c r="E171" s="117" t="s">
        <v>33</v>
      </c>
      <c r="F171" s="117" t="s">
        <v>34</v>
      </c>
      <c r="G171" s="117" t="s">
        <v>53</v>
      </c>
      <c r="H171" s="118">
        <v>45471</v>
      </c>
      <c r="I171" s="135">
        <v>117</v>
      </c>
      <c r="J171" s="140">
        <v>420</v>
      </c>
      <c r="K171" s="148">
        <v>0.03</v>
      </c>
      <c r="L171" s="166" t="s">
        <v>30</v>
      </c>
      <c r="M171" s="156">
        <v>49140</v>
      </c>
      <c r="N171" s="156">
        <v>47665.8</v>
      </c>
      <c r="O171" s="169" t="s">
        <v>265</v>
      </c>
    </row>
    <row r="172" spans="1:15" x14ac:dyDescent="0.3">
      <c r="A172" s="111" t="s">
        <v>1078</v>
      </c>
      <c r="B172" s="112" t="s">
        <v>49</v>
      </c>
      <c r="C172" s="113" t="s">
        <v>251</v>
      </c>
      <c r="D172" s="113" t="s">
        <v>50</v>
      </c>
      <c r="E172" s="113" t="s">
        <v>45</v>
      </c>
      <c r="F172" s="113" t="s">
        <v>52</v>
      </c>
      <c r="G172" s="113" t="s">
        <v>47</v>
      </c>
      <c r="H172" s="114">
        <v>45453</v>
      </c>
      <c r="I172" s="134">
        <v>39</v>
      </c>
      <c r="J172" s="139">
        <v>895</v>
      </c>
      <c r="K172" s="147">
        <v>0.15</v>
      </c>
      <c r="L172" s="165" t="s">
        <v>36</v>
      </c>
      <c r="M172" s="155">
        <v>34905</v>
      </c>
      <c r="N172" s="155">
        <v>29669.25</v>
      </c>
      <c r="O172" s="168" t="s">
        <v>265</v>
      </c>
    </row>
    <row r="173" spans="1:15" x14ac:dyDescent="0.3">
      <c r="A173" s="115" t="s">
        <v>1079</v>
      </c>
      <c r="B173" s="116" t="s">
        <v>55</v>
      </c>
      <c r="C173" s="117" t="s">
        <v>249</v>
      </c>
      <c r="D173" s="117" t="s">
        <v>39</v>
      </c>
      <c r="E173" s="117" t="s">
        <v>27</v>
      </c>
      <c r="F173" s="117" t="s">
        <v>34</v>
      </c>
      <c r="G173" s="117" t="s">
        <v>42</v>
      </c>
      <c r="H173" s="118">
        <v>45450</v>
      </c>
      <c r="I173" s="135">
        <v>179</v>
      </c>
      <c r="J173" s="140">
        <v>650</v>
      </c>
      <c r="K173" s="148">
        <v>0.14000000000000001</v>
      </c>
      <c r="L173" s="166" t="s">
        <v>30</v>
      </c>
      <c r="M173" s="156">
        <v>116350</v>
      </c>
      <c r="N173" s="156">
        <v>100061</v>
      </c>
      <c r="O173" s="169" t="s">
        <v>267</v>
      </c>
    </row>
    <row r="174" spans="1:15" x14ac:dyDescent="0.3">
      <c r="A174" s="111" t="s">
        <v>1080</v>
      </c>
      <c r="B174" s="112" t="s">
        <v>55</v>
      </c>
      <c r="C174" s="113" t="s">
        <v>249</v>
      </c>
      <c r="D174" s="113" t="s">
        <v>39</v>
      </c>
      <c r="E174" s="113" t="s">
        <v>40</v>
      </c>
      <c r="F174" s="113" t="s">
        <v>34</v>
      </c>
      <c r="G174" s="113" t="s">
        <v>42</v>
      </c>
      <c r="H174" s="114">
        <v>45462</v>
      </c>
      <c r="I174" s="134">
        <v>131</v>
      </c>
      <c r="J174" s="139">
        <v>650</v>
      </c>
      <c r="K174" s="147">
        <v>0.12</v>
      </c>
      <c r="L174" s="165" t="s">
        <v>30</v>
      </c>
      <c r="M174" s="155">
        <v>85150</v>
      </c>
      <c r="N174" s="155">
        <v>74932</v>
      </c>
      <c r="O174" s="168" t="s">
        <v>265</v>
      </c>
    </row>
    <row r="175" spans="1:15" x14ac:dyDescent="0.3">
      <c r="A175" s="115" t="s">
        <v>1081</v>
      </c>
      <c r="B175" s="116" t="s">
        <v>63</v>
      </c>
      <c r="C175" s="117" t="s">
        <v>253</v>
      </c>
      <c r="D175" s="117" t="s">
        <v>50</v>
      </c>
      <c r="E175" s="117" t="s">
        <v>33</v>
      </c>
      <c r="F175" s="117" t="s">
        <v>52</v>
      </c>
      <c r="G175" s="117" t="s">
        <v>53</v>
      </c>
      <c r="H175" s="118">
        <v>45470</v>
      </c>
      <c r="I175" s="135">
        <v>75</v>
      </c>
      <c r="J175" s="140">
        <v>750</v>
      </c>
      <c r="K175" s="148">
        <v>0.08</v>
      </c>
      <c r="L175" s="166" t="s">
        <v>36</v>
      </c>
      <c r="M175" s="156">
        <v>56250</v>
      </c>
      <c r="N175" s="156">
        <v>51750</v>
      </c>
      <c r="O175" s="169" t="s">
        <v>265</v>
      </c>
    </row>
    <row r="176" spans="1:15" x14ac:dyDescent="0.3">
      <c r="A176" s="111" t="s">
        <v>1082</v>
      </c>
      <c r="B176" s="112" t="s">
        <v>44</v>
      </c>
      <c r="C176" s="113" t="s">
        <v>254</v>
      </c>
      <c r="D176" s="113" t="s">
        <v>39</v>
      </c>
      <c r="E176" s="113" t="s">
        <v>40</v>
      </c>
      <c r="F176" s="113" t="s">
        <v>41</v>
      </c>
      <c r="G176" s="113" t="s">
        <v>47</v>
      </c>
      <c r="H176" s="114">
        <v>45458</v>
      </c>
      <c r="I176" s="134">
        <v>187</v>
      </c>
      <c r="J176" s="139">
        <v>200</v>
      </c>
      <c r="K176" s="147">
        <v>0</v>
      </c>
      <c r="L176" s="165" t="s">
        <v>36</v>
      </c>
      <c r="M176" s="155">
        <v>37400</v>
      </c>
      <c r="N176" s="155">
        <v>37400</v>
      </c>
      <c r="O176" s="168" t="s">
        <v>265</v>
      </c>
    </row>
    <row r="177" spans="1:15" x14ac:dyDescent="0.3">
      <c r="A177" s="115" t="s">
        <v>1083</v>
      </c>
      <c r="B177" s="116" t="s">
        <v>49</v>
      </c>
      <c r="C177" s="117" t="s">
        <v>251</v>
      </c>
      <c r="D177" s="117" t="s">
        <v>50</v>
      </c>
      <c r="E177" s="117" t="s">
        <v>27</v>
      </c>
      <c r="F177" s="117" t="s">
        <v>52</v>
      </c>
      <c r="G177" s="117" t="s">
        <v>47</v>
      </c>
      <c r="H177" s="118">
        <v>45447</v>
      </c>
      <c r="I177" s="135">
        <v>39</v>
      </c>
      <c r="J177" s="140">
        <v>895</v>
      </c>
      <c r="K177" s="148">
        <v>0</v>
      </c>
      <c r="L177" s="166" t="s">
        <v>30</v>
      </c>
      <c r="M177" s="156">
        <v>34905</v>
      </c>
      <c r="N177" s="156">
        <v>34905</v>
      </c>
      <c r="O177" s="169" t="s">
        <v>265</v>
      </c>
    </row>
    <row r="178" spans="1:15" x14ac:dyDescent="0.3">
      <c r="A178" s="111" t="s">
        <v>1084</v>
      </c>
      <c r="B178" s="112" t="s">
        <v>38</v>
      </c>
      <c r="C178" s="113" t="s">
        <v>247</v>
      </c>
      <c r="D178" s="113" t="s">
        <v>39</v>
      </c>
      <c r="E178" s="113" t="s">
        <v>33</v>
      </c>
      <c r="F178" s="113" t="s">
        <v>46</v>
      </c>
      <c r="G178" s="113" t="s">
        <v>53</v>
      </c>
      <c r="H178" s="114">
        <v>45469</v>
      </c>
      <c r="I178" s="134">
        <v>53</v>
      </c>
      <c r="J178" s="139">
        <v>1200</v>
      </c>
      <c r="K178" s="147">
        <v>0.12</v>
      </c>
      <c r="L178" s="165" t="s">
        <v>36</v>
      </c>
      <c r="M178" s="155">
        <v>63600</v>
      </c>
      <c r="N178" s="155">
        <v>55968</v>
      </c>
      <c r="O178" s="168" t="s">
        <v>265</v>
      </c>
    </row>
    <row r="179" spans="1:15" x14ac:dyDescent="0.3">
      <c r="A179" s="115" t="s">
        <v>1085</v>
      </c>
      <c r="B179" s="116" t="s">
        <v>61</v>
      </c>
      <c r="C179" s="117" t="s">
        <v>244</v>
      </c>
      <c r="D179" s="117" t="s">
        <v>26</v>
      </c>
      <c r="E179" s="117" t="s">
        <v>33</v>
      </c>
      <c r="F179" s="117" t="s">
        <v>28</v>
      </c>
      <c r="G179" s="117" t="s">
        <v>42</v>
      </c>
      <c r="H179" s="118">
        <v>45467</v>
      </c>
      <c r="I179" s="135">
        <v>128</v>
      </c>
      <c r="J179" s="140">
        <v>280</v>
      </c>
      <c r="K179" s="148">
        <v>0.05</v>
      </c>
      <c r="L179" s="166" t="s">
        <v>30</v>
      </c>
      <c r="M179" s="156">
        <v>35840</v>
      </c>
      <c r="N179" s="156">
        <v>34048</v>
      </c>
      <c r="O179" s="169" t="s">
        <v>265</v>
      </c>
    </row>
    <row r="180" spans="1:15" x14ac:dyDescent="0.3">
      <c r="A180" s="111" t="s">
        <v>1086</v>
      </c>
      <c r="B180" s="112" t="s">
        <v>32</v>
      </c>
      <c r="C180" s="113" t="s">
        <v>246</v>
      </c>
      <c r="D180" s="113" t="s">
        <v>26</v>
      </c>
      <c r="E180" s="113" t="s">
        <v>27</v>
      </c>
      <c r="F180" s="113" t="s">
        <v>34</v>
      </c>
      <c r="G180" s="113" t="s">
        <v>35</v>
      </c>
      <c r="H180" s="114">
        <v>45462</v>
      </c>
      <c r="I180" s="134">
        <v>174</v>
      </c>
      <c r="J180" s="139">
        <v>420</v>
      </c>
      <c r="K180" s="147">
        <v>7.0000000000000007E-2</v>
      </c>
      <c r="L180" s="165" t="s">
        <v>36</v>
      </c>
      <c r="M180" s="155">
        <v>73080</v>
      </c>
      <c r="N180" s="155">
        <v>67964.399999999994</v>
      </c>
      <c r="O180" s="168" t="s">
        <v>265</v>
      </c>
    </row>
    <row r="181" spans="1:15" x14ac:dyDescent="0.3">
      <c r="A181" s="115" t="s">
        <v>1087</v>
      </c>
      <c r="B181" s="116" t="s">
        <v>63</v>
      </c>
      <c r="C181" s="117" t="s">
        <v>253</v>
      </c>
      <c r="D181" s="117" t="s">
        <v>50</v>
      </c>
      <c r="E181" s="117" t="s">
        <v>33</v>
      </c>
      <c r="F181" s="117" t="s">
        <v>28</v>
      </c>
      <c r="G181" s="117" t="s">
        <v>29</v>
      </c>
      <c r="H181" s="118">
        <v>45468</v>
      </c>
      <c r="I181" s="135">
        <v>128</v>
      </c>
      <c r="J181" s="140">
        <v>750</v>
      </c>
      <c r="K181" s="148">
        <v>0.11</v>
      </c>
      <c r="L181" s="166" t="s">
        <v>30</v>
      </c>
      <c r="M181" s="156">
        <v>96000</v>
      </c>
      <c r="N181" s="156">
        <v>85440</v>
      </c>
      <c r="O181" s="169" t="s">
        <v>265</v>
      </c>
    </row>
    <row r="182" spans="1:15" x14ac:dyDescent="0.3">
      <c r="A182" s="111" t="s">
        <v>1088</v>
      </c>
      <c r="B182" s="112" t="s">
        <v>49</v>
      </c>
      <c r="C182" s="113" t="s">
        <v>251</v>
      </c>
      <c r="D182" s="113" t="s">
        <v>50</v>
      </c>
      <c r="E182" s="113" t="s">
        <v>27</v>
      </c>
      <c r="F182" s="113" t="s">
        <v>41</v>
      </c>
      <c r="G182" s="113" t="s">
        <v>35</v>
      </c>
      <c r="H182" s="114">
        <v>45469</v>
      </c>
      <c r="I182" s="134">
        <v>117</v>
      </c>
      <c r="J182" s="139">
        <v>895</v>
      </c>
      <c r="K182" s="147">
        <v>7.0000000000000007E-2</v>
      </c>
      <c r="L182" s="165" t="s">
        <v>30</v>
      </c>
      <c r="M182" s="155">
        <v>104715</v>
      </c>
      <c r="N182" s="155">
        <v>97384.95</v>
      </c>
      <c r="O182" s="168" t="s">
        <v>265</v>
      </c>
    </row>
    <row r="183" spans="1:15" x14ac:dyDescent="0.3">
      <c r="A183" s="115" t="s">
        <v>1089</v>
      </c>
      <c r="B183" s="116" t="s">
        <v>55</v>
      </c>
      <c r="C183" s="117" t="s">
        <v>249</v>
      </c>
      <c r="D183" s="117" t="s">
        <v>39</v>
      </c>
      <c r="E183" s="117" t="s">
        <v>33</v>
      </c>
      <c r="F183" s="117" t="s">
        <v>28</v>
      </c>
      <c r="G183" s="117" t="s">
        <v>53</v>
      </c>
      <c r="H183" s="118">
        <v>45472</v>
      </c>
      <c r="I183" s="135">
        <v>159</v>
      </c>
      <c r="J183" s="140">
        <v>650</v>
      </c>
      <c r="K183" s="148">
        <v>0</v>
      </c>
      <c r="L183" s="166" t="s">
        <v>36</v>
      </c>
      <c r="M183" s="156">
        <v>103350</v>
      </c>
      <c r="N183" s="156">
        <v>103350</v>
      </c>
      <c r="O183" s="169" t="s">
        <v>267</v>
      </c>
    </row>
    <row r="184" spans="1:15" x14ac:dyDescent="0.3">
      <c r="A184" s="111" t="s">
        <v>1090</v>
      </c>
      <c r="B184" s="112" t="s">
        <v>49</v>
      </c>
      <c r="C184" s="113" t="s">
        <v>251</v>
      </c>
      <c r="D184" s="113" t="s">
        <v>50</v>
      </c>
      <c r="E184" s="113" t="s">
        <v>40</v>
      </c>
      <c r="F184" s="113" t="s">
        <v>52</v>
      </c>
      <c r="G184" s="113" t="s">
        <v>29</v>
      </c>
      <c r="H184" s="114">
        <v>45463</v>
      </c>
      <c r="I184" s="134">
        <v>94</v>
      </c>
      <c r="J184" s="139">
        <v>895</v>
      </c>
      <c r="K184" s="147">
        <v>0.1</v>
      </c>
      <c r="L184" s="165" t="s">
        <v>36</v>
      </c>
      <c r="M184" s="155">
        <v>84130</v>
      </c>
      <c r="N184" s="155">
        <v>75717</v>
      </c>
      <c r="O184" s="168" t="s">
        <v>265</v>
      </c>
    </row>
    <row r="185" spans="1:15" x14ac:dyDescent="0.3">
      <c r="A185" s="115" t="s">
        <v>1091</v>
      </c>
      <c r="B185" s="116" t="s">
        <v>61</v>
      </c>
      <c r="C185" s="117" t="s">
        <v>244</v>
      </c>
      <c r="D185" s="117" t="s">
        <v>26</v>
      </c>
      <c r="E185" s="117" t="s">
        <v>27</v>
      </c>
      <c r="F185" s="117" t="s">
        <v>52</v>
      </c>
      <c r="G185" s="117" t="s">
        <v>47</v>
      </c>
      <c r="H185" s="118">
        <v>45466</v>
      </c>
      <c r="I185" s="135">
        <v>136</v>
      </c>
      <c r="J185" s="140">
        <v>280</v>
      </c>
      <c r="K185" s="148">
        <v>0.03</v>
      </c>
      <c r="L185" s="166" t="s">
        <v>36</v>
      </c>
      <c r="M185" s="156">
        <v>38080</v>
      </c>
      <c r="N185" s="156">
        <v>36937.599999999999</v>
      </c>
      <c r="O185" s="169" t="s">
        <v>265</v>
      </c>
    </row>
    <row r="186" spans="1:15" x14ac:dyDescent="0.3">
      <c r="A186" s="111" t="s">
        <v>1092</v>
      </c>
      <c r="B186" s="112" t="s">
        <v>44</v>
      </c>
      <c r="C186" s="113" t="s">
        <v>254</v>
      </c>
      <c r="D186" s="113" t="s">
        <v>39</v>
      </c>
      <c r="E186" s="113" t="s">
        <v>27</v>
      </c>
      <c r="F186" s="113" t="s">
        <v>34</v>
      </c>
      <c r="G186" s="113" t="s">
        <v>56</v>
      </c>
      <c r="H186" s="114">
        <v>45454</v>
      </c>
      <c r="I186" s="134">
        <v>84</v>
      </c>
      <c r="J186" s="139">
        <v>200</v>
      </c>
      <c r="K186" s="147">
        <v>0.12</v>
      </c>
      <c r="L186" s="165" t="s">
        <v>36</v>
      </c>
      <c r="M186" s="155">
        <v>16800</v>
      </c>
      <c r="N186" s="155">
        <v>14784</v>
      </c>
      <c r="O186" s="168" t="s">
        <v>265</v>
      </c>
    </row>
    <row r="187" spans="1:15" x14ac:dyDescent="0.3">
      <c r="A187" s="115" t="s">
        <v>1093</v>
      </c>
      <c r="B187" s="116" t="s">
        <v>38</v>
      </c>
      <c r="C187" s="117" t="s">
        <v>247</v>
      </c>
      <c r="D187" s="117" t="s">
        <v>39</v>
      </c>
      <c r="E187" s="117" t="s">
        <v>33</v>
      </c>
      <c r="F187" s="117" t="s">
        <v>28</v>
      </c>
      <c r="G187" s="117" t="s">
        <v>56</v>
      </c>
      <c r="H187" s="118">
        <v>45448</v>
      </c>
      <c r="I187" s="135">
        <v>120</v>
      </c>
      <c r="J187" s="140">
        <v>1200</v>
      </c>
      <c r="K187" s="148">
        <v>0.11</v>
      </c>
      <c r="L187" s="166" t="s">
        <v>30</v>
      </c>
      <c r="M187" s="156">
        <v>144000</v>
      </c>
      <c r="N187" s="156">
        <v>128160</v>
      </c>
      <c r="O187" s="169" t="s">
        <v>267</v>
      </c>
    </row>
    <row r="188" spans="1:15" x14ac:dyDescent="0.3">
      <c r="A188" s="111" t="s">
        <v>1094</v>
      </c>
      <c r="B188" s="112" t="s">
        <v>16</v>
      </c>
      <c r="C188" s="113" t="s">
        <v>250</v>
      </c>
      <c r="D188" s="113" t="s">
        <v>39</v>
      </c>
      <c r="E188" s="113" t="s">
        <v>40</v>
      </c>
      <c r="F188" s="113" t="s">
        <v>46</v>
      </c>
      <c r="G188" s="113" t="s">
        <v>29</v>
      </c>
      <c r="H188" s="114">
        <v>45466</v>
      </c>
      <c r="I188" s="134">
        <v>30</v>
      </c>
      <c r="J188" s="139">
        <v>990</v>
      </c>
      <c r="K188" s="147">
        <v>0</v>
      </c>
      <c r="L188" s="165" t="s">
        <v>30</v>
      </c>
      <c r="M188" s="155">
        <v>29700</v>
      </c>
      <c r="N188" s="155">
        <v>29700</v>
      </c>
      <c r="O188" s="168" t="s">
        <v>265</v>
      </c>
    </row>
    <row r="189" spans="1:15" x14ac:dyDescent="0.3">
      <c r="A189" s="115" t="s">
        <v>1095</v>
      </c>
      <c r="B189" s="116" t="s">
        <v>63</v>
      </c>
      <c r="C189" s="117" t="s">
        <v>253</v>
      </c>
      <c r="D189" s="117" t="s">
        <v>50</v>
      </c>
      <c r="E189" s="117" t="s">
        <v>33</v>
      </c>
      <c r="F189" s="117" t="s">
        <v>41</v>
      </c>
      <c r="G189" s="117" t="s">
        <v>42</v>
      </c>
      <c r="H189" s="118">
        <v>45462</v>
      </c>
      <c r="I189" s="135">
        <v>42</v>
      </c>
      <c r="J189" s="140">
        <v>750</v>
      </c>
      <c r="K189" s="148">
        <v>0.1</v>
      </c>
      <c r="L189" s="166" t="s">
        <v>36</v>
      </c>
      <c r="M189" s="156">
        <v>31500</v>
      </c>
      <c r="N189" s="156">
        <v>28350</v>
      </c>
      <c r="O189" s="169" t="s">
        <v>265</v>
      </c>
    </row>
    <row r="190" spans="1:15" x14ac:dyDescent="0.3">
      <c r="A190" s="111" t="s">
        <v>1096</v>
      </c>
      <c r="B190" s="112" t="s">
        <v>32</v>
      </c>
      <c r="C190" s="113" t="s">
        <v>246</v>
      </c>
      <c r="D190" s="113" t="s">
        <v>26</v>
      </c>
      <c r="E190" s="113" t="s">
        <v>40</v>
      </c>
      <c r="F190" s="113" t="s">
        <v>52</v>
      </c>
      <c r="G190" s="113" t="s">
        <v>56</v>
      </c>
      <c r="H190" s="114">
        <v>45451</v>
      </c>
      <c r="I190" s="134">
        <v>157</v>
      </c>
      <c r="J190" s="139">
        <v>420</v>
      </c>
      <c r="K190" s="147">
        <v>7.0000000000000007E-2</v>
      </c>
      <c r="L190" s="165" t="s">
        <v>36</v>
      </c>
      <c r="M190" s="155">
        <v>65940</v>
      </c>
      <c r="N190" s="155">
        <v>61324.2</v>
      </c>
      <c r="O190" s="168" t="s">
        <v>265</v>
      </c>
    </row>
    <row r="191" spans="1:15" x14ac:dyDescent="0.3">
      <c r="A191" s="115" t="s">
        <v>1097</v>
      </c>
      <c r="B191" s="116" t="s">
        <v>25</v>
      </c>
      <c r="C191" s="117" t="s">
        <v>257</v>
      </c>
      <c r="D191" s="117" t="s">
        <v>26</v>
      </c>
      <c r="E191" s="117" t="s">
        <v>27</v>
      </c>
      <c r="F191" s="117" t="s">
        <v>28</v>
      </c>
      <c r="G191" s="117" t="s">
        <v>56</v>
      </c>
      <c r="H191" s="118">
        <v>45451</v>
      </c>
      <c r="I191" s="135">
        <v>180</v>
      </c>
      <c r="J191" s="140">
        <v>350</v>
      </c>
      <c r="K191" s="148">
        <v>0</v>
      </c>
      <c r="L191" s="166" t="s">
        <v>36</v>
      </c>
      <c r="M191" s="156">
        <v>63000</v>
      </c>
      <c r="N191" s="156">
        <v>63000</v>
      </c>
      <c r="O191" s="169" t="s">
        <v>265</v>
      </c>
    </row>
    <row r="192" spans="1:15" x14ac:dyDescent="0.3">
      <c r="A192" s="111" t="s">
        <v>1098</v>
      </c>
      <c r="B192" s="112" t="s">
        <v>44</v>
      </c>
      <c r="C192" s="113" t="s">
        <v>254</v>
      </c>
      <c r="D192" s="113" t="s">
        <v>39</v>
      </c>
      <c r="E192" s="113" t="s">
        <v>27</v>
      </c>
      <c r="F192" s="113" t="s">
        <v>28</v>
      </c>
      <c r="G192" s="113" t="s">
        <v>56</v>
      </c>
      <c r="H192" s="114">
        <v>45473</v>
      </c>
      <c r="I192" s="134">
        <v>119</v>
      </c>
      <c r="J192" s="139">
        <v>200</v>
      </c>
      <c r="K192" s="147">
        <v>0</v>
      </c>
      <c r="L192" s="165" t="s">
        <v>36</v>
      </c>
      <c r="M192" s="155">
        <v>23800</v>
      </c>
      <c r="N192" s="155">
        <v>23800</v>
      </c>
      <c r="O192" s="168" t="s">
        <v>265</v>
      </c>
    </row>
    <row r="193" spans="1:15" x14ac:dyDescent="0.3">
      <c r="A193" s="115" t="s">
        <v>1099</v>
      </c>
      <c r="B193" s="116" t="s">
        <v>32</v>
      </c>
      <c r="C193" s="117" t="s">
        <v>246</v>
      </c>
      <c r="D193" s="117" t="s">
        <v>26</v>
      </c>
      <c r="E193" s="117" t="s">
        <v>33</v>
      </c>
      <c r="F193" s="117" t="s">
        <v>41</v>
      </c>
      <c r="G193" s="117" t="s">
        <v>35</v>
      </c>
      <c r="H193" s="118">
        <v>45463</v>
      </c>
      <c r="I193" s="135">
        <v>199</v>
      </c>
      <c r="J193" s="140">
        <v>420</v>
      </c>
      <c r="K193" s="148">
        <v>0</v>
      </c>
      <c r="L193" s="166" t="s">
        <v>36</v>
      </c>
      <c r="M193" s="156">
        <v>83580</v>
      </c>
      <c r="N193" s="156">
        <v>83580</v>
      </c>
      <c r="O193" s="169" t="s">
        <v>265</v>
      </c>
    </row>
    <row r="194" spans="1:15" x14ac:dyDescent="0.3">
      <c r="A194" s="111" t="s">
        <v>1100</v>
      </c>
      <c r="B194" s="112" t="s">
        <v>55</v>
      </c>
      <c r="C194" s="113" t="s">
        <v>249</v>
      </c>
      <c r="D194" s="113" t="s">
        <v>39</v>
      </c>
      <c r="E194" s="113" t="s">
        <v>27</v>
      </c>
      <c r="F194" s="113" t="s">
        <v>41</v>
      </c>
      <c r="G194" s="113" t="s">
        <v>29</v>
      </c>
      <c r="H194" s="114">
        <v>45453</v>
      </c>
      <c r="I194" s="134">
        <v>135</v>
      </c>
      <c r="J194" s="139">
        <v>650</v>
      </c>
      <c r="K194" s="147">
        <v>0</v>
      </c>
      <c r="L194" s="165" t="s">
        <v>36</v>
      </c>
      <c r="M194" s="155">
        <v>87750</v>
      </c>
      <c r="N194" s="155">
        <v>87750</v>
      </c>
      <c r="O194" s="168" t="s">
        <v>265</v>
      </c>
    </row>
    <row r="195" spans="1:15" x14ac:dyDescent="0.3">
      <c r="A195" s="115" t="s">
        <v>1101</v>
      </c>
      <c r="B195" s="116" t="s">
        <v>25</v>
      </c>
      <c r="C195" s="117" t="s">
        <v>257</v>
      </c>
      <c r="D195" s="117" t="s">
        <v>26</v>
      </c>
      <c r="E195" s="117" t="s">
        <v>51</v>
      </c>
      <c r="F195" s="117" t="s">
        <v>46</v>
      </c>
      <c r="G195" s="117" t="s">
        <v>47</v>
      </c>
      <c r="H195" s="118">
        <v>45466</v>
      </c>
      <c r="I195" s="135">
        <v>104</v>
      </c>
      <c r="J195" s="140">
        <v>350</v>
      </c>
      <c r="K195" s="148">
        <v>0.03</v>
      </c>
      <c r="L195" s="166" t="s">
        <v>36</v>
      </c>
      <c r="M195" s="156">
        <v>36400</v>
      </c>
      <c r="N195" s="156">
        <v>35308</v>
      </c>
      <c r="O195" s="169" t="s">
        <v>265</v>
      </c>
    </row>
    <row r="196" spans="1:15" x14ac:dyDescent="0.3">
      <c r="A196" s="111" t="s">
        <v>1102</v>
      </c>
      <c r="B196" s="112" t="s">
        <v>38</v>
      </c>
      <c r="C196" s="113" t="s">
        <v>247</v>
      </c>
      <c r="D196" s="113" t="s">
        <v>39</v>
      </c>
      <c r="E196" s="113" t="s">
        <v>27</v>
      </c>
      <c r="F196" s="113" t="s">
        <v>34</v>
      </c>
      <c r="G196" s="113" t="s">
        <v>42</v>
      </c>
      <c r="H196" s="114">
        <v>45459</v>
      </c>
      <c r="I196" s="134">
        <v>46</v>
      </c>
      <c r="J196" s="139">
        <v>1200</v>
      </c>
      <c r="K196" s="147">
        <v>0.13</v>
      </c>
      <c r="L196" s="165" t="s">
        <v>36</v>
      </c>
      <c r="M196" s="155">
        <v>55200</v>
      </c>
      <c r="N196" s="155">
        <v>48024</v>
      </c>
      <c r="O196" s="168" t="s">
        <v>265</v>
      </c>
    </row>
    <row r="197" spans="1:15" x14ac:dyDescent="0.3">
      <c r="A197" s="115" t="s">
        <v>1103</v>
      </c>
      <c r="B197" s="116" t="s">
        <v>25</v>
      </c>
      <c r="C197" s="117" t="s">
        <v>257</v>
      </c>
      <c r="D197" s="117" t="s">
        <v>26</v>
      </c>
      <c r="E197" s="117" t="s">
        <v>51</v>
      </c>
      <c r="F197" s="117" t="s">
        <v>41</v>
      </c>
      <c r="G197" s="117" t="s">
        <v>56</v>
      </c>
      <c r="H197" s="118">
        <v>45465</v>
      </c>
      <c r="I197" s="135">
        <v>151</v>
      </c>
      <c r="J197" s="140">
        <v>350</v>
      </c>
      <c r="K197" s="148">
        <v>0.1</v>
      </c>
      <c r="L197" s="166" t="s">
        <v>30</v>
      </c>
      <c r="M197" s="156">
        <v>52850</v>
      </c>
      <c r="N197" s="156">
        <v>47565</v>
      </c>
      <c r="O197" s="169" t="s">
        <v>265</v>
      </c>
    </row>
    <row r="198" spans="1:15" x14ac:dyDescent="0.3">
      <c r="A198" s="111" t="s">
        <v>1104</v>
      </c>
      <c r="B198" s="112" t="s">
        <v>38</v>
      </c>
      <c r="C198" s="113" t="s">
        <v>247</v>
      </c>
      <c r="D198" s="113" t="s">
        <v>39</v>
      </c>
      <c r="E198" s="113" t="s">
        <v>40</v>
      </c>
      <c r="F198" s="113" t="s">
        <v>52</v>
      </c>
      <c r="G198" s="113" t="s">
        <v>53</v>
      </c>
      <c r="H198" s="114">
        <v>45469</v>
      </c>
      <c r="I198" s="134">
        <v>117</v>
      </c>
      <c r="J198" s="139">
        <v>1200</v>
      </c>
      <c r="K198" s="147">
        <v>0.14000000000000001</v>
      </c>
      <c r="L198" s="165" t="s">
        <v>36</v>
      </c>
      <c r="M198" s="155">
        <v>140400</v>
      </c>
      <c r="N198" s="155">
        <v>120744</v>
      </c>
      <c r="O198" s="168" t="s">
        <v>267</v>
      </c>
    </row>
    <row r="199" spans="1:15" x14ac:dyDescent="0.3">
      <c r="A199" s="115" t="s">
        <v>1105</v>
      </c>
      <c r="B199" s="116" t="s">
        <v>25</v>
      </c>
      <c r="C199" s="117" t="s">
        <v>257</v>
      </c>
      <c r="D199" s="117" t="s">
        <v>26</v>
      </c>
      <c r="E199" s="117" t="s">
        <v>40</v>
      </c>
      <c r="F199" s="117" t="s">
        <v>28</v>
      </c>
      <c r="G199" s="117" t="s">
        <v>42</v>
      </c>
      <c r="H199" s="118">
        <v>45453</v>
      </c>
      <c r="I199" s="135">
        <v>88</v>
      </c>
      <c r="J199" s="140">
        <v>350</v>
      </c>
      <c r="K199" s="148">
        <v>0.05</v>
      </c>
      <c r="L199" s="166" t="s">
        <v>36</v>
      </c>
      <c r="M199" s="156">
        <v>30800</v>
      </c>
      <c r="N199" s="156">
        <v>29260</v>
      </c>
      <c r="O199" s="169" t="s">
        <v>265</v>
      </c>
    </row>
    <row r="200" spans="1:15" x14ac:dyDescent="0.3">
      <c r="A200" s="111" t="s">
        <v>1106</v>
      </c>
      <c r="B200" s="112" t="s">
        <v>38</v>
      </c>
      <c r="C200" s="113" t="s">
        <v>247</v>
      </c>
      <c r="D200" s="113" t="s">
        <v>39</v>
      </c>
      <c r="E200" s="113" t="s">
        <v>33</v>
      </c>
      <c r="F200" s="113" t="s">
        <v>28</v>
      </c>
      <c r="G200" s="113" t="s">
        <v>29</v>
      </c>
      <c r="H200" s="114">
        <v>45461</v>
      </c>
      <c r="I200" s="134">
        <v>129</v>
      </c>
      <c r="J200" s="139">
        <v>1200</v>
      </c>
      <c r="K200" s="147">
        <v>7.0000000000000007E-2</v>
      </c>
      <c r="L200" s="165" t="s">
        <v>30</v>
      </c>
      <c r="M200" s="155">
        <v>154800</v>
      </c>
      <c r="N200" s="155">
        <v>143964</v>
      </c>
      <c r="O200" s="168" t="s">
        <v>267</v>
      </c>
    </row>
    <row r="201" spans="1:15" x14ac:dyDescent="0.3">
      <c r="A201" s="115" t="s">
        <v>1107</v>
      </c>
      <c r="B201" s="116" t="s">
        <v>63</v>
      </c>
      <c r="C201" s="117" t="s">
        <v>253</v>
      </c>
      <c r="D201" s="117" t="s">
        <v>50</v>
      </c>
      <c r="E201" s="117" t="s">
        <v>27</v>
      </c>
      <c r="F201" s="117" t="s">
        <v>46</v>
      </c>
      <c r="G201" s="117" t="s">
        <v>29</v>
      </c>
      <c r="H201" s="118">
        <v>45447</v>
      </c>
      <c r="I201" s="135">
        <v>35</v>
      </c>
      <c r="J201" s="140">
        <v>750</v>
      </c>
      <c r="K201" s="148">
        <v>0</v>
      </c>
      <c r="L201" s="166" t="s">
        <v>36</v>
      </c>
      <c r="M201" s="156">
        <v>26250</v>
      </c>
      <c r="N201" s="156">
        <v>26250</v>
      </c>
      <c r="O201" s="169" t="s">
        <v>265</v>
      </c>
    </row>
    <row r="202" spans="1:15" x14ac:dyDescent="0.3">
      <c r="A202" s="111" t="s">
        <v>1108</v>
      </c>
      <c r="B202" s="112" t="s">
        <v>63</v>
      </c>
      <c r="C202" s="113" t="s">
        <v>253</v>
      </c>
      <c r="D202" s="113" t="s">
        <v>50</v>
      </c>
      <c r="E202" s="113" t="s">
        <v>27</v>
      </c>
      <c r="F202" s="113" t="s">
        <v>34</v>
      </c>
      <c r="G202" s="113" t="s">
        <v>42</v>
      </c>
      <c r="H202" s="114">
        <v>45445</v>
      </c>
      <c r="I202" s="134">
        <v>21</v>
      </c>
      <c r="J202" s="139">
        <v>750</v>
      </c>
      <c r="K202" s="147">
        <v>7.0000000000000007E-2</v>
      </c>
      <c r="L202" s="165" t="s">
        <v>36</v>
      </c>
      <c r="M202" s="155">
        <v>15750</v>
      </c>
      <c r="N202" s="155">
        <v>14647.5</v>
      </c>
      <c r="O202" s="168" t="s">
        <v>265</v>
      </c>
    </row>
    <row r="203" spans="1:15" x14ac:dyDescent="0.3">
      <c r="A203" s="115" t="s">
        <v>1109</v>
      </c>
      <c r="B203" s="116" t="s">
        <v>44</v>
      </c>
      <c r="C203" s="117" t="s">
        <v>254</v>
      </c>
      <c r="D203" s="117" t="s">
        <v>39</v>
      </c>
      <c r="E203" s="117" t="s">
        <v>27</v>
      </c>
      <c r="F203" s="117" t="s">
        <v>28</v>
      </c>
      <c r="G203" s="117" t="s">
        <v>35</v>
      </c>
      <c r="H203" s="118">
        <v>45471</v>
      </c>
      <c r="I203" s="135">
        <v>41</v>
      </c>
      <c r="J203" s="140">
        <v>200</v>
      </c>
      <c r="K203" s="148">
        <v>7.0000000000000007E-2</v>
      </c>
      <c r="L203" s="166" t="s">
        <v>36</v>
      </c>
      <c r="M203" s="156">
        <v>8200</v>
      </c>
      <c r="N203" s="156">
        <v>7626</v>
      </c>
      <c r="O203" s="169" t="s">
        <v>265</v>
      </c>
    </row>
    <row r="204" spans="1:15" x14ac:dyDescent="0.3">
      <c r="A204" s="111" t="s">
        <v>1110</v>
      </c>
      <c r="B204" s="112" t="s">
        <v>58</v>
      </c>
      <c r="C204" s="113" t="s">
        <v>255</v>
      </c>
      <c r="D204" s="113" t="s">
        <v>59</v>
      </c>
      <c r="E204" s="113" t="s">
        <v>51</v>
      </c>
      <c r="F204" s="113" t="s">
        <v>41</v>
      </c>
      <c r="G204" s="113" t="s">
        <v>47</v>
      </c>
      <c r="H204" s="114">
        <v>45471</v>
      </c>
      <c r="I204" s="134">
        <v>56</v>
      </c>
      <c r="J204" s="139">
        <v>2800</v>
      </c>
      <c r="K204" s="147">
        <v>0.13</v>
      </c>
      <c r="L204" s="165" t="s">
        <v>36</v>
      </c>
      <c r="M204" s="155">
        <v>156800</v>
      </c>
      <c r="N204" s="155">
        <v>136416</v>
      </c>
      <c r="O204" s="168" t="s">
        <v>267</v>
      </c>
    </row>
    <row r="205" spans="1:15" x14ac:dyDescent="0.3">
      <c r="A205" s="115" t="s">
        <v>1111</v>
      </c>
      <c r="B205" s="116" t="s">
        <v>38</v>
      </c>
      <c r="C205" s="117" t="s">
        <v>247</v>
      </c>
      <c r="D205" s="117" t="s">
        <v>39</v>
      </c>
      <c r="E205" s="117" t="s">
        <v>45</v>
      </c>
      <c r="F205" s="117" t="s">
        <v>41</v>
      </c>
      <c r="G205" s="117" t="s">
        <v>53</v>
      </c>
      <c r="H205" s="118">
        <v>45456</v>
      </c>
      <c r="I205" s="135">
        <v>27</v>
      </c>
      <c r="J205" s="140">
        <v>1200</v>
      </c>
      <c r="K205" s="148">
        <v>0.11</v>
      </c>
      <c r="L205" s="166" t="s">
        <v>30</v>
      </c>
      <c r="M205" s="156">
        <v>32400</v>
      </c>
      <c r="N205" s="156">
        <v>28836</v>
      </c>
      <c r="O205" s="169" t="s">
        <v>265</v>
      </c>
    </row>
    <row r="206" spans="1:15" x14ac:dyDescent="0.3">
      <c r="A206" s="111" t="s">
        <v>1112</v>
      </c>
      <c r="B206" s="112" t="s">
        <v>49</v>
      </c>
      <c r="C206" s="113" t="s">
        <v>251</v>
      </c>
      <c r="D206" s="113" t="s">
        <v>50</v>
      </c>
      <c r="E206" s="113" t="s">
        <v>51</v>
      </c>
      <c r="F206" s="113" t="s">
        <v>41</v>
      </c>
      <c r="G206" s="113" t="s">
        <v>47</v>
      </c>
      <c r="H206" s="114">
        <v>45451</v>
      </c>
      <c r="I206" s="134">
        <v>71</v>
      </c>
      <c r="J206" s="139">
        <v>895</v>
      </c>
      <c r="K206" s="147">
        <v>0.12</v>
      </c>
      <c r="L206" s="165" t="s">
        <v>30</v>
      </c>
      <c r="M206" s="155">
        <v>63545</v>
      </c>
      <c r="N206" s="155">
        <v>55919.6</v>
      </c>
      <c r="O206" s="168" t="s">
        <v>265</v>
      </c>
    </row>
    <row r="207" spans="1:15" x14ac:dyDescent="0.3">
      <c r="A207" s="115" t="s">
        <v>1113</v>
      </c>
      <c r="B207" s="116" t="s">
        <v>61</v>
      </c>
      <c r="C207" s="117" t="s">
        <v>244</v>
      </c>
      <c r="D207" s="117" t="s">
        <v>26</v>
      </c>
      <c r="E207" s="117" t="s">
        <v>45</v>
      </c>
      <c r="F207" s="117" t="s">
        <v>52</v>
      </c>
      <c r="G207" s="117" t="s">
        <v>53</v>
      </c>
      <c r="H207" s="118">
        <v>45457</v>
      </c>
      <c r="I207" s="135">
        <v>123</v>
      </c>
      <c r="J207" s="140">
        <v>280</v>
      </c>
      <c r="K207" s="148">
        <v>7.0000000000000007E-2</v>
      </c>
      <c r="L207" s="166" t="s">
        <v>30</v>
      </c>
      <c r="M207" s="156">
        <v>34440</v>
      </c>
      <c r="N207" s="156">
        <v>32029.200000000001</v>
      </c>
      <c r="O207" s="169" t="s">
        <v>265</v>
      </c>
    </row>
    <row r="208" spans="1:15" x14ac:dyDescent="0.3">
      <c r="A208" s="111" t="s">
        <v>1114</v>
      </c>
      <c r="B208" s="112" t="s">
        <v>63</v>
      </c>
      <c r="C208" s="113" t="s">
        <v>253</v>
      </c>
      <c r="D208" s="113" t="s">
        <v>50</v>
      </c>
      <c r="E208" s="113" t="s">
        <v>45</v>
      </c>
      <c r="F208" s="113" t="s">
        <v>46</v>
      </c>
      <c r="G208" s="113" t="s">
        <v>56</v>
      </c>
      <c r="H208" s="114">
        <v>45445</v>
      </c>
      <c r="I208" s="134">
        <v>71</v>
      </c>
      <c r="J208" s="139">
        <v>750</v>
      </c>
      <c r="K208" s="147">
        <v>0</v>
      </c>
      <c r="L208" s="165" t="s">
        <v>36</v>
      </c>
      <c r="M208" s="155">
        <v>53250</v>
      </c>
      <c r="N208" s="155">
        <v>53250</v>
      </c>
      <c r="O208" s="168" t="s">
        <v>265</v>
      </c>
    </row>
    <row r="209" spans="1:15" x14ac:dyDescent="0.3">
      <c r="A209" s="115" t="s">
        <v>1115</v>
      </c>
      <c r="B209" s="116" t="s">
        <v>38</v>
      </c>
      <c r="C209" s="117" t="s">
        <v>247</v>
      </c>
      <c r="D209" s="117" t="s">
        <v>39</v>
      </c>
      <c r="E209" s="117" t="s">
        <v>40</v>
      </c>
      <c r="F209" s="117" t="s">
        <v>41</v>
      </c>
      <c r="G209" s="117" t="s">
        <v>53</v>
      </c>
      <c r="H209" s="118">
        <v>45452</v>
      </c>
      <c r="I209" s="135">
        <v>127</v>
      </c>
      <c r="J209" s="140">
        <v>1200</v>
      </c>
      <c r="K209" s="148">
        <v>0.05</v>
      </c>
      <c r="L209" s="166" t="s">
        <v>30</v>
      </c>
      <c r="M209" s="156">
        <v>152400</v>
      </c>
      <c r="N209" s="156">
        <v>144780</v>
      </c>
      <c r="O209" s="169" t="s">
        <v>267</v>
      </c>
    </row>
    <row r="210" spans="1:15" x14ac:dyDescent="0.3">
      <c r="A210" s="111" t="s">
        <v>1116</v>
      </c>
      <c r="B210" s="112" t="s">
        <v>58</v>
      </c>
      <c r="C210" s="113" t="s">
        <v>255</v>
      </c>
      <c r="D210" s="113" t="s">
        <v>59</v>
      </c>
      <c r="E210" s="113" t="s">
        <v>33</v>
      </c>
      <c r="F210" s="113" t="s">
        <v>46</v>
      </c>
      <c r="G210" s="113" t="s">
        <v>47</v>
      </c>
      <c r="H210" s="114">
        <v>45462</v>
      </c>
      <c r="I210" s="134">
        <v>34</v>
      </c>
      <c r="J210" s="139">
        <v>2800</v>
      </c>
      <c r="K210" s="147">
        <v>0</v>
      </c>
      <c r="L210" s="165" t="s">
        <v>30</v>
      </c>
      <c r="M210" s="155">
        <v>95200</v>
      </c>
      <c r="N210" s="155">
        <v>95200</v>
      </c>
      <c r="O210" s="168" t="s">
        <v>265</v>
      </c>
    </row>
    <row r="211" spans="1:15" x14ac:dyDescent="0.3">
      <c r="A211" s="115" t="s">
        <v>1117</v>
      </c>
      <c r="B211" s="116" t="s">
        <v>63</v>
      </c>
      <c r="C211" s="117" t="s">
        <v>253</v>
      </c>
      <c r="D211" s="117" t="s">
        <v>50</v>
      </c>
      <c r="E211" s="117" t="s">
        <v>45</v>
      </c>
      <c r="F211" s="117" t="s">
        <v>28</v>
      </c>
      <c r="G211" s="117" t="s">
        <v>53</v>
      </c>
      <c r="H211" s="118">
        <v>45454</v>
      </c>
      <c r="I211" s="135">
        <v>86</v>
      </c>
      <c r="J211" s="140">
        <v>750</v>
      </c>
      <c r="K211" s="148">
        <v>0.1</v>
      </c>
      <c r="L211" s="166" t="s">
        <v>36</v>
      </c>
      <c r="M211" s="156">
        <v>64500</v>
      </c>
      <c r="N211" s="156">
        <v>58050</v>
      </c>
      <c r="O211" s="169" t="s">
        <v>265</v>
      </c>
    </row>
    <row r="212" spans="1:15" x14ac:dyDescent="0.3">
      <c r="A212" s="111" t="s">
        <v>1118</v>
      </c>
      <c r="B212" s="112" t="s">
        <v>63</v>
      </c>
      <c r="C212" s="113" t="s">
        <v>253</v>
      </c>
      <c r="D212" s="113" t="s">
        <v>50</v>
      </c>
      <c r="E212" s="113" t="s">
        <v>27</v>
      </c>
      <c r="F212" s="113" t="s">
        <v>28</v>
      </c>
      <c r="G212" s="113" t="s">
        <v>29</v>
      </c>
      <c r="H212" s="114">
        <v>45452</v>
      </c>
      <c r="I212" s="134">
        <v>117</v>
      </c>
      <c r="J212" s="139">
        <v>750</v>
      </c>
      <c r="K212" s="147">
        <v>0.05</v>
      </c>
      <c r="L212" s="165" t="s">
        <v>30</v>
      </c>
      <c r="M212" s="155">
        <v>87750</v>
      </c>
      <c r="N212" s="155">
        <v>83362.5</v>
      </c>
      <c r="O212" s="168" t="s">
        <v>265</v>
      </c>
    </row>
    <row r="213" spans="1:15" x14ac:dyDescent="0.3">
      <c r="A213" s="115" t="s">
        <v>1119</v>
      </c>
      <c r="B213" s="116" t="s">
        <v>16</v>
      </c>
      <c r="C213" s="117" t="s">
        <v>250</v>
      </c>
      <c r="D213" s="117" t="s">
        <v>39</v>
      </c>
      <c r="E213" s="117" t="s">
        <v>33</v>
      </c>
      <c r="F213" s="117" t="s">
        <v>28</v>
      </c>
      <c r="G213" s="117" t="s">
        <v>47</v>
      </c>
      <c r="H213" s="118">
        <v>45461</v>
      </c>
      <c r="I213" s="135">
        <v>63</v>
      </c>
      <c r="J213" s="140">
        <v>990</v>
      </c>
      <c r="K213" s="148">
        <v>0.08</v>
      </c>
      <c r="L213" s="166" t="s">
        <v>30</v>
      </c>
      <c r="M213" s="156">
        <v>62370</v>
      </c>
      <c r="N213" s="156">
        <v>57380.4</v>
      </c>
      <c r="O213" s="169" t="s">
        <v>265</v>
      </c>
    </row>
    <row r="214" spans="1:15" x14ac:dyDescent="0.3">
      <c r="A214" s="111" t="s">
        <v>1120</v>
      </c>
      <c r="B214" s="112" t="s">
        <v>16</v>
      </c>
      <c r="C214" s="113" t="s">
        <v>250</v>
      </c>
      <c r="D214" s="113" t="s">
        <v>39</v>
      </c>
      <c r="E214" s="113" t="s">
        <v>33</v>
      </c>
      <c r="F214" s="113" t="s">
        <v>28</v>
      </c>
      <c r="G214" s="113" t="s">
        <v>53</v>
      </c>
      <c r="H214" s="114">
        <v>45451</v>
      </c>
      <c r="I214" s="134">
        <v>77</v>
      </c>
      <c r="J214" s="139">
        <v>990</v>
      </c>
      <c r="K214" s="147">
        <v>0.13</v>
      </c>
      <c r="L214" s="165" t="s">
        <v>36</v>
      </c>
      <c r="M214" s="155">
        <v>76230</v>
      </c>
      <c r="N214" s="155">
        <v>66320.100000000006</v>
      </c>
      <c r="O214" s="168" t="s">
        <v>265</v>
      </c>
    </row>
    <row r="215" spans="1:15" x14ac:dyDescent="0.3">
      <c r="A215" s="115" t="s">
        <v>1121</v>
      </c>
      <c r="B215" s="116" t="s">
        <v>44</v>
      </c>
      <c r="C215" s="117" t="s">
        <v>254</v>
      </c>
      <c r="D215" s="117" t="s">
        <v>39</v>
      </c>
      <c r="E215" s="117" t="s">
        <v>40</v>
      </c>
      <c r="F215" s="117" t="s">
        <v>28</v>
      </c>
      <c r="G215" s="117" t="s">
        <v>47</v>
      </c>
      <c r="H215" s="118">
        <v>45446</v>
      </c>
      <c r="I215" s="135">
        <v>61</v>
      </c>
      <c r="J215" s="140">
        <v>200</v>
      </c>
      <c r="K215" s="148">
        <v>0.08</v>
      </c>
      <c r="L215" s="166" t="s">
        <v>36</v>
      </c>
      <c r="M215" s="156">
        <v>12200</v>
      </c>
      <c r="N215" s="156">
        <v>11224</v>
      </c>
      <c r="O215" s="169" t="s">
        <v>265</v>
      </c>
    </row>
    <row r="216" spans="1:15" x14ac:dyDescent="0.3">
      <c r="A216" s="111" t="s">
        <v>1122</v>
      </c>
      <c r="B216" s="112" t="s">
        <v>38</v>
      </c>
      <c r="C216" s="113" t="s">
        <v>247</v>
      </c>
      <c r="D216" s="113" t="s">
        <v>39</v>
      </c>
      <c r="E216" s="113" t="s">
        <v>45</v>
      </c>
      <c r="F216" s="113" t="s">
        <v>34</v>
      </c>
      <c r="G216" s="113" t="s">
        <v>29</v>
      </c>
      <c r="H216" s="114">
        <v>45473</v>
      </c>
      <c r="I216" s="134">
        <v>150</v>
      </c>
      <c r="J216" s="139">
        <v>1200</v>
      </c>
      <c r="K216" s="147">
        <v>7.0000000000000007E-2</v>
      </c>
      <c r="L216" s="165" t="s">
        <v>36</v>
      </c>
      <c r="M216" s="155">
        <v>180000</v>
      </c>
      <c r="N216" s="155">
        <v>167400</v>
      </c>
      <c r="O216" s="168" t="s">
        <v>267</v>
      </c>
    </row>
    <row r="217" spans="1:15" x14ac:dyDescent="0.3">
      <c r="A217" s="115" t="s">
        <v>1123</v>
      </c>
      <c r="B217" s="116" t="s">
        <v>61</v>
      </c>
      <c r="C217" s="117" t="s">
        <v>244</v>
      </c>
      <c r="D217" s="117" t="s">
        <v>26</v>
      </c>
      <c r="E217" s="117" t="s">
        <v>45</v>
      </c>
      <c r="F217" s="117" t="s">
        <v>28</v>
      </c>
      <c r="G217" s="117" t="s">
        <v>47</v>
      </c>
      <c r="H217" s="118">
        <v>45459</v>
      </c>
      <c r="I217" s="135">
        <v>187</v>
      </c>
      <c r="J217" s="140">
        <v>280</v>
      </c>
      <c r="K217" s="148">
        <v>0.14000000000000001</v>
      </c>
      <c r="L217" s="166" t="s">
        <v>30</v>
      </c>
      <c r="M217" s="156">
        <v>52360</v>
      </c>
      <c r="N217" s="156">
        <v>45029.599999999999</v>
      </c>
      <c r="O217" s="169" t="s">
        <v>265</v>
      </c>
    </row>
    <row r="218" spans="1:15" x14ac:dyDescent="0.3">
      <c r="A218" s="111" t="s">
        <v>1124</v>
      </c>
      <c r="B218" s="112" t="s">
        <v>44</v>
      </c>
      <c r="C218" s="113" t="s">
        <v>254</v>
      </c>
      <c r="D218" s="113" t="s">
        <v>39</v>
      </c>
      <c r="E218" s="113" t="s">
        <v>45</v>
      </c>
      <c r="F218" s="113" t="s">
        <v>41</v>
      </c>
      <c r="G218" s="113" t="s">
        <v>56</v>
      </c>
      <c r="H218" s="114">
        <v>45473</v>
      </c>
      <c r="I218" s="134">
        <v>174</v>
      </c>
      <c r="J218" s="139">
        <v>200</v>
      </c>
      <c r="K218" s="147">
        <v>7.0000000000000007E-2</v>
      </c>
      <c r="L218" s="165" t="s">
        <v>30</v>
      </c>
      <c r="M218" s="155">
        <v>34800</v>
      </c>
      <c r="N218" s="155">
        <v>32364</v>
      </c>
      <c r="O218" s="168" t="s">
        <v>265</v>
      </c>
    </row>
    <row r="219" spans="1:15" x14ac:dyDescent="0.3">
      <c r="A219" s="115" t="s">
        <v>1125</v>
      </c>
      <c r="B219" s="116" t="s">
        <v>25</v>
      </c>
      <c r="C219" s="117" t="s">
        <v>257</v>
      </c>
      <c r="D219" s="117" t="s">
        <v>26</v>
      </c>
      <c r="E219" s="117" t="s">
        <v>45</v>
      </c>
      <c r="F219" s="117" t="s">
        <v>46</v>
      </c>
      <c r="G219" s="117" t="s">
        <v>53</v>
      </c>
      <c r="H219" s="118">
        <v>45446</v>
      </c>
      <c r="I219" s="135">
        <v>175</v>
      </c>
      <c r="J219" s="140">
        <v>350</v>
      </c>
      <c r="K219" s="148">
        <v>0.08</v>
      </c>
      <c r="L219" s="166" t="s">
        <v>36</v>
      </c>
      <c r="M219" s="156">
        <v>61250</v>
      </c>
      <c r="N219" s="156">
        <v>56350</v>
      </c>
      <c r="O219" s="169" t="s">
        <v>265</v>
      </c>
    </row>
    <row r="220" spans="1:15" x14ac:dyDescent="0.3">
      <c r="A220" s="111" t="s">
        <v>1126</v>
      </c>
      <c r="B220" s="112" t="s">
        <v>16</v>
      </c>
      <c r="C220" s="113" t="s">
        <v>250</v>
      </c>
      <c r="D220" s="113" t="s">
        <v>39</v>
      </c>
      <c r="E220" s="113" t="s">
        <v>51</v>
      </c>
      <c r="F220" s="113" t="s">
        <v>34</v>
      </c>
      <c r="G220" s="113" t="s">
        <v>35</v>
      </c>
      <c r="H220" s="114">
        <v>45448</v>
      </c>
      <c r="I220" s="134">
        <v>109</v>
      </c>
      <c r="J220" s="139">
        <v>990</v>
      </c>
      <c r="K220" s="147">
        <v>0.15</v>
      </c>
      <c r="L220" s="165" t="s">
        <v>36</v>
      </c>
      <c r="M220" s="155">
        <v>107910</v>
      </c>
      <c r="N220" s="155">
        <v>91723.5</v>
      </c>
      <c r="O220" s="168" t="s">
        <v>265</v>
      </c>
    </row>
    <row r="221" spans="1:15" x14ac:dyDescent="0.3">
      <c r="A221" s="115" t="s">
        <v>1127</v>
      </c>
      <c r="B221" s="116" t="s">
        <v>63</v>
      </c>
      <c r="C221" s="117" t="s">
        <v>253</v>
      </c>
      <c r="D221" s="117" t="s">
        <v>50</v>
      </c>
      <c r="E221" s="117" t="s">
        <v>51</v>
      </c>
      <c r="F221" s="117" t="s">
        <v>41</v>
      </c>
      <c r="G221" s="117" t="s">
        <v>29</v>
      </c>
      <c r="H221" s="118">
        <v>45463</v>
      </c>
      <c r="I221" s="135">
        <v>87</v>
      </c>
      <c r="J221" s="140">
        <v>750</v>
      </c>
      <c r="K221" s="148">
        <v>0.03</v>
      </c>
      <c r="L221" s="166" t="s">
        <v>36</v>
      </c>
      <c r="M221" s="156">
        <v>65250</v>
      </c>
      <c r="N221" s="156">
        <v>63292.5</v>
      </c>
      <c r="O221" s="169" t="s">
        <v>265</v>
      </c>
    </row>
    <row r="222" spans="1:15" x14ac:dyDescent="0.3">
      <c r="A222" s="111" t="s">
        <v>1128</v>
      </c>
      <c r="B222" s="112" t="s">
        <v>55</v>
      </c>
      <c r="C222" s="113" t="s">
        <v>249</v>
      </c>
      <c r="D222" s="113" t="s">
        <v>39</v>
      </c>
      <c r="E222" s="113" t="s">
        <v>51</v>
      </c>
      <c r="F222" s="113" t="s">
        <v>28</v>
      </c>
      <c r="G222" s="113" t="s">
        <v>47</v>
      </c>
      <c r="H222" s="114">
        <v>45464</v>
      </c>
      <c r="I222" s="134">
        <v>87</v>
      </c>
      <c r="J222" s="139">
        <v>650</v>
      </c>
      <c r="K222" s="147">
        <v>0.03</v>
      </c>
      <c r="L222" s="165" t="s">
        <v>30</v>
      </c>
      <c r="M222" s="155">
        <v>56550</v>
      </c>
      <c r="N222" s="155">
        <v>54853.5</v>
      </c>
      <c r="O222" s="168" t="s">
        <v>265</v>
      </c>
    </row>
    <row r="223" spans="1:15" x14ac:dyDescent="0.3">
      <c r="A223" s="115" t="s">
        <v>1129</v>
      </c>
      <c r="B223" s="116" t="s">
        <v>44</v>
      </c>
      <c r="C223" s="117" t="s">
        <v>254</v>
      </c>
      <c r="D223" s="117" t="s">
        <v>39</v>
      </c>
      <c r="E223" s="117" t="s">
        <v>27</v>
      </c>
      <c r="F223" s="117" t="s">
        <v>34</v>
      </c>
      <c r="G223" s="117" t="s">
        <v>42</v>
      </c>
      <c r="H223" s="118">
        <v>45456</v>
      </c>
      <c r="I223" s="135">
        <v>228</v>
      </c>
      <c r="J223" s="140">
        <v>200</v>
      </c>
      <c r="K223" s="148">
        <v>0</v>
      </c>
      <c r="L223" s="166" t="s">
        <v>30</v>
      </c>
      <c r="M223" s="156">
        <v>45600</v>
      </c>
      <c r="N223" s="156">
        <v>45600</v>
      </c>
      <c r="O223" s="169" t="s">
        <v>265</v>
      </c>
    </row>
    <row r="224" spans="1:15" x14ac:dyDescent="0.3">
      <c r="A224" s="111" t="s">
        <v>1130</v>
      </c>
      <c r="B224" s="112" t="s">
        <v>38</v>
      </c>
      <c r="C224" s="113" t="s">
        <v>247</v>
      </c>
      <c r="D224" s="113" t="s">
        <v>39</v>
      </c>
      <c r="E224" s="113" t="s">
        <v>45</v>
      </c>
      <c r="F224" s="113" t="s">
        <v>28</v>
      </c>
      <c r="G224" s="113" t="s">
        <v>29</v>
      </c>
      <c r="H224" s="114">
        <v>45455</v>
      </c>
      <c r="I224" s="134">
        <v>134</v>
      </c>
      <c r="J224" s="139">
        <v>1200</v>
      </c>
      <c r="K224" s="147">
        <v>0.15</v>
      </c>
      <c r="L224" s="165" t="s">
        <v>36</v>
      </c>
      <c r="M224" s="155">
        <v>160800</v>
      </c>
      <c r="N224" s="155">
        <v>136680</v>
      </c>
      <c r="O224" s="168" t="s">
        <v>267</v>
      </c>
    </row>
    <row r="225" spans="1:15" x14ac:dyDescent="0.3">
      <c r="A225" s="115" t="s">
        <v>1131</v>
      </c>
      <c r="B225" s="116" t="s">
        <v>25</v>
      </c>
      <c r="C225" s="117" t="s">
        <v>257</v>
      </c>
      <c r="D225" s="117" t="s">
        <v>26</v>
      </c>
      <c r="E225" s="117" t="s">
        <v>45</v>
      </c>
      <c r="F225" s="117" t="s">
        <v>34</v>
      </c>
      <c r="G225" s="117" t="s">
        <v>47</v>
      </c>
      <c r="H225" s="118">
        <v>45487</v>
      </c>
      <c r="I225" s="135">
        <v>161</v>
      </c>
      <c r="J225" s="140">
        <v>350</v>
      </c>
      <c r="K225" s="148">
        <v>0</v>
      </c>
      <c r="L225" s="166" t="s">
        <v>36</v>
      </c>
      <c r="M225" s="156">
        <v>56350</v>
      </c>
      <c r="N225" s="156">
        <v>56350</v>
      </c>
      <c r="O225" s="169" t="s">
        <v>265</v>
      </c>
    </row>
    <row r="226" spans="1:15" x14ac:dyDescent="0.3">
      <c r="A226" s="111" t="s">
        <v>1132</v>
      </c>
      <c r="B226" s="112" t="s">
        <v>61</v>
      </c>
      <c r="C226" s="113" t="s">
        <v>244</v>
      </c>
      <c r="D226" s="113" t="s">
        <v>26</v>
      </c>
      <c r="E226" s="113" t="s">
        <v>40</v>
      </c>
      <c r="F226" s="113" t="s">
        <v>41</v>
      </c>
      <c r="G226" s="113" t="s">
        <v>29</v>
      </c>
      <c r="H226" s="114">
        <v>45481</v>
      </c>
      <c r="I226" s="134">
        <v>191</v>
      </c>
      <c r="J226" s="139">
        <v>280</v>
      </c>
      <c r="K226" s="147">
        <v>0.11</v>
      </c>
      <c r="L226" s="165" t="s">
        <v>36</v>
      </c>
      <c r="M226" s="155">
        <v>53480</v>
      </c>
      <c r="N226" s="155">
        <v>47597.2</v>
      </c>
      <c r="O226" s="168" t="s">
        <v>265</v>
      </c>
    </row>
    <row r="227" spans="1:15" x14ac:dyDescent="0.3">
      <c r="A227" s="115" t="s">
        <v>1133</v>
      </c>
      <c r="B227" s="116" t="s">
        <v>44</v>
      </c>
      <c r="C227" s="117" t="s">
        <v>254</v>
      </c>
      <c r="D227" s="117" t="s">
        <v>39</v>
      </c>
      <c r="E227" s="117" t="s">
        <v>40</v>
      </c>
      <c r="F227" s="117" t="s">
        <v>52</v>
      </c>
      <c r="G227" s="117" t="s">
        <v>47</v>
      </c>
      <c r="H227" s="118">
        <v>45494</v>
      </c>
      <c r="I227" s="135">
        <v>73</v>
      </c>
      <c r="J227" s="140">
        <v>200</v>
      </c>
      <c r="K227" s="148">
        <v>0</v>
      </c>
      <c r="L227" s="166" t="s">
        <v>36</v>
      </c>
      <c r="M227" s="156">
        <v>14600</v>
      </c>
      <c r="N227" s="156">
        <v>14600</v>
      </c>
      <c r="O227" s="169" t="s">
        <v>265</v>
      </c>
    </row>
    <row r="228" spans="1:15" x14ac:dyDescent="0.3">
      <c r="A228" s="111" t="s">
        <v>1134</v>
      </c>
      <c r="B228" s="112" t="s">
        <v>55</v>
      </c>
      <c r="C228" s="113" t="s">
        <v>249</v>
      </c>
      <c r="D228" s="113" t="s">
        <v>39</v>
      </c>
      <c r="E228" s="113" t="s">
        <v>40</v>
      </c>
      <c r="F228" s="113" t="s">
        <v>41</v>
      </c>
      <c r="G228" s="113" t="s">
        <v>56</v>
      </c>
      <c r="H228" s="114">
        <v>45479</v>
      </c>
      <c r="I228" s="134">
        <v>116</v>
      </c>
      <c r="J228" s="139">
        <v>650</v>
      </c>
      <c r="K228" s="147">
        <v>0.03</v>
      </c>
      <c r="L228" s="165" t="s">
        <v>36</v>
      </c>
      <c r="M228" s="155">
        <v>75400</v>
      </c>
      <c r="N228" s="155">
        <v>73138</v>
      </c>
      <c r="O228" s="168" t="s">
        <v>265</v>
      </c>
    </row>
    <row r="229" spans="1:15" x14ac:dyDescent="0.3">
      <c r="A229" s="115" t="s">
        <v>1135</v>
      </c>
      <c r="B229" s="116" t="s">
        <v>38</v>
      </c>
      <c r="C229" s="117" t="s">
        <v>247</v>
      </c>
      <c r="D229" s="117" t="s">
        <v>39</v>
      </c>
      <c r="E229" s="117" t="s">
        <v>40</v>
      </c>
      <c r="F229" s="117" t="s">
        <v>41</v>
      </c>
      <c r="G229" s="117" t="s">
        <v>56</v>
      </c>
      <c r="H229" s="118">
        <v>45490</v>
      </c>
      <c r="I229" s="135">
        <v>74</v>
      </c>
      <c r="J229" s="140">
        <v>1200</v>
      </c>
      <c r="K229" s="148">
        <v>7.0000000000000007E-2</v>
      </c>
      <c r="L229" s="166" t="s">
        <v>36</v>
      </c>
      <c r="M229" s="156">
        <v>88800</v>
      </c>
      <c r="N229" s="156">
        <v>82584</v>
      </c>
      <c r="O229" s="169" t="s">
        <v>265</v>
      </c>
    </row>
    <row r="230" spans="1:15" x14ac:dyDescent="0.3">
      <c r="A230" s="111" t="s">
        <v>1136</v>
      </c>
      <c r="B230" s="112" t="s">
        <v>32</v>
      </c>
      <c r="C230" s="113" t="s">
        <v>246</v>
      </c>
      <c r="D230" s="113" t="s">
        <v>26</v>
      </c>
      <c r="E230" s="113" t="s">
        <v>51</v>
      </c>
      <c r="F230" s="113" t="s">
        <v>52</v>
      </c>
      <c r="G230" s="113" t="s">
        <v>42</v>
      </c>
      <c r="H230" s="114">
        <v>45500</v>
      </c>
      <c r="I230" s="134">
        <v>90</v>
      </c>
      <c r="J230" s="139">
        <v>420</v>
      </c>
      <c r="K230" s="147">
        <v>0.14000000000000001</v>
      </c>
      <c r="L230" s="165" t="s">
        <v>36</v>
      </c>
      <c r="M230" s="155">
        <v>37800</v>
      </c>
      <c r="N230" s="155">
        <v>32508</v>
      </c>
      <c r="O230" s="168" t="s">
        <v>265</v>
      </c>
    </row>
    <row r="231" spans="1:15" x14ac:dyDescent="0.3">
      <c r="A231" s="115" t="s">
        <v>1137</v>
      </c>
      <c r="B231" s="116" t="s">
        <v>16</v>
      </c>
      <c r="C231" s="117" t="s">
        <v>250</v>
      </c>
      <c r="D231" s="117" t="s">
        <v>39</v>
      </c>
      <c r="E231" s="117" t="s">
        <v>40</v>
      </c>
      <c r="F231" s="117" t="s">
        <v>28</v>
      </c>
      <c r="G231" s="117" t="s">
        <v>53</v>
      </c>
      <c r="H231" s="118">
        <v>45490</v>
      </c>
      <c r="I231" s="135">
        <v>51</v>
      </c>
      <c r="J231" s="140">
        <v>990</v>
      </c>
      <c r="K231" s="148">
        <v>0.03</v>
      </c>
      <c r="L231" s="166" t="s">
        <v>36</v>
      </c>
      <c r="M231" s="156">
        <v>50490</v>
      </c>
      <c r="N231" s="156">
        <v>48975.3</v>
      </c>
      <c r="O231" s="169" t="s">
        <v>265</v>
      </c>
    </row>
    <row r="232" spans="1:15" x14ac:dyDescent="0.3">
      <c r="A232" s="111" t="s">
        <v>1138</v>
      </c>
      <c r="B232" s="112" t="s">
        <v>55</v>
      </c>
      <c r="C232" s="113" t="s">
        <v>249</v>
      </c>
      <c r="D232" s="113" t="s">
        <v>39</v>
      </c>
      <c r="E232" s="113" t="s">
        <v>51</v>
      </c>
      <c r="F232" s="113" t="s">
        <v>46</v>
      </c>
      <c r="G232" s="113" t="s">
        <v>29</v>
      </c>
      <c r="H232" s="114">
        <v>45495</v>
      </c>
      <c r="I232" s="134">
        <v>152</v>
      </c>
      <c r="J232" s="139">
        <v>650</v>
      </c>
      <c r="K232" s="147">
        <v>0.05</v>
      </c>
      <c r="L232" s="165" t="s">
        <v>36</v>
      </c>
      <c r="M232" s="155">
        <v>98800</v>
      </c>
      <c r="N232" s="155">
        <v>93860</v>
      </c>
      <c r="O232" s="168" t="s">
        <v>265</v>
      </c>
    </row>
    <row r="233" spans="1:15" x14ac:dyDescent="0.3">
      <c r="A233" s="115" t="s">
        <v>1139</v>
      </c>
      <c r="B233" s="116" t="s">
        <v>32</v>
      </c>
      <c r="C233" s="117" t="s">
        <v>246</v>
      </c>
      <c r="D233" s="117" t="s">
        <v>26</v>
      </c>
      <c r="E233" s="117" t="s">
        <v>27</v>
      </c>
      <c r="F233" s="117" t="s">
        <v>46</v>
      </c>
      <c r="G233" s="117" t="s">
        <v>42</v>
      </c>
      <c r="H233" s="118">
        <v>45478</v>
      </c>
      <c r="I233" s="135">
        <v>177</v>
      </c>
      <c r="J233" s="140">
        <v>420</v>
      </c>
      <c r="K233" s="148">
        <v>0.1</v>
      </c>
      <c r="L233" s="166" t="s">
        <v>30</v>
      </c>
      <c r="M233" s="156">
        <v>74340</v>
      </c>
      <c r="N233" s="156">
        <v>66906</v>
      </c>
      <c r="O233" s="169" t="s">
        <v>265</v>
      </c>
    </row>
    <row r="234" spans="1:15" x14ac:dyDescent="0.3">
      <c r="A234" s="111" t="s">
        <v>1140</v>
      </c>
      <c r="B234" s="112" t="s">
        <v>63</v>
      </c>
      <c r="C234" s="113" t="s">
        <v>253</v>
      </c>
      <c r="D234" s="113" t="s">
        <v>50</v>
      </c>
      <c r="E234" s="113" t="s">
        <v>33</v>
      </c>
      <c r="F234" s="113" t="s">
        <v>46</v>
      </c>
      <c r="G234" s="113" t="s">
        <v>56</v>
      </c>
      <c r="H234" s="114">
        <v>45496</v>
      </c>
      <c r="I234" s="134">
        <v>114</v>
      </c>
      <c r="J234" s="139">
        <v>750</v>
      </c>
      <c r="K234" s="147">
        <v>0</v>
      </c>
      <c r="L234" s="165" t="s">
        <v>36</v>
      </c>
      <c r="M234" s="155">
        <v>85500</v>
      </c>
      <c r="N234" s="155">
        <v>85500</v>
      </c>
      <c r="O234" s="168" t="s">
        <v>265</v>
      </c>
    </row>
    <row r="235" spans="1:15" x14ac:dyDescent="0.3">
      <c r="A235" s="115" t="s">
        <v>1141</v>
      </c>
      <c r="B235" s="116" t="s">
        <v>58</v>
      </c>
      <c r="C235" s="117" t="s">
        <v>255</v>
      </c>
      <c r="D235" s="117" t="s">
        <v>59</v>
      </c>
      <c r="E235" s="117" t="s">
        <v>51</v>
      </c>
      <c r="F235" s="117" t="s">
        <v>41</v>
      </c>
      <c r="G235" s="117" t="s">
        <v>47</v>
      </c>
      <c r="H235" s="118">
        <v>45504</v>
      </c>
      <c r="I235" s="135">
        <v>63</v>
      </c>
      <c r="J235" s="140">
        <v>2800</v>
      </c>
      <c r="K235" s="148">
        <v>0.15</v>
      </c>
      <c r="L235" s="166" t="s">
        <v>30</v>
      </c>
      <c r="M235" s="156">
        <v>176400</v>
      </c>
      <c r="N235" s="156">
        <v>149940</v>
      </c>
      <c r="O235" s="169" t="s">
        <v>267</v>
      </c>
    </row>
    <row r="236" spans="1:15" x14ac:dyDescent="0.3">
      <c r="A236" s="111" t="s">
        <v>1142</v>
      </c>
      <c r="B236" s="112" t="s">
        <v>25</v>
      </c>
      <c r="C236" s="113" t="s">
        <v>257</v>
      </c>
      <c r="D236" s="113" t="s">
        <v>26</v>
      </c>
      <c r="E236" s="113" t="s">
        <v>45</v>
      </c>
      <c r="F236" s="113" t="s">
        <v>52</v>
      </c>
      <c r="G236" s="113" t="s">
        <v>35</v>
      </c>
      <c r="H236" s="114">
        <v>45478</v>
      </c>
      <c r="I236" s="134">
        <v>167</v>
      </c>
      <c r="J236" s="139">
        <v>350</v>
      </c>
      <c r="K236" s="147">
        <v>0.1</v>
      </c>
      <c r="L236" s="165" t="s">
        <v>36</v>
      </c>
      <c r="M236" s="155">
        <v>58450</v>
      </c>
      <c r="N236" s="155">
        <v>52605</v>
      </c>
      <c r="O236" s="168" t="s">
        <v>265</v>
      </c>
    </row>
    <row r="237" spans="1:15" x14ac:dyDescent="0.3">
      <c r="A237" s="115" t="s">
        <v>1143</v>
      </c>
      <c r="B237" s="116" t="s">
        <v>16</v>
      </c>
      <c r="C237" s="117" t="s">
        <v>250</v>
      </c>
      <c r="D237" s="117" t="s">
        <v>39</v>
      </c>
      <c r="E237" s="117" t="s">
        <v>45</v>
      </c>
      <c r="F237" s="117" t="s">
        <v>28</v>
      </c>
      <c r="G237" s="117" t="s">
        <v>35</v>
      </c>
      <c r="H237" s="118">
        <v>45484</v>
      </c>
      <c r="I237" s="135">
        <v>41</v>
      </c>
      <c r="J237" s="140">
        <v>990</v>
      </c>
      <c r="K237" s="148">
        <v>0.13</v>
      </c>
      <c r="L237" s="166" t="s">
        <v>36</v>
      </c>
      <c r="M237" s="156">
        <v>40590</v>
      </c>
      <c r="N237" s="156">
        <v>35313.300000000003</v>
      </c>
      <c r="O237" s="169" t="s">
        <v>265</v>
      </c>
    </row>
    <row r="238" spans="1:15" x14ac:dyDescent="0.3">
      <c r="A238" s="111" t="s">
        <v>1144</v>
      </c>
      <c r="B238" s="112" t="s">
        <v>49</v>
      </c>
      <c r="C238" s="113" t="s">
        <v>251</v>
      </c>
      <c r="D238" s="113" t="s">
        <v>50</v>
      </c>
      <c r="E238" s="113" t="s">
        <v>45</v>
      </c>
      <c r="F238" s="113" t="s">
        <v>52</v>
      </c>
      <c r="G238" s="113" t="s">
        <v>53</v>
      </c>
      <c r="H238" s="114">
        <v>45474</v>
      </c>
      <c r="I238" s="134">
        <v>146</v>
      </c>
      <c r="J238" s="139">
        <v>895</v>
      </c>
      <c r="K238" s="147">
        <v>0.13</v>
      </c>
      <c r="L238" s="165" t="s">
        <v>36</v>
      </c>
      <c r="M238" s="155">
        <v>130670</v>
      </c>
      <c r="N238" s="155">
        <v>113682.9</v>
      </c>
      <c r="O238" s="168" t="s">
        <v>267</v>
      </c>
    </row>
    <row r="239" spans="1:15" x14ac:dyDescent="0.3">
      <c r="A239" s="115" t="s">
        <v>1145</v>
      </c>
      <c r="B239" s="116" t="s">
        <v>38</v>
      </c>
      <c r="C239" s="117" t="s">
        <v>247</v>
      </c>
      <c r="D239" s="117" t="s">
        <v>39</v>
      </c>
      <c r="E239" s="117" t="s">
        <v>40</v>
      </c>
      <c r="F239" s="117" t="s">
        <v>52</v>
      </c>
      <c r="G239" s="117" t="s">
        <v>29</v>
      </c>
      <c r="H239" s="118">
        <v>45475</v>
      </c>
      <c r="I239" s="135">
        <v>67</v>
      </c>
      <c r="J239" s="140">
        <v>1200</v>
      </c>
      <c r="K239" s="148">
        <v>0.11</v>
      </c>
      <c r="L239" s="166" t="s">
        <v>36</v>
      </c>
      <c r="M239" s="156">
        <v>80400</v>
      </c>
      <c r="N239" s="156">
        <v>71556</v>
      </c>
      <c r="O239" s="169" t="s">
        <v>265</v>
      </c>
    </row>
    <row r="240" spans="1:15" x14ac:dyDescent="0.3">
      <c r="A240" s="111" t="s">
        <v>1146</v>
      </c>
      <c r="B240" s="112" t="s">
        <v>61</v>
      </c>
      <c r="C240" s="113" t="s">
        <v>244</v>
      </c>
      <c r="D240" s="113" t="s">
        <v>26</v>
      </c>
      <c r="E240" s="113" t="s">
        <v>51</v>
      </c>
      <c r="F240" s="113" t="s">
        <v>52</v>
      </c>
      <c r="G240" s="113" t="s">
        <v>35</v>
      </c>
      <c r="H240" s="114">
        <v>45489</v>
      </c>
      <c r="I240" s="134">
        <v>133</v>
      </c>
      <c r="J240" s="139">
        <v>280</v>
      </c>
      <c r="K240" s="147">
        <v>0.08</v>
      </c>
      <c r="L240" s="165" t="s">
        <v>36</v>
      </c>
      <c r="M240" s="155">
        <v>37240</v>
      </c>
      <c r="N240" s="155">
        <v>34260.800000000003</v>
      </c>
      <c r="O240" s="168" t="s">
        <v>265</v>
      </c>
    </row>
    <row r="241" spans="1:15" x14ac:dyDescent="0.3">
      <c r="A241" s="115" t="s">
        <v>1147</v>
      </c>
      <c r="B241" s="116" t="s">
        <v>32</v>
      </c>
      <c r="C241" s="117" t="s">
        <v>246</v>
      </c>
      <c r="D241" s="117" t="s">
        <v>26</v>
      </c>
      <c r="E241" s="117" t="s">
        <v>45</v>
      </c>
      <c r="F241" s="117" t="s">
        <v>52</v>
      </c>
      <c r="G241" s="117" t="s">
        <v>35</v>
      </c>
      <c r="H241" s="118">
        <v>45488</v>
      </c>
      <c r="I241" s="135">
        <v>199</v>
      </c>
      <c r="J241" s="140">
        <v>420</v>
      </c>
      <c r="K241" s="148">
        <v>0.11</v>
      </c>
      <c r="L241" s="166" t="s">
        <v>36</v>
      </c>
      <c r="M241" s="156">
        <v>83580</v>
      </c>
      <c r="N241" s="156">
        <v>74386.2</v>
      </c>
      <c r="O241" s="169" t="s">
        <v>265</v>
      </c>
    </row>
    <row r="242" spans="1:15" x14ac:dyDescent="0.3">
      <c r="A242" s="111" t="s">
        <v>1148</v>
      </c>
      <c r="B242" s="112" t="s">
        <v>38</v>
      </c>
      <c r="C242" s="113" t="s">
        <v>247</v>
      </c>
      <c r="D242" s="113" t="s">
        <v>39</v>
      </c>
      <c r="E242" s="113" t="s">
        <v>33</v>
      </c>
      <c r="F242" s="113" t="s">
        <v>52</v>
      </c>
      <c r="G242" s="113" t="s">
        <v>53</v>
      </c>
      <c r="H242" s="114">
        <v>45475</v>
      </c>
      <c r="I242" s="134">
        <v>136</v>
      </c>
      <c r="J242" s="139">
        <v>1200</v>
      </c>
      <c r="K242" s="147">
        <v>0</v>
      </c>
      <c r="L242" s="165" t="s">
        <v>36</v>
      </c>
      <c r="M242" s="155">
        <v>163200</v>
      </c>
      <c r="N242" s="155">
        <v>163200</v>
      </c>
      <c r="O242" s="168" t="s">
        <v>267</v>
      </c>
    </row>
    <row r="243" spans="1:15" x14ac:dyDescent="0.3">
      <c r="A243" s="115" t="s">
        <v>1149</v>
      </c>
      <c r="B243" s="116" t="s">
        <v>38</v>
      </c>
      <c r="C243" s="117" t="s">
        <v>247</v>
      </c>
      <c r="D243" s="117" t="s">
        <v>39</v>
      </c>
      <c r="E243" s="117" t="s">
        <v>40</v>
      </c>
      <c r="F243" s="117" t="s">
        <v>52</v>
      </c>
      <c r="G243" s="117" t="s">
        <v>53</v>
      </c>
      <c r="H243" s="118">
        <v>45497</v>
      </c>
      <c r="I243" s="135">
        <v>62</v>
      </c>
      <c r="J243" s="140">
        <v>1200</v>
      </c>
      <c r="K243" s="148">
        <v>0</v>
      </c>
      <c r="L243" s="166" t="s">
        <v>30</v>
      </c>
      <c r="M243" s="156">
        <v>74400</v>
      </c>
      <c r="N243" s="156">
        <v>74400</v>
      </c>
      <c r="O243" s="169" t="s">
        <v>265</v>
      </c>
    </row>
    <row r="244" spans="1:15" x14ac:dyDescent="0.3">
      <c r="A244" s="111" t="s">
        <v>1150</v>
      </c>
      <c r="B244" s="112" t="s">
        <v>55</v>
      </c>
      <c r="C244" s="113" t="s">
        <v>249</v>
      </c>
      <c r="D244" s="113" t="s">
        <v>39</v>
      </c>
      <c r="E244" s="113" t="s">
        <v>27</v>
      </c>
      <c r="F244" s="113" t="s">
        <v>34</v>
      </c>
      <c r="G244" s="113" t="s">
        <v>56</v>
      </c>
      <c r="H244" s="114">
        <v>45489</v>
      </c>
      <c r="I244" s="134">
        <v>171</v>
      </c>
      <c r="J244" s="139">
        <v>650</v>
      </c>
      <c r="K244" s="147">
        <v>0.13</v>
      </c>
      <c r="L244" s="165" t="s">
        <v>36</v>
      </c>
      <c r="M244" s="155">
        <v>111150</v>
      </c>
      <c r="N244" s="155">
        <v>96700.5</v>
      </c>
      <c r="O244" s="168" t="s">
        <v>265</v>
      </c>
    </row>
    <row r="245" spans="1:15" x14ac:dyDescent="0.3">
      <c r="A245" s="115" t="s">
        <v>1151</v>
      </c>
      <c r="B245" s="116" t="s">
        <v>55</v>
      </c>
      <c r="C245" s="117" t="s">
        <v>249</v>
      </c>
      <c r="D245" s="117" t="s">
        <v>39</v>
      </c>
      <c r="E245" s="117" t="s">
        <v>40</v>
      </c>
      <c r="F245" s="117" t="s">
        <v>46</v>
      </c>
      <c r="G245" s="117" t="s">
        <v>42</v>
      </c>
      <c r="H245" s="118">
        <v>45480</v>
      </c>
      <c r="I245" s="135">
        <v>182</v>
      </c>
      <c r="J245" s="140">
        <v>650</v>
      </c>
      <c r="K245" s="148">
        <v>0.08</v>
      </c>
      <c r="L245" s="166" t="s">
        <v>30</v>
      </c>
      <c r="M245" s="156">
        <v>118300</v>
      </c>
      <c r="N245" s="156">
        <v>108836</v>
      </c>
      <c r="O245" s="169" t="s">
        <v>267</v>
      </c>
    </row>
    <row r="246" spans="1:15" x14ac:dyDescent="0.3">
      <c r="A246" s="111" t="s">
        <v>1152</v>
      </c>
      <c r="B246" s="112" t="s">
        <v>38</v>
      </c>
      <c r="C246" s="113" t="s">
        <v>247</v>
      </c>
      <c r="D246" s="113" t="s">
        <v>39</v>
      </c>
      <c r="E246" s="113" t="s">
        <v>33</v>
      </c>
      <c r="F246" s="113" t="s">
        <v>34</v>
      </c>
      <c r="G246" s="113" t="s">
        <v>53</v>
      </c>
      <c r="H246" s="114">
        <v>45496</v>
      </c>
      <c r="I246" s="134">
        <v>63</v>
      </c>
      <c r="J246" s="139">
        <v>1200</v>
      </c>
      <c r="K246" s="147">
        <v>0.14000000000000001</v>
      </c>
      <c r="L246" s="165" t="s">
        <v>36</v>
      </c>
      <c r="M246" s="155">
        <v>75600</v>
      </c>
      <c r="N246" s="155">
        <v>65016</v>
      </c>
      <c r="O246" s="168" t="s">
        <v>265</v>
      </c>
    </row>
    <row r="247" spans="1:15" x14ac:dyDescent="0.3">
      <c r="A247" s="115" t="s">
        <v>1153</v>
      </c>
      <c r="B247" s="116" t="s">
        <v>55</v>
      </c>
      <c r="C247" s="117" t="s">
        <v>249</v>
      </c>
      <c r="D247" s="117" t="s">
        <v>39</v>
      </c>
      <c r="E247" s="117" t="s">
        <v>33</v>
      </c>
      <c r="F247" s="117" t="s">
        <v>52</v>
      </c>
      <c r="G247" s="117" t="s">
        <v>47</v>
      </c>
      <c r="H247" s="118">
        <v>45484</v>
      </c>
      <c r="I247" s="135">
        <v>157</v>
      </c>
      <c r="J247" s="140">
        <v>650</v>
      </c>
      <c r="K247" s="148">
        <v>7.0000000000000007E-2</v>
      </c>
      <c r="L247" s="166" t="s">
        <v>30</v>
      </c>
      <c r="M247" s="156">
        <v>102050</v>
      </c>
      <c r="N247" s="156">
        <v>94906.5</v>
      </c>
      <c r="O247" s="169" t="s">
        <v>265</v>
      </c>
    </row>
    <row r="248" spans="1:15" x14ac:dyDescent="0.3">
      <c r="A248" s="111" t="s">
        <v>1154</v>
      </c>
      <c r="B248" s="112" t="s">
        <v>44</v>
      </c>
      <c r="C248" s="113" t="s">
        <v>254</v>
      </c>
      <c r="D248" s="113" t="s">
        <v>39</v>
      </c>
      <c r="E248" s="113" t="s">
        <v>40</v>
      </c>
      <c r="F248" s="113" t="s">
        <v>52</v>
      </c>
      <c r="G248" s="113" t="s">
        <v>42</v>
      </c>
      <c r="H248" s="114">
        <v>45481</v>
      </c>
      <c r="I248" s="134">
        <v>158</v>
      </c>
      <c r="J248" s="139">
        <v>200</v>
      </c>
      <c r="K248" s="147">
        <v>0.12</v>
      </c>
      <c r="L248" s="165" t="s">
        <v>30</v>
      </c>
      <c r="M248" s="155">
        <v>31600</v>
      </c>
      <c r="N248" s="155">
        <v>27808</v>
      </c>
      <c r="O248" s="168" t="s">
        <v>265</v>
      </c>
    </row>
    <row r="249" spans="1:15" x14ac:dyDescent="0.3">
      <c r="A249" s="115" t="s">
        <v>1155</v>
      </c>
      <c r="B249" s="116" t="s">
        <v>38</v>
      </c>
      <c r="C249" s="117" t="s">
        <v>247</v>
      </c>
      <c r="D249" s="117" t="s">
        <v>39</v>
      </c>
      <c r="E249" s="117" t="s">
        <v>51</v>
      </c>
      <c r="F249" s="117" t="s">
        <v>52</v>
      </c>
      <c r="G249" s="117" t="s">
        <v>35</v>
      </c>
      <c r="H249" s="118">
        <v>45475</v>
      </c>
      <c r="I249" s="135">
        <v>67</v>
      </c>
      <c r="J249" s="140">
        <v>1200</v>
      </c>
      <c r="K249" s="148">
        <v>0</v>
      </c>
      <c r="L249" s="166" t="s">
        <v>36</v>
      </c>
      <c r="M249" s="156">
        <v>80400</v>
      </c>
      <c r="N249" s="156">
        <v>80400</v>
      </c>
      <c r="O249" s="169" t="s">
        <v>265</v>
      </c>
    </row>
    <row r="250" spans="1:15" x14ac:dyDescent="0.3">
      <c r="A250" s="111" t="s">
        <v>1156</v>
      </c>
      <c r="B250" s="112" t="s">
        <v>63</v>
      </c>
      <c r="C250" s="113" t="s">
        <v>253</v>
      </c>
      <c r="D250" s="113" t="s">
        <v>50</v>
      </c>
      <c r="E250" s="113" t="s">
        <v>40</v>
      </c>
      <c r="F250" s="113" t="s">
        <v>52</v>
      </c>
      <c r="G250" s="113" t="s">
        <v>42</v>
      </c>
      <c r="H250" s="114">
        <v>45481</v>
      </c>
      <c r="I250" s="134">
        <v>34</v>
      </c>
      <c r="J250" s="139">
        <v>750</v>
      </c>
      <c r="K250" s="147">
        <v>0.11</v>
      </c>
      <c r="L250" s="165" t="s">
        <v>30</v>
      </c>
      <c r="M250" s="155">
        <v>25500</v>
      </c>
      <c r="N250" s="155">
        <v>22695</v>
      </c>
      <c r="O250" s="168" t="s">
        <v>265</v>
      </c>
    </row>
    <row r="251" spans="1:15" x14ac:dyDescent="0.3">
      <c r="A251" s="115" t="s">
        <v>1157</v>
      </c>
      <c r="B251" s="116" t="s">
        <v>16</v>
      </c>
      <c r="C251" s="117" t="s">
        <v>250</v>
      </c>
      <c r="D251" s="117" t="s">
        <v>39</v>
      </c>
      <c r="E251" s="117" t="s">
        <v>51</v>
      </c>
      <c r="F251" s="117" t="s">
        <v>52</v>
      </c>
      <c r="G251" s="117" t="s">
        <v>47</v>
      </c>
      <c r="H251" s="118">
        <v>45492</v>
      </c>
      <c r="I251" s="135">
        <v>49</v>
      </c>
      <c r="J251" s="140">
        <v>990</v>
      </c>
      <c r="K251" s="148">
        <v>0.08</v>
      </c>
      <c r="L251" s="166" t="s">
        <v>30</v>
      </c>
      <c r="M251" s="156">
        <v>48510</v>
      </c>
      <c r="N251" s="156">
        <v>44629.2</v>
      </c>
      <c r="O251" s="169" t="s">
        <v>265</v>
      </c>
    </row>
    <row r="252" spans="1:15" x14ac:dyDescent="0.3">
      <c r="A252" s="111" t="s">
        <v>1158</v>
      </c>
      <c r="B252" s="112" t="s">
        <v>38</v>
      </c>
      <c r="C252" s="113" t="s">
        <v>247</v>
      </c>
      <c r="D252" s="113" t="s">
        <v>39</v>
      </c>
      <c r="E252" s="113" t="s">
        <v>40</v>
      </c>
      <c r="F252" s="113" t="s">
        <v>28</v>
      </c>
      <c r="G252" s="113" t="s">
        <v>53</v>
      </c>
      <c r="H252" s="114">
        <v>45504</v>
      </c>
      <c r="I252" s="134">
        <v>21</v>
      </c>
      <c r="J252" s="139">
        <v>1200</v>
      </c>
      <c r="K252" s="147">
        <v>0.13</v>
      </c>
      <c r="L252" s="165" t="s">
        <v>36</v>
      </c>
      <c r="M252" s="155">
        <v>25200</v>
      </c>
      <c r="N252" s="155">
        <v>21924</v>
      </c>
      <c r="O252" s="168" t="s">
        <v>265</v>
      </c>
    </row>
    <row r="253" spans="1:15" x14ac:dyDescent="0.3">
      <c r="A253" s="115" t="s">
        <v>1159</v>
      </c>
      <c r="B253" s="116" t="s">
        <v>32</v>
      </c>
      <c r="C253" s="117" t="s">
        <v>246</v>
      </c>
      <c r="D253" s="117" t="s">
        <v>26</v>
      </c>
      <c r="E253" s="117" t="s">
        <v>33</v>
      </c>
      <c r="F253" s="117" t="s">
        <v>34</v>
      </c>
      <c r="G253" s="117" t="s">
        <v>53</v>
      </c>
      <c r="H253" s="118">
        <v>45485</v>
      </c>
      <c r="I253" s="135">
        <v>103</v>
      </c>
      <c r="J253" s="140">
        <v>420</v>
      </c>
      <c r="K253" s="148">
        <v>0</v>
      </c>
      <c r="L253" s="166" t="s">
        <v>36</v>
      </c>
      <c r="M253" s="156">
        <v>43260</v>
      </c>
      <c r="N253" s="156">
        <v>43260</v>
      </c>
      <c r="O253" s="169" t="s">
        <v>265</v>
      </c>
    </row>
    <row r="254" spans="1:15" x14ac:dyDescent="0.3">
      <c r="A254" s="111" t="s">
        <v>1160</v>
      </c>
      <c r="B254" s="112" t="s">
        <v>61</v>
      </c>
      <c r="C254" s="113" t="s">
        <v>244</v>
      </c>
      <c r="D254" s="113" t="s">
        <v>26</v>
      </c>
      <c r="E254" s="113" t="s">
        <v>40</v>
      </c>
      <c r="F254" s="113" t="s">
        <v>41</v>
      </c>
      <c r="G254" s="113" t="s">
        <v>42</v>
      </c>
      <c r="H254" s="114">
        <v>45498</v>
      </c>
      <c r="I254" s="134">
        <v>129</v>
      </c>
      <c r="J254" s="139">
        <v>280</v>
      </c>
      <c r="K254" s="147">
        <v>0.12</v>
      </c>
      <c r="L254" s="165" t="s">
        <v>36</v>
      </c>
      <c r="M254" s="155">
        <v>36120</v>
      </c>
      <c r="N254" s="155">
        <v>31785.599999999999</v>
      </c>
      <c r="O254" s="168" t="s">
        <v>265</v>
      </c>
    </row>
    <row r="255" spans="1:15" x14ac:dyDescent="0.3">
      <c r="A255" s="115" t="s">
        <v>1161</v>
      </c>
      <c r="B255" s="116" t="s">
        <v>38</v>
      </c>
      <c r="C255" s="117" t="s">
        <v>247</v>
      </c>
      <c r="D255" s="117" t="s">
        <v>39</v>
      </c>
      <c r="E255" s="117" t="s">
        <v>40</v>
      </c>
      <c r="F255" s="117" t="s">
        <v>41</v>
      </c>
      <c r="G255" s="117" t="s">
        <v>56</v>
      </c>
      <c r="H255" s="118">
        <v>45484</v>
      </c>
      <c r="I255" s="135">
        <v>98</v>
      </c>
      <c r="J255" s="140">
        <v>1200</v>
      </c>
      <c r="K255" s="148">
        <v>0.15</v>
      </c>
      <c r="L255" s="166" t="s">
        <v>36</v>
      </c>
      <c r="M255" s="156">
        <v>117600</v>
      </c>
      <c r="N255" s="156">
        <v>99960</v>
      </c>
      <c r="O255" s="169" t="s">
        <v>265</v>
      </c>
    </row>
    <row r="256" spans="1:15" x14ac:dyDescent="0.3">
      <c r="A256" s="111" t="s">
        <v>1162</v>
      </c>
      <c r="B256" s="112" t="s">
        <v>38</v>
      </c>
      <c r="C256" s="113" t="s">
        <v>247</v>
      </c>
      <c r="D256" s="113" t="s">
        <v>39</v>
      </c>
      <c r="E256" s="113" t="s">
        <v>40</v>
      </c>
      <c r="F256" s="113" t="s">
        <v>28</v>
      </c>
      <c r="G256" s="113" t="s">
        <v>53</v>
      </c>
      <c r="H256" s="114">
        <v>45500</v>
      </c>
      <c r="I256" s="134">
        <v>32</v>
      </c>
      <c r="J256" s="139">
        <v>1200</v>
      </c>
      <c r="K256" s="147">
        <v>0.15</v>
      </c>
      <c r="L256" s="165" t="s">
        <v>36</v>
      </c>
      <c r="M256" s="155">
        <v>38400</v>
      </c>
      <c r="N256" s="155">
        <v>32640</v>
      </c>
      <c r="O256" s="168" t="s">
        <v>265</v>
      </c>
    </row>
    <row r="257" spans="1:15" x14ac:dyDescent="0.3">
      <c r="A257" s="115" t="s">
        <v>1163</v>
      </c>
      <c r="B257" s="116" t="s">
        <v>16</v>
      </c>
      <c r="C257" s="117" t="s">
        <v>250</v>
      </c>
      <c r="D257" s="117" t="s">
        <v>39</v>
      </c>
      <c r="E257" s="117" t="s">
        <v>40</v>
      </c>
      <c r="F257" s="117" t="s">
        <v>34</v>
      </c>
      <c r="G257" s="117" t="s">
        <v>35</v>
      </c>
      <c r="H257" s="118">
        <v>45484</v>
      </c>
      <c r="I257" s="135">
        <v>122</v>
      </c>
      <c r="J257" s="140">
        <v>990</v>
      </c>
      <c r="K257" s="148">
        <v>0.08</v>
      </c>
      <c r="L257" s="166" t="s">
        <v>36</v>
      </c>
      <c r="M257" s="156">
        <v>120780</v>
      </c>
      <c r="N257" s="156">
        <v>111117.6</v>
      </c>
      <c r="O257" s="169" t="s">
        <v>267</v>
      </c>
    </row>
    <row r="258" spans="1:15" x14ac:dyDescent="0.3">
      <c r="A258" s="111" t="s">
        <v>1164</v>
      </c>
      <c r="B258" s="112" t="s">
        <v>16</v>
      </c>
      <c r="C258" s="113" t="s">
        <v>250</v>
      </c>
      <c r="D258" s="113" t="s">
        <v>39</v>
      </c>
      <c r="E258" s="113" t="s">
        <v>27</v>
      </c>
      <c r="F258" s="113" t="s">
        <v>52</v>
      </c>
      <c r="G258" s="113" t="s">
        <v>56</v>
      </c>
      <c r="H258" s="114">
        <v>45486</v>
      </c>
      <c r="I258" s="134">
        <v>75</v>
      </c>
      <c r="J258" s="139">
        <v>990</v>
      </c>
      <c r="K258" s="147">
        <v>0.08</v>
      </c>
      <c r="L258" s="165" t="s">
        <v>30</v>
      </c>
      <c r="M258" s="155">
        <v>74250</v>
      </c>
      <c r="N258" s="155">
        <v>68310</v>
      </c>
      <c r="O258" s="168" t="s">
        <v>265</v>
      </c>
    </row>
    <row r="259" spans="1:15" x14ac:dyDescent="0.3">
      <c r="A259" s="115" t="s">
        <v>1165</v>
      </c>
      <c r="B259" s="116" t="s">
        <v>55</v>
      </c>
      <c r="C259" s="117" t="s">
        <v>249</v>
      </c>
      <c r="D259" s="117" t="s">
        <v>39</v>
      </c>
      <c r="E259" s="117" t="s">
        <v>51</v>
      </c>
      <c r="F259" s="117" t="s">
        <v>34</v>
      </c>
      <c r="G259" s="117" t="s">
        <v>47</v>
      </c>
      <c r="H259" s="118">
        <v>45480</v>
      </c>
      <c r="I259" s="135">
        <v>44</v>
      </c>
      <c r="J259" s="140">
        <v>650</v>
      </c>
      <c r="K259" s="148">
        <v>0</v>
      </c>
      <c r="L259" s="166" t="s">
        <v>30</v>
      </c>
      <c r="M259" s="156">
        <v>28600</v>
      </c>
      <c r="N259" s="156">
        <v>28600</v>
      </c>
      <c r="O259" s="169" t="s">
        <v>265</v>
      </c>
    </row>
    <row r="260" spans="1:15" x14ac:dyDescent="0.3">
      <c r="A260" s="111" t="s">
        <v>1166</v>
      </c>
      <c r="B260" s="112" t="s">
        <v>32</v>
      </c>
      <c r="C260" s="113" t="s">
        <v>246</v>
      </c>
      <c r="D260" s="113" t="s">
        <v>26</v>
      </c>
      <c r="E260" s="113" t="s">
        <v>27</v>
      </c>
      <c r="F260" s="113" t="s">
        <v>34</v>
      </c>
      <c r="G260" s="113" t="s">
        <v>53</v>
      </c>
      <c r="H260" s="114">
        <v>45503</v>
      </c>
      <c r="I260" s="134">
        <v>84</v>
      </c>
      <c r="J260" s="139">
        <v>420</v>
      </c>
      <c r="K260" s="147">
        <v>0.05</v>
      </c>
      <c r="L260" s="165" t="s">
        <v>36</v>
      </c>
      <c r="M260" s="155">
        <v>35280</v>
      </c>
      <c r="N260" s="155">
        <v>33516</v>
      </c>
      <c r="O260" s="168" t="s">
        <v>265</v>
      </c>
    </row>
    <row r="261" spans="1:15" x14ac:dyDescent="0.3">
      <c r="A261" s="115" t="s">
        <v>1167</v>
      </c>
      <c r="B261" s="116" t="s">
        <v>61</v>
      </c>
      <c r="C261" s="117" t="s">
        <v>244</v>
      </c>
      <c r="D261" s="117" t="s">
        <v>26</v>
      </c>
      <c r="E261" s="117" t="s">
        <v>51</v>
      </c>
      <c r="F261" s="117" t="s">
        <v>52</v>
      </c>
      <c r="G261" s="117" t="s">
        <v>42</v>
      </c>
      <c r="H261" s="118">
        <v>45485</v>
      </c>
      <c r="I261" s="135">
        <v>216</v>
      </c>
      <c r="J261" s="140">
        <v>280</v>
      </c>
      <c r="K261" s="148">
        <v>0.14000000000000001</v>
      </c>
      <c r="L261" s="166" t="s">
        <v>36</v>
      </c>
      <c r="M261" s="156">
        <v>60480</v>
      </c>
      <c r="N261" s="156">
        <v>52012.800000000003</v>
      </c>
      <c r="O261" s="169" t="s">
        <v>265</v>
      </c>
    </row>
    <row r="262" spans="1:15" x14ac:dyDescent="0.3">
      <c r="A262" s="111" t="s">
        <v>1168</v>
      </c>
      <c r="B262" s="112" t="s">
        <v>63</v>
      </c>
      <c r="C262" s="113" t="s">
        <v>253</v>
      </c>
      <c r="D262" s="113" t="s">
        <v>50</v>
      </c>
      <c r="E262" s="113" t="s">
        <v>40</v>
      </c>
      <c r="F262" s="113" t="s">
        <v>41</v>
      </c>
      <c r="G262" s="113" t="s">
        <v>56</v>
      </c>
      <c r="H262" s="114">
        <v>45483</v>
      </c>
      <c r="I262" s="134">
        <v>147</v>
      </c>
      <c r="J262" s="139">
        <v>750</v>
      </c>
      <c r="K262" s="147">
        <v>0.11</v>
      </c>
      <c r="L262" s="165" t="s">
        <v>36</v>
      </c>
      <c r="M262" s="155">
        <v>110250</v>
      </c>
      <c r="N262" s="155">
        <v>98122.5</v>
      </c>
      <c r="O262" s="168" t="s">
        <v>265</v>
      </c>
    </row>
    <row r="263" spans="1:15" x14ac:dyDescent="0.3">
      <c r="A263" s="115" t="s">
        <v>1169</v>
      </c>
      <c r="B263" s="116" t="s">
        <v>38</v>
      </c>
      <c r="C263" s="117" t="s">
        <v>247</v>
      </c>
      <c r="D263" s="117" t="s">
        <v>39</v>
      </c>
      <c r="E263" s="117" t="s">
        <v>27</v>
      </c>
      <c r="F263" s="117" t="s">
        <v>52</v>
      </c>
      <c r="G263" s="117" t="s">
        <v>47</v>
      </c>
      <c r="H263" s="118">
        <v>45489</v>
      </c>
      <c r="I263" s="135">
        <v>146</v>
      </c>
      <c r="J263" s="140">
        <v>1200</v>
      </c>
      <c r="K263" s="148">
        <v>0.14000000000000001</v>
      </c>
      <c r="L263" s="166" t="s">
        <v>30</v>
      </c>
      <c r="M263" s="156">
        <v>175200</v>
      </c>
      <c r="N263" s="156">
        <v>150672</v>
      </c>
      <c r="O263" s="169" t="s">
        <v>267</v>
      </c>
    </row>
    <row r="264" spans="1:15" x14ac:dyDescent="0.3">
      <c r="A264" s="111" t="s">
        <v>1170</v>
      </c>
      <c r="B264" s="112" t="s">
        <v>58</v>
      </c>
      <c r="C264" s="113" t="s">
        <v>255</v>
      </c>
      <c r="D264" s="113" t="s">
        <v>59</v>
      </c>
      <c r="E264" s="113" t="s">
        <v>27</v>
      </c>
      <c r="F264" s="113" t="s">
        <v>34</v>
      </c>
      <c r="G264" s="113" t="s">
        <v>53</v>
      </c>
      <c r="H264" s="114">
        <v>45490</v>
      </c>
      <c r="I264" s="134">
        <v>64</v>
      </c>
      <c r="J264" s="139">
        <v>2800</v>
      </c>
      <c r="K264" s="147">
        <v>0.08</v>
      </c>
      <c r="L264" s="165" t="s">
        <v>36</v>
      </c>
      <c r="M264" s="155">
        <v>179200</v>
      </c>
      <c r="N264" s="155">
        <v>164864</v>
      </c>
      <c r="O264" s="168" t="s">
        <v>267</v>
      </c>
    </row>
    <row r="265" spans="1:15" x14ac:dyDescent="0.3">
      <c r="A265" s="115" t="s">
        <v>1171</v>
      </c>
      <c r="B265" s="116" t="s">
        <v>63</v>
      </c>
      <c r="C265" s="117" t="s">
        <v>253</v>
      </c>
      <c r="D265" s="117" t="s">
        <v>50</v>
      </c>
      <c r="E265" s="117" t="s">
        <v>40</v>
      </c>
      <c r="F265" s="117" t="s">
        <v>28</v>
      </c>
      <c r="G265" s="117" t="s">
        <v>42</v>
      </c>
      <c r="H265" s="118">
        <v>45493</v>
      </c>
      <c r="I265" s="135">
        <v>74</v>
      </c>
      <c r="J265" s="140">
        <v>750</v>
      </c>
      <c r="K265" s="148">
        <v>0</v>
      </c>
      <c r="L265" s="166" t="s">
        <v>30</v>
      </c>
      <c r="M265" s="156">
        <v>55500</v>
      </c>
      <c r="N265" s="156">
        <v>55500</v>
      </c>
      <c r="O265" s="169" t="s">
        <v>265</v>
      </c>
    </row>
    <row r="266" spans="1:15" x14ac:dyDescent="0.3">
      <c r="A266" s="111" t="s">
        <v>1172</v>
      </c>
      <c r="B266" s="112" t="s">
        <v>44</v>
      </c>
      <c r="C266" s="113" t="s">
        <v>254</v>
      </c>
      <c r="D266" s="113" t="s">
        <v>39</v>
      </c>
      <c r="E266" s="113" t="s">
        <v>33</v>
      </c>
      <c r="F266" s="113" t="s">
        <v>41</v>
      </c>
      <c r="G266" s="113" t="s">
        <v>42</v>
      </c>
      <c r="H266" s="114">
        <v>45488</v>
      </c>
      <c r="I266" s="134">
        <v>132</v>
      </c>
      <c r="J266" s="139">
        <v>200</v>
      </c>
      <c r="K266" s="147">
        <v>0.05</v>
      </c>
      <c r="L266" s="165" t="s">
        <v>30</v>
      </c>
      <c r="M266" s="155">
        <v>26400</v>
      </c>
      <c r="N266" s="155">
        <v>25080</v>
      </c>
      <c r="O266" s="168" t="s">
        <v>265</v>
      </c>
    </row>
    <row r="267" spans="1:15" x14ac:dyDescent="0.3">
      <c r="A267" s="115" t="s">
        <v>1173</v>
      </c>
      <c r="B267" s="116" t="s">
        <v>38</v>
      </c>
      <c r="C267" s="117" t="s">
        <v>247</v>
      </c>
      <c r="D267" s="117" t="s">
        <v>39</v>
      </c>
      <c r="E267" s="117" t="s">
        <v>33</v>
      </c>
      <c r="F267" s="117" t="s">
        <v>46</v>
      </c>
      <c r="G267" s="117" t="s">
        <v>35</v>
      </c>
      <c r="H267" s="118">
        <v>45501</v>
      </c>
      <c r="I267" s="135">
        <v>111</v>
      </c>
      <c r="J267" s="140">
        <v>1200</v>
      </c>
      <c r="K267" s="148">
        <v>0</v>
      </c>
      <c r="L267" s="166" t="s">
        <v>36</v>
      </c>
      <c r="M267" s="156">
        <v>133200</v>
      </c>
      <c r="N267" s="156">
        <v>133200</v>
      </c>
      <c r="O267" s="169" t="s">
        <v>267</v>
      </c>
    </row>
    <row r="268" spans="1:15" x14ac:dyDescent="0.3">
      <c r="A268" s="111" t="s">
        <v>1174</v>
      </c>
      <c r="B268" s="112" t="s">
        <v>58</v>
      </c>
      <c r="C268" s="113" t="s">
        <v>255</v>
      </c>
      <c r="D268" s="113" t="s">
        <v>59</v>
      </c>
      <c r="E268" s="113" t="s">
        <v>33</v>
      </c>
      <c r="F268" s="113" t="s">
        <v>28</v>
      </c>
      <c r="G268" s="113" t="s">
        <v>53</v>
      </c>
      <c r="H268" s="114">
        <v>45477</v>
      </c>
      <c r="I268" s="134">
        <v>18</v>
      </c>
      <c r="J268" s="139">
        <v>2800</v>
      </c>
      <c r="K268" s="147">
        <v>7.0000000000000007E-2</v>
      </c>
      <c r="L268" s="165" t="s">
        <v>30</v>
      </c>
      <c r="M268" s="155">
        <v>50400</v>
      </c>
      <c r="N268" s="155">
        <v>46872</v>
      </c>
      <c r="O268" s="168" t="s">
        <v>265</v>
      </c>
    </row>
    <row r="269" spans="1:15" x14ac:dyDescent="0.3">
      <c r="A269" s="115" t="s">
        <v>1175</v>
      </c>
      <c r="B269" s="116" t="s">
        <v>58</v>
      </c>
      <c r="C269" s="117" t="s">
        <v>255</v>
      </c>
      <c r="D269" s="117" t="s">
        <v>59</v>
      </c>
      <c r="E269" s="117" t="s">
        <v>33</v>
      </c>
      <c r="F269" s="117" t="s">
        <v>52</v>
      </c>
      <c r="G269" s="117" t="s">
        <v>47</v>
      </c>
      <c r="H269" s="118">
        <v>45476</v>
      </c>
      <c r="I269" s="135">
        <v>57</v>
      </c>
      <c r="J269" s="140">
        <v>2800</v>
      </c>
      <c r="K269" s="148">
        <v>0</v>
      </c>
      <c r="L269" s="166" t="s">
        <v>30</v>
      </c>
      <c r="M269" s="156">
        <v>159600</v>
      </c>
      <c r="N269" s="156">
        <v>159600</v>
      </c>
      <c r="O269" s="169" t="s">
        <v>267</v>
      </c>
    </row>
    <row r="270" spans="1:15" x14ac:dyDescent="0.3">
      <c r="A270" s="111" t="s">
        <v>1176</v>
      </c>
      <c r="B270" s="112" t="s">
        <v>49</v>
      </c>
      <c r="C270" s="113" t="s">
        <v>251</v>
      </c>
      <c r="D270" s="113" t="s">
        <v>50</v>
      </c>
      <c r="E270" s="113" t="s">
        <v>33</v>
      </c>
      <c r="F270" s="113" t="s">
        <v>46</v>
      </c>
      <c r="G270" s="113" t="s">
        <v>35</v>
      </c>
      <c r="H270" s="114">
        <v>45478</v>
      </c>
      <c r="I270" s="134">
        <v>143</v>
      </c>
      <c r="J270" s="139">
        <v>895</v>
      </c>
      <c r="K270" s="147">
        <v>0.12</v>
      </c>
      <c r="L270" s="165" t="s">
        <v>30</v>
      </c>
      <c r="M270" s="155">
        <v>127985</v>
      </c>
      <c r="N270" s="155">
        <v>112626.8</v>
      </c>
      <c r="O270" s="168" t="s">
        <v>267</v>
      </c>
    </row>
    <row r="271" spans="1:15" x14ac:dyDescent="0.3">
      <c r="A271" s="115" t="s">
        <v>1177</v>
      </c>
      <c r="B271" s="116" t="s">
        <v>16</v>
      </c>
      <c r="C271" s="117" t="s">
        <v>250</v>
      </c>
      <c r="D271" s="117" t="s">
        <v>39</v>
      </c>
      <c r="E271" s="117" t="s">
        <v>27</v>
      </c>
      <c r="F271" s="117" t="s">
        <v>46</v>
      </c>
      <c r="G271" s="117" t="s">
        <v>35</v>
      </c>
      <c r="H271" s="118">
        <v>45500</v>
      </c>
      <c r="I271" s="135">
        <v>60</v>
      </c>
      <c r="J271" s="140">
        <v>990</v>
      </c>
      <c r="K271" s="148">
        <v>0.08</v>
      </c>
      <c r="L271" s="166" t="s">
        <v>36</v>
      </c>
      <c r="M271" s="156">
        <v>59400</v>
      </c>
      <c r="N271" s="156">
        <v>54648</v>
      </c>
      <c r="O271" s="169" t="s">
        <v>265</v>
      </c>
    </row>
    <row r="272" spans="1:15" x14ac:dyDescent="0.3">
      <c r="A272" s="111" t="s">
        <v>1178</v>
      </c>
      <c r="B272" s="112" t="s">
        <v>55</v>
      </c>
      <c r="C272" s="113" t="s">
        <v>249</v>
      </c>
      <c r="D272" s="113" t="s">
        <v>39</v>
      </c>
      <c r="E272" s="113" t="s">
        <v>27</v>
      </c>
      <c r="F272" s="113" t="s">
        <v>34</v>
      </c>
      <c r="G272" s="113" t="s">
        <v>47</v>
      </c>
      <c r="H272" s="114">
        <v>45482</v>
      </c>
      <c r="I272" s="134">
        <v>46</v>
      </c>
      <c r="J272" s="139">
        <v>650</v>
      </c>
      <c r="K272" s="147">
        <v>0.05</v>
      </c>
      <c r="L272" s="165" t="s">
        <v>36</v>
      </c>
      <c r="M272" s="155">
        <v>29900</v>
      </c>
      <c r="N272" s="155">
        <v>28405</v>
      </c>
      <c r="O272" s="168" t="s">
        <v>265</v>
      </c>
    </row>
    <row r="273" spans="1:15" x14ac:dyDescent="0.3">
      <c r="A273" s="115" t="s">
        <v>1179</v>
      </c>
      <c r="B273" s="116" t="s">
        <v>16</v>
      </c>
      <c r="C273" s="117" t="s">
        <v>250</v>
      </c>
      <c r="D273" s="117" t="s">
        <v>39</v>
      </c>
      <c r="E273" s="117" t="s">
        <v>51</v>
      </c>
      <c r="F273" s="117" t="s">
        <v>46</v>
      </c>
      <c r="G273" s="117" t="s">
        <v>56</v>
      </c>
      <c r="H273" s="118">
        <v>45484</v>
      </c>
      <c r="I273" s="135">
        <v>36</v>
      </c>
      <c r="J273" s="140">
        <v>990</v>
      </c>
      <c r="K273" s="148">
        <v>0.1</v>
      </c>
      <c r="L273" s="166" t="s">
        <v>30</v>
      </c>
      <c r="M273" s="156">
        <v>35640</v>
      </c>
      <c r="N273" s="156">
        <v>32076</v>
      </c>
      <c r="O273" s="169" t="s">
        <v>265</v>
      </c>
    </row>
    <row r="274" spans="1:15" x14ac:dyDescent="0.3">
      <c r="A274" s="111" t="s">
        <v>1180</v>
      </c>
      <c r="B274" s="112" t="s">
        <v>61</v>
      </c>
      <c r="C274" s="113" t="s">
        <v>244</v>
      </c>
      <c r="D274" s="113" t="s">
        <v>26</v>
      </c>
      <c r="E274" s="113" t="s">
        <v>45</v>
      </c>
      <c r="F274" s="113" t="s">
        <v>41</v>
      </c>
      <c r="G274" s="113" t="s">
        <v>29</v>
      </c>
      <c r="H274" s="114">
        <v>45498</v>
      </c>
      <c r="I274" s="134">
        <v>206</v>
      </c>
      <c r="J274" s="139">
        <v>280</v>
      </c>
      <c r="K274" s="147">
        <v>0.15</v>
      </c>
      <c r="L274" s="165" t="s">
        <v>36</v>
      </c>
      <c r="M274" s="155">
        <v>57680</v>
      </c>
      <c r="N274" s="155">
        <v>49028</v>
      </c>
      <c r="O274" s="168" t="s">
        <v>265</v>
      </c>
    </row>
    <row r="275" spans="1:15" x14ac:dyDescent="0.3">
      <c r="A275" s="115" t="s">
        <v>1181</v>
      </c>
      <c r="B275" s="116" t="s">
        <v>63</v>
      </c>
      <c r="C275" s="117" t="s">
        <v>253</v>
      </c>
      <c r="D275" s="117" t="s">
        <v>50</v>
      </c>
      <c r="E275" s="117" t="s">
        <v>45</v>
      </c>
      <c r="F275" s="117" t="s">
        <v>41</v>
      </c>
      <c r="G275" s="117" t="s">
        <v>42</v>
      </c>
      <c r="H275" s="118">
        <v>45484</v>
      </c>
      <c r="I275" s="135">
        <v>116</v>
      </c>
      <c r="J275" s="140">
        <v>750</v>
      </c>
      <c r="K275" s="148">
        <v>0.14000000000000001</v>
      </c>
      <c r="L275" s="166" t="s">
        <v>36</v>
      </c>
      <c r="M275" s="156">
        <v>87000</v>
      </c>
      <c r="N275" s="156">
        <v>74820</v>
      </c>
      <c r="O275" s="169" t="s">
        <v>265</v>
      </c>
    </row>
    <row r="276" spans="1:15" x14ac:dyDescent="0.3">
      <c r="A276" s="111" t="s">
        <v>1182</v>
      </c>
      <c r="B276" s="112" t="s">
        <v>25</v>
      </c>
      <c r="C276" s="113" t="s">
        <v>257</v>
      </c>
      <c r="D276" s="113" t="s">
        <v>26</v>
      </c>
      <c r="E276" s="113" t="s">
        <v>45</v>
      </c>
      <c r="F276" s="113" t="s">
        <v>28</v>
      </c>
      <c r="G276" s="113" t="s">
        <v>29</v>
      </c>
      <c r="H276" s="114">
        <v>45478</v>
      </c>
      <c r="I276" s="134">
        <v>182</v>
      </c>
      <c r="J276" s="139">
        <v>350</v>
      </c>
      <c r="K276" s="147">
        <v>0.05</v>
      </c>
      <c r="L276" s="165" t="s">
        <v>36</v>
      </c>
      <c r="M276" s="155">
        <v>63700</v>
      </c>
      <c r="N276" s="155">
        <v>60515</v>
      </c>
      <c r="O276" s="168" t="s">
        <v>265</v>
      </c>
    </row>
    <row r="277" spans="1:15" x14ac:dyDescent="0.3">
      <c r="A277" s="115" t="s">
        <v>1183</v>
      </c>
      <c r="B277" s="116" t="s">
        <v>49</v>
      </c>
      <c r="C277" s="117" t="s">
        <v>251</v>
      </c>
      <c r="D277" s="117" t="s">
        <v>50</v>
      </c>
      <c r="E277" s="117" t="s">
        <v>27</v>
      </c>
      <c r="F277" s="117" t="s">
        <v>28</v>
      </c>
      <c r="G277" s="117" t="s">
        <v>35</v>
      </c>
      <c r="H277" s="118">
        <v>45479</v>
      </c>
      <c r="I277" s="135">
        <v>36</v>
      </c>
      <c r="J277" s="140">
        <v>895</v>
      </c>
      <c r="K277" s="148">
        <v>0.14000000000000001</v>
      </c>
      <c r="L277" s="166" t="s">
        <v>36</v>
      </c>
      <c r="M277" s="156">
        <v>32220</v>
      </c>
      <c r="N277" s="156">
        <v>27709.200000000001</v>
      </c>
      <c r="O277" s="169" t="s">
        <v>265</v>
      </c>
    </row>
    <row r="278" spans="1:15" x14ac:dyDescent="0.3">
      <c r="A278" s="111" t="s">
        <v>1184</v>
      </c>
      <c r="B278" s="112" t="s">
        <v>25</v>
      </c>
      <c r="C278" s="113" t="s">
        <v>257</v>
      </c>
      <c r="D278" s="113" t="s">
        <v>26</v>
      </c>
      <c r="E278" s="113" t="s">
        <v>33</v>
      </c>
      <c r="F278" s="113" t="s">
        <v>46</v>
      </c>
      <c r="G278" s="113" t="s">
        <v>47</v>
      </c>
      <c r="H278" s="114">
        <v>45500</v>
      </c>
      <c r="I278" s="134">
        <v>130</v>
      </c>
      <c r="J278" s="139">
        <v>350</v>
      </c>
      <c r="K278" s="147">
        <v>7.0000000000000007E-2</v>
      </c>
      <c r="L278" s="165" t="s">
        <v>30</v>
      </c>
      <c r="M278" s="155">
        <v>45500</v>
      </c>
      <c r="N278" s="155">
        <v>42315</v>
      </c>
      <c r="O278" s="168" t="s">
        <v>265</v>
      </c>
    </row>
    <row r="279" spans="1:15" x14ac:dyDescent="0.3">
      <c r="A279" s="115" t="s">
        <v>1185</v>
      </c>
      <c r="B279" s="116" t="s">
        <v>16</v>
      </c>
      <c r="C279" s="117" t="s">
        <v>250</v>
      </c>
      <c r="D279" s="117" t="s">
        <v>39</v>
      </c>
      <c r="E279" s="117" t="s">
        <v>51</v>
      </c>
      <c r="F279" s="117" t="s">
        <v>41</v>
      </c>
      <c r="G279" s="117" t="s">
        <v>53</v>
      </c>
      <c r="H279" s="118">
        <v>45474</v>
      </c>
      <c r="I279" s="135">
        <v>67</v>
      </c>
      <c r="J279" s="140">
        <v>990</v>
      </c>
      <c r="K279" s="148">
        <v>0</v>
      </c>
      <c r="L279" s="166" t="s">
        <v>36</v>
      </c>
      <c r="M279" s="156">
        <v>66330</v>
      </c>
      <c r="N279" s="156">
        <v>66330</v>
      </c>
      <c r="O279" s="169" t="s">
        <v>265</v>
      </c>
    </row>
    <row r="280" spans="1:15" x14ac:dyDescent="0.3">
      <c r="A280" s="111" t="s">
        <v>1186</v>
      </c>
      <c r="B280" s="112" t="s">
        <v>16</v>
      </c>
      <c r="C280" s="113" t="s">
        <v>250</v>
      </c>
      <c r="D280" s="113" t="s">
        <v>39</v>
      </c>
      <c r="E280" s="113" t="s">
        <v>51</v>
      </c>
      <c r="F280" s="113" t="s">
        <v>28</v>
      </c>
      <c r="G280" s="113" t="s">
        <v>29</v>
      </c>
      <c r="H280" s="114">
        <v>45496</v>
      </c>
      <c r="I280" s="134">
        <v>114</v>
      </c>
      <c r="J280" s="139">
        <v>990</v>
      </c>
      <c r="K280" s="147">
        <v>0.13</v>
      </c>
      <c r="L280" s="165" t="s">
        <v>36</v>
      </c>
      <c r="M280" s="155">
        <v>112860</v>
      </c>
      <c r="N280" s="155">
        <v>98188.2</v>
      </c>
      <c r="O280" s="168" t="s">
        <v>265</v>
      </c>
    </row>
    <row r="281" spans="1:15" x14ac:dyDescent="0.3">
      <c r="A281" s="115" t="s">
        <v>1187</v>
      </c>
      <c r="B281" s="116" t="s">
        <v>49</v>
      </c>
      <c r="C281" s="117" t="s">
        <v>251</v>
      </c>
      <c r="D281" s="117" t="s">
        <v>50</v>
      </c>
      <c r="E281" s="117" t="s">
        <v>33</v>
      </c>
      <c r="F281" s="117" t="s">
        <v>52</v>
      </c>
      <c r="G281" s="117" t="s">
        <v>47</v>
      </c>
      <c r="H281" s="118">
        <v>45478</v>
      </c>
      <c r="I281" s="135">
        <v>85</v>
      </c>
      <c r="J281" s="140">
        <v>895</v>
      </c>
      <c r="K281" s="148">
        <v>0</v>
      </c>
      <c r="L281" s="166" t="s">
        <v>30</v>
      </c>
      <c r="M281" s="156">
        <v>76075</v>
      </c>
      <c r="N281" s="156">
        <v>76075</v>
      </c>
      <c r="O281" s="169" t="s">
        <v>265</v>
      </c>
    </row>
    <row r="282" spans="1:15" x14ac:dyDescent="0.3">
      <c r="A282" s="111" t="s">
        <v>1188</v>
      </c>
      <c r="B282" s="112" t="s">
        <v>63</v>
      </c>
      <c r="C282" s="113" t="s">
        <v>253</v>
      </c>
      <c r="D282" s="113" t="s">
        <v>50</v>
      </c>
      <c r="E282" s="113" t="s">
        <v>51</v>
      </c>
      <c r="F282" s="113" t="s">
        <v>34</v>
      </c>
      <c r="G282" s="113" t="s">
        <v>47</v>
      </c>
      <c r="H282" s="114">
        <v>45498</v>
      </c>
      <c r="I282" s="134">
        <v>132</v>
      </c>
      <c r="J282" s="139">
        <v>750</v>
      </c>
      <c r="K282" s="147">
        <v>0.03</v>
      </c>
      <c r="L282" s="165" t="s">
        <v>36</v>
      </c>
      <c r="M282" s="155">
        <v>99000</v>
      </c>
      <c r="N282" s="155">
        <v>96030</v>
      </c>
      <c r="O282" s="168" t="s">
        <v>265</v>
      </c>
    </row>
    <row r="283" spans="1:15" x14ac:dyDescent="0.3">
      <c r="A283" s="115" t="s">
        <v>1189</v>
      </c>
      <c r="B283" s="116" t="s">
        <v>58</v>
      </c>
      <c r="C283" s="117" t="s">
        <v>255</v>
      </c>
      <c r="D283" s="117" t="s">
        <v>59</v>
      </c>
      <c r="E283" s="117" t="s">
        <v>40</v>
      </c>
      <c r="F283" s="117" t="s">
        <v>34</v>
      </c>
      <c r="G283" s="117" t="s">
        <v>53</v>
      </c>
      <c r="H283" s="118">
        <v>45482</v>
      </c>
      <c r="I283" s="135">
        <v>59</v>
      </c>
      <c r="J283" s="140">
        <v>2800</v>
      </c>
      <c r="K283" s="148">
        <v>0</v>
      </c>
      <c r="L283" s="166" t="s">
        <v>36</v>
      </c>
      <c r="M283" s="156">
        <v>165200</v>
      </c>
      <c r="N283" s="156">
        <v>165200</v>
      </c>
      <c r="O283" s="169" t="s">
        <v>267</v>
      </c>
    </row>
    <row r="284" spans="1:15" x14ac:dyDescent="0.3">
      <c r="A284" s="111" t="s">
        <v>1190</v>
      </c>
      <c r="B284" s="112" t="s">
        <v>32</v>
      </c>
      <c r="C284" s="113" t="s">
        <v>246</v>
      </c>
      <c r="D284" s="113" t="s">
        <v>26</v>
      </c>
      <c r="E284" s="113" t="s">
        <v>33</v>
      </c>
      <c r="F284" s="113" t="s">
        <v>28</v>
      </c>
      <c r="G284" s="113" t="s">
        <v>53</v>
      </c>
      <c r="H284" s="114">
        <v>45495</v>
      </c>
      <c r="I284" s="134">
        <v>147</v>
      </c>
      <c r="J284" s="139">
        <v>420</v>
      </c>
      <c r="K284" s="147">
        <v>0.03</v>
      </c>
      <c r="L284" s="165" t="s">
        <v>36</v>
      </c>
      <c r="M284" s="155">
        <v>61740</v>
      </c>
      <c r="N284" s="155">
        <v>59887.8</v>
      </c>
      <c r="O284" s="168" t="s">
        <v>265</v>
      </c>
    </row>
    <row r="285" spans="1:15" x14ac:dyDescent="0.3">
      <c r="A285" s="115" t="s">
        <v>1191</v>
      </c>
      <c r="B285" s="116" t="s">
        <v>44</v>
      </c>
      <c r="C285" s="117" t="s">
        <v>254</v>
      </c>
      <c r="D285" s="117" t="s">
        <v>39</v>
      </c>
      <c r="E285" s="117" t="s">
        <v>51</v>
      </c>
      <c r="F285" s="117" t="s">
        <v>28</v>
      </c>
      <c r="G285" s="117" t="s">
        <v>47</v>
      </c>
      <c r="H285" s="118">
        <v>45501</v>
      </c>
      <c r="I285" s="135">
        <v>94</v>
      </c>
      <c r="J285" s="140">
        <v>200</v>
      </c>
      <c r="K285" s="148">
        <v>0.05</v>
      </c>
      <c r="L285" s="166" t="s">
        <v>36</v>
      </c>
      <c r="M285" s="156">
        <v>18800</v>
      </c>
      <c r="N285" s="156">
        <v>17860</v>
      </c>
      <c r="O285" s="169" t="s">
        <v>265</v>
      </c>
    </row>
    <row r="286" spans="1:15" x14ac:dyDescent="0.3">
      <c r="A286" s="111" t="s">
        <v>1192</v>
      </c>
      <c r="B286" s="112" t="s">
        <v>63</v>
      </c>
      <c r="C286" s="113" t="s">
        <v>253</v>
      </c>
      <c r="D286" s="113" t="s">
        <v>50</v>
      </c>
      <c r="E286" s="113" t="s">
        <v>45</v>
      </c>
      <c r="F286" s="113" t="s">
        <v>46</v>
      </c>
      <c r="G286" s="113" t="s">
        <v>35</v>
      </c>
      <c r="H286" s="114">
        <v>45494</v>
      </c>
      <c r="I286" s="134">
        <v>95</v>
      </c>
      <c r="J286" s="139">
        <v>750</v>
      </c>
      <c r="K286" s="147">
        <v>0.14000000000000001</v>
      </c>
      <c r="L286" s="165" t="s">
        <v>36</v>
      </c>
      <c r="M286" s="155">
        <v>71250</v>
      </c>
      <c r="N286" s="155">
        <v>61275</v>
      </c>
      <c r="O286" s="168" t="s">
        <v>265</v>
      </c>
    </row>
    <row r="287" spans="1:15" x14ac:dyDescent="0.3">
      <c r="A287" s="115" t="s">
        <v>1193</v>
      </c>
      <c r="B287" s="116" t="s">
        <v>44</v>
      </c>
      <c r="C287" s="117" t="s">
        <v>254</v>
      </c>
      <c r="D287" s="117" t="s">
        <v>39</v>
      </c>
      <c r="E287" s="117" t="s">
        <v>40</v>
      </c>
      <c r="F287" s="117" t="s">
        <v>34</v>
      </c>
      <c r="G287" s="117" t="s">
        <v>29</v>
      </c>
      <c r="H287" s="118">
        <v>45482</v>
      </c>
      <c r="I287" s="135">
        <v>168</v>
      </c>
      <c r="J287" s="140">
        <v>200</v>
      </c>
      <c r="K287" s="148">
        <v>0.05</v>
      </c>
      <c r="L287" s="166" t="s">
        <v>30</v>
      </c>
      <c r="M287" s="156">
        <v>33600</v>
      </c>
      <c r="N287" s="156">
        <v>31920</v>
      </c>
      <c r="O287" s="169" t="s">
        <v>265</v>
      </c>
    </row>
    <row r="288" spans="1:15" x14ac:dyDescent="0.3">
      <c r="A288" s="111" t="s">
        <v>1194</v>
      </c>
      <c r="B288" s="112" t="s">
        <v>32</v>
      </c>
      <c r="C288" s="113" t="s">
        <v>246</v>
      </c>
      <c r="D288" s="113" t="s">
        <v>26</v>
      </c>
      <c r="E288" s="113" t="s">
        <v>33</v>
      </c>
      <c r="F288" s="113" t="s">
        <v>46</v>
      </c>
      <c r="G288" s="113" t="s">
        <v>29</v>
      </c>
      <c r="H288" s="114">
        <v>45503</v>
      </c>
      <c r="I288" s="134">
        <v>172</v>
      </c>
      <c r="J288" s="139">
        <v>420</v>
      </c>
      <c r="K288" s="147">
        <v>0.1</v>
      </c>
      <c r="L288" s="165" t="s">
        <v>36</v>
      </c>
      <c r="M288" s="155">
        <v>72240</v>
      </c>
      <c r="N288" s="155">
        <v>65016</v>
      </c>
      <c r="O288" s="168" t="s">
        <v>265</v>
      </c>
    </row>
    <row r="289" spans="1:15" x14ac:dyDescent="0.3">
      <c r="A289" s="115" t="s">
        <v>1195</v>
      </c>
      <c r="B289" s="116" t="s">
        <v>55</v>
      </c>
      <c r="C289" s="117" t="s">
        <v>249</v>
      </c>
      <c r="D289" s="117" t="s">
        <v>39</v>
      </c>
      <c r="E289" s="117" t="s">
        <v>33</v>
      </c>
      <c r="F289" s="117" t="s">
        <v>52</v>
      </c>
      <c r="G289" s="117" t="s">
        <v>47</v>
      </c>
      <c r="H289" s="118">
        <v>45493</v>
      </c>
      <c r="I289" s="135">
        <v>167</v>
      </c>
      <c r="J289" s="140">
        <v>650</v>
      </c>
      <c r="K289" s="148">
        <v>0.12</v>
      </c>
      <c r="L289" s="166" t="s">
        <v>36</v>
      </c>
      <c r="M289" s="156">
        <v>108550</v>
      </c>
      <c r="N289" s="156">
        <v>95524</v>
      </c>
      <c r="O289" s="169" t="s">
        <v>265</v>
      </c>
    </row>
    <row r="290" spans="1:15" x14ac:dyDescent="0.3">
      <c r="A290" s="111" t="s">
        <v>1196</v>
      </c>
      <c r="B290" s="112" t="s">
        <v>16</v>
      </c>
      <c r="C290" s="113" t="s">
        <v>250</v>
      </c>
      <c r="D290" s="113" t="s">
        <v>39</v>
      </c>
      <c r="E290" s="113" t="s">
        <v>27</v>
      </c>
      <c r="F290" s="113" t="s">
        <v>52</v>
      </c>
      <c r="G290" s="113" t="s">
        <v>29</v>
      </c>
      <c r="H290" s="114">
        <v>45498</v>
      </c>
      <c r="I290" s="134">
        <v>34</v>
      </c>
      <c r="J290" s="139">
        <v>990</v>
      </c>
      <c r="K290" s="147">
        <v>0</v>
      </c>
      <c r="L290" s="165" t="s">
        <v>36</v>
      </c>
      <c r="M290" s="155">
        <v>33660</v>
      </c>
      <c r="N290" s="155">
        <v>33660</v>
      </c>
      <c r="O290" s="168" t="s">
        <v>265</v>
      </c>
    </row>
    <row r="291" spans="1:15" x14ac:dyDescent="0.3">
      <c r="A291" s="115" t="s">
        <v>1197</v>
      </c>
      <c r="B291" s="116" t="s">
        <v>25</v>
      </c>
      <c r="C291" s="117" t="s">
        <v>257</v>
      </c>
      <c r="D291" s="117" t="s">
        <v>26</v>
      </c>
      <c r="E291" s="117" t="s">
        <v>45</v>
      </c>
      <c r="F291" s="117" t="s">
        <v>34</v>
      </c>
      <c r="G291" s="117" t="s">
        <v>47</v>
      </c>
      <c r="H291" s="118">
        <v>45482</v>
      </c>
      <c r="I291" s="135">
        <v>44</v>
      </c>
      <c r="J291" s="140">
        <v>350</v>
      </c>
      <c r="K291" s="148">
        <v>7.0000000000000007E-2</v>
      </c>
      <c r="L291" s="166" t="s">
        <v>30</v>
      </c>
      <c r="M291" s="156">
        <v>15400</v>
      </c>
      <c r="N291" s="156">
        <v>14322</v>
      </c>
      <c r="O291" s="169" t="s">
        <v>265</v>
      </c>
    </row>
    <row r="292" spans="1:15" x14ac:dyDescent="0.3">
      <c r="A292" s="111" t="s">
        <v>1198</v>
      </c>
      <c r="B292" s="112" t="s">
        <v>49</v>
      </c>
      <c r="C292" s="113" t="s">
        <v>251</v>
      </c>
      <c r="D292" s="113" t="s">
        <v>50</v>
      </c>
      <c r="E292" s="113" t="s">
        <v>45</v>
      </c>
      <c r="F292" s="113" t="s">
        <v>28</v>
      </c>
      <c r="G292" s="113" t="s">
        <v>47</v>
      </c>
      <c r="H292" s="114">
        <v>45499</v>
      </c>
      <c r="I292" s="134">
        <v>108</v>
      </c>
      <c r="J292" s="139">
        <v>895</v>
      </c>
      <c r="K292" s="147">
        <v>0.14000000000000001</v>
      </c>
      <c r="L292" s="165" t="s">
        <v>36</v>
      </c>
      <c r="M292" s="155">
        <v>96660</v>
      </c>
      <c r="N292" s="155">
        <v>83127.600000000006</v>
      </c>
      <c r="O292" s="168" t="s">
        <v>265</v>
      </c>
    </row>
    <row r="293" spans="1:15" x14ac:dyDescent="0.3">
      <c r="A293" s="115" t="s">
        <v>1199</v>
      </c>
      <c r="B293" s="116" t="s">
        <v>49</v>
      </c>
      <c r="C293" s="117" t="s">
        <v>251</v>
      </c>
      <c r="D293" s="117" t="s">
        <v>50</v>
      </c>
      <c r="E293" s="117" t="s">
        <v>33</v>
      </c>
      <c r="F293" s="117" t="s">
        <v>28</v>
      </c>
      <c r="G293" s="117" t="s">
        <v>53</v>
      </c>
      <c r="H293" s="118">
        <v>45485</v>
      </c>
      <c r="I293" s="135">
        <v>76</v>
      </c>
      <c r="J293" s="140">
        <v>895</v>
      </c>
      <c r="K293" s="148">
        <v>0.08</v>
      </c>
      <c r="L293" s="166" t="s">
        <v>36</v>
      </c>
      <c r="M293" s="156">
        <v>68020</v>
      </c>
      <c r="N293" s="156">
        <v>62578.400000000001</v>
      </c>
      <c r="O293" s="169" t="s">
        <v>265</v>
      </c>
    </row>
    <row r="294" spans="1:15" x14ac:dyDescent="0.3">
      <c r="A294" s="111" t="s">
        <v>1200</v>
      </c>
      <c r="B294" s="112" t="s">
        <v>25</v>
      </c>
      <c r="C294" s="113" t="s">
        <v>257</v>
      </c>
      <c r="D294" s="113" t="s">
        <v>26</v>
      </c>
      <c r="E294" s="113" t="s">
        <v>51</v>
      </c>
      <c r="F294" s="113" t="s">
        <v>41</v>
      </c>
      <c r="G294" s="113" t="s">
        <v>42</v>
      </c>
      <c r="H294" s="114">
        <v>45490</v>
      </c>
      <c r="I294" s="134">
        <v>178</v>
      </c>
      <c r="J294" s="139">
        <v>350</v>
      </c>
      <c r="K294" s="147">
        <v>0.15</v>
      </c>
      <c r="L294" s="165" t="s">
        <v>36</v>
      </c>
      <c r="M294" s="155">
        <v>62300</v>
      </c>
      <c r="N294" s="155">
        <v>52955</v>
      </c>
      <c r="O294" s="168" t="s">
        <v>265</v>
      </c>
    </row>
    <row r="295" spans="1:15" x14ac:dyDescent="0.3">
      <c r="A295" s="115" t="s">
        <v>1201</v>
      </c>
      <c r="B295" s="116" t="s">
        <v>58</v>
      </c>
      <c r="C295" s="117" t="s">
        <v>255</v>
      </c>
      <c r="D295" s="117" t="s">
        <v>59</v>
      </c>
      <c r="E295" s="117" t="s">
        <v>40</v>
      </c>
      <c r="F295" s="117" t="s">
        <v>34</v>
      </c>
      <c r="G295" s="117" t="s">
        <v>42</v>
      </c>
      <c r="H295" s="118">
        <v>45481</v>
      </c>
      <c r="I295" s="135">
        <v>64</v>
      </c>
      <c r="J295" s="140">
        <v>2800</v>
      </c>
      <c r="K295" s="148">
        <v>0.11</v>
      </c>
      <c r="L295" s="166" t="s">
        <v>36</v>
      </c>
      <c r="M295" s="156">
        <v>179200</v>
      </c>
      <c r="N295" s="156">
        <v>159488</v>
      </c>
      <c r="O295" s="169" t="s">
        <v>267</v>
      </c>
    </row>
    <row r="296" spans="1:15" x14ac:dyDescent="0.3">
      <c r="A296" s="111" t="s">
        <v>1202</v>
      </c>
      <c r="B296" s="112" t="s">
        <v>61</v>
      </c>
      <c r="C296" s="113" t="s">
        <v>244</v>
      </c>
      <c r="D296" s="113" t="s">
        <v>26</v>
      </c>
      <c r="E296" s="113" t="s">
        <v>45</v>
      </c>
      <c r="F296" s="113" t="s">
        <v>34</v>
      </c>
      <c r="G296" s="113" t="s">
        <v>35</v>
      </c>
      <c r="H296" s="114">
        <v>45474</v>
      </c>
      <c r="I296" s="134">
        <v>41</v>
      </c>
      <c r="J296" s="139">
        <v>280</v>
      </c>
      <c r="K296" s="147">
        <v>0</v>
      </c>
      <c r="L296" s="165" t="s">
        <v>36</v>
      </c>
      <c r="M296" s="155">
        <v>11480</v>
      </c>
      <c r="N296" s="155">
        <v>11480</v>
      </c>
      <c r="O296" s="168" t="s">
        <v>265</v>
      </c>
    </row>
    <row r="297" spans="1:15" x14ac:dyDescent="0.3">
      <c r="A297" s="115" t="s">
        <v>1203</v>
      </c>
      <c r="B297" s="116" t="s">
        <v>32</v>
      </c>
      <c r="C297" s="117" t="s">
        <v>246</v>
      </c>
      <c r="D297" s="117" t="s">
        <v>26</v>
      </c>
      <c r="E297" s="117" t="s">
        <v>51</v>
      </c>
      <c r="F297" s="117" t="s">
        <v>28</v>
      </c>
      <c r="G297" s="117" t="s">
        <v>42</v>
      </c>
      <c r="H297" s="118">
        <v>45499</v>
      </c>
      <c r="I297" s="135">
        <v>197</v>
      </c>
      <c r="J297" s="140">
        <v>420</v>
      </c>
      <c r="K297" s="148">
        <v>0.13</v>
      </c>
      <c r="L297" s="166" t="s">
        <v>36</v>
      </c>
      <c r="M297" s="156">
        <v>82740</v>
      </c>
      <c r="N297" s="156">
        <v>71983.8</v>
      </c>
      <c r="O297" s="169" t="s">
        <v>265</v>
      </c>
    </row>
    <row r="298" spans="1:15" x14ac:dyDescent="0.3">
      <c r="A298" s="111" t="s">
        <v>1204</v>
      </c>
      <c r="B298" s="112" t="s">
        <v>16</v>
      </c>
      <c r="C298" s="113" t="s">
        <v>250</v>
      </c>
      <c r="D298" s="113" t="s">
        <v>39</v>
      </c>
      <c r="E298" s="113" t="s">
        <v>33</v>
      </c>
      <c r="F298" s="113" t="s">
        <v>52</v>
      </c>
      <c r="G298" s="113" t="s">
        <v>53</v>
      </c>
      <c r="H298" s="114">
        <v>45493</v>
      </c>
      <c r="I298" s="134">
        <v>107</v>
      </c>
      <c r="J298" s="139">
        <v>990</v>
      </c>
      <c r="K298" s="147">
        <v>0.13</v>
      </c>
      <c r="L298" s="165" t="s">
        <v>36</v>
      </c>
      <c r="M298" s="155">
        <v>105930</v>
      </c>
      <c r="N298" s="155">
        <v>92159.1</v>
      </c>
      <c r="O298" s="168" t="s">
        <v>265</v>
      </c>
    </row>
    <row r="299" spans="1:15" x14ac:dyDescent="0.3">
      <c r="A299" s="115" t="s">
        <v>1205</v>
      </c>
      <c r="B299" s="116" t="s">
        <v>16</v>
      </c>
      <c r="C299" s="117" t="s">
        <v>250</v>
      </c>
      <c r="D299" s="117" t="s">
        <v>39</v>
      </c>
      <c r="E299" s="117" t="s">
        <v>51</v>
      </c>
      <c r="F299" s="117" t="s">
        <v>34</v>
      </c>
      <c r="G299" s="117" t="s">
        <v>53</v>
      </c>
      <c r="H299" s="118">
        <v>45481</v>
      </c>
      <c r="I299" s="135">
        <v>53</v>
      </c>
      <c r="J299" s="140">
        <v>990</v>
      </c>
      <c r="K299" s="148">
        <v>0</v>
      </c>
      <c r="L299" s="166" t="s">
        <v>36</v>
      </c>
      <c r="M299" s="156">
        <v>52470</v>
      </c>
      <c r="N299" s="156">
        <v>52470</v>
      </c>
      <c r="O299" s="169" t="s">
        <v>265</v>
      </c>
    </row>
    <row r="300" spans="1:15" x14ac:dyDescent="0.3">
      <c r="A300" s="111" t="s">
        <v>1206</v>
      </c>
      <c r="B300" s="112" t="s">
        <v>25</v>
      </c>
      <c r="C300" s="113" t="s">
        <v>257</v>
      </c>
      <c r="D300" s="113" t="s">
        <v>26</v>
      </c>
      <c r="E300" s="113" t="s">
        <v>33</v>
      </c>
      <c r="F300" s="113" t="s">
        <v>52</v>
      </c>
      <c r="G300" s="113" t="s">
        <v>35</v>
      </c>
      <c r="H300" s="114">
        <v>45492</v>
      </c>
      <c r="I300" s="134">
        <v>181</v>
      </c>
      <c r="J300" s="139">
        <v>350</v>
      </c>
      <c r="K300" s="147">
        <v>0</v>
      </c>
      <c r="L300" s="165" t="s">
        <v>30</v>
      </c>
      <c r="M300" s="155">
        <v>63350</v>
      </c>
      <c r="N300" s="155">
        <v>63350</v>
      </c>
      <c r="O300" s="168" t="s">
        <v>265</v>
      </c>
    </row>
    <row r="301" spans="1:15" x14ac:dyDescent="0.3">
      <c r="A301" s="115" t="s">
        <v>1207</v>
      </c>
      <c r="B301" s="116" t="s">
        <v>32</v>
      </c>
      <c r="C301" s="117" t="s">
        <v>246</v>
      </c>
      <c r="D301" s="117" t="s">
        <v>26</v>
      </c>
      <c r="E301" s="117" t="s">
        <v>27</v>
      </c>
      <c r="F301" s="117" t="s">
        <v>41</v>
      </c>
      <c r="G301" s="117" t="s">
        <v>35</v>
      </c>
      <c r="H301" s="118">
        <v>45489</v>
      </c>
      <c r="I301" s="135">
        <v>190</v>
      </c>
      <c r="J301" s="140">
        <v>420</v>
      </c>
      <c r="K301" s="148">
        <v>0.03</v>
      </c>
      <c r="L301" s="166" t="s">
        <v>36</v>
      </c>
      <c r="M301" s="156">
        <v>79800</v>
      </c>
      <c r="N301" s="156">
        <v>77406</v>
      </c>
      <c r="O301" s="169" t="s">
        <v>265</v>
      </c>
    </row>
    <row r="302" spans="1:15" x14ac:dyDescent="0.3">
      <c r="A302" s="111" t="s">
        <v>1208</v>
      </c>
      <c r="B302" s="112" t="s">
        <v>58</v>
      </c>
      <c r="C302" s="113" t="s">
        <v>255</v>
      </c>
      <c r="D302" s="113" t="s">
        <v>59</v>
      </c>
      <c r="E302" s="113" t="s">
        <v>27</v>
      </c>
      <c r="F302" s="113" t="s">
        <v>28</v>
      </c>
      <c r="G302" s="113" t="s">
        <v>35</v>
      </c>
      <c r="H302" s="114">
        <v>45496</v>
      </c>
      <c r="I302" s="134">
        <v>87</v>
      </c>
      <c r="J302" s="139">
        <v>2800</v>
      </c>
      <c r="K302" s="147">
        <v>0.13</v>
      </c>
      <c r="L302" s="165" t="s">
        <v>36</v>
      </c>
      <c r="M302" s="155">
        <v>243600</v>
      </c>
      <c r="N302" s="155">
        <v>211932</v>
      </c>
      <c r="O302" s="168" t="s">
        <v>267</v>
      </c>
    </row>
    <row r="303" spans="1:15" x14ac:dyDescent="0.3">
      <c r="A303" s="115" t="s">
        <v>1209</v>
      </c>
      <c r="B303" s="116" t="s">
        <v>38</v>
      </c>
      <c r="C303" s="117" t="s">
        <v>247</v>
      </c>
      <c r="D303" s="117" t="s">
        <v>39</v>
      </c>
      <c r="E303" s="117" t="s">
        <v>33</v>
      </c>
      <c r="F303" s="117" t="s">
        <v>34</v>
      </c>
      <c r="G303" s="117" t="s">
        <v>29</v>
      </c>
      <c r="H303" s="118">
        <v>45530</v>
      </c>
      <c r="I303" s="135">
        <v>60</v>
      </c>
      <c r="J303" s="140">
        <v>1200</v>
      </c>
      <c r="K303" s="148">
        <v>0.14000000000000001</v>
      </c>
      <c r="L303" s="166" t="s">
        <v>30</v>
      </c>
      <c r="M303" s="156">
        <v>72000</v>
      </c>
      <c r="N303" s="156">
        <v>61920</v>
      </c>
      <c r="O303" s="169" t="s">
        <v>265</v>
      </c>
    </row>
    <row r="304" spans="1:15" x14ac:dyDescent="0.3">
      <c r="A304" s="111" t="s">
        <v>1210</v>
      </c>
      <c r="B304" s="112" t="s">
        <v>38</v>
      </c>
      <c r="C304" s="113" t="s">
        <v>247</v>
      </c>
      <c r="D304" s="113" t="s">
        <v>39</v>
      </c>
      <c r="E304" s="113" t="s">
        <v>45</v>
      </c>
      <c r="F304" s="113" t="s">
        <v>46</v>
      </c>
      <c r="G304" s="113" t="s">
        <v>29</v>
      </c>
      <c r="H304" s="114">
        <v>45516</v>
      </c>
      <c r="I304" s="134">
        <v>100</v>
      </c>
      <c r="J304" s="139">
        <v>1200</v>
      </c>
      <c r="K304" s="147">
        <v>0.08</v>
      </c>
      <c r="L304" s="165" t="s">
        <v>36</v>
      </c>
      <c r="M304" s="155">
        <v>120000</v>
      </c>
      <c r="N304" s="155">
        <v>110400</v>
      </c>
      <c r="O304" s="168" t="s">
        <v>267</v>
      </c>
    </row>
    <row r="305" spans="1:15" x14ac:dyDescent="0.3">
      <c r="A305" s="115" t="s">
        <v>1211</v>
      </c>
      <c r="B305" s="116" t="s">
        <v>63</v>
      </c>
      <c r="C305" s="117" t="s">
        <v>253</v>
      </c>
      <c r="D305" s="117" t="s">
        <v>50</v>
      </c>
      <c r="E305" s="117" t="s">
        <v>27</v>
      </c>
      <c r="F305" s="117" t="s">
        <v>52</v>
      </c>
      <c r="G305" s="117" t="s">
        <v>29</v>
      </c>
      <c r="H305" s="118">
        <v>45530</v>
      </c>
      <c r="I305" s="135">
        <v>34</v>
      </c>
      <c r="J305" s="140">
        <v>750</v>
      </c>
      <c r="K305" s="148">
        <v>0.14000000000000001</v>
      </c>
      <c r="L305" s="166" t="s">
        <v>36</v>
      </c>
      <c r="M305" s="156">
        <v>25500</v>
      </c>
      <c r="N305" s="156">
        <v>21930</v>
      </c>
      <c r="O305" s="169" t="s">
        <v>265</v>
      </c>
    </row>
    <row r="306" spans="1:15" x14ac:dyDescent="0.3">
      <c r="A306" s="111" t="s">
        <v>1212</v>
      </c>
      <c r="B306" s="112" t="s">
        <v>32</v>
      </c>
      <c r="C306" s="113" t="s">
        <v>246</v>
      </c>
      <c r="D306" s="113" t="s">
        <v>26</v>
      </c>
      <c r="E306" s="113" t="s">
        <v>45</v>
      </c>
      <c r="F306" s="113" t="s">
        <v>28</v>
      </c>
      <c r="G306" s="113" t="s">
        <v>53</v>
      </c>
      <c r="H306" s="114">
        <v>45524</v>
      </c>
      <c r="I306" s="134">
        <v>134</v>
      </c>
      <c r="J306" s="139">
        <v>420</v>
      </c>
      <c r="K306" s="147">
        <v>0.05</v>
      </c>
      <c r="L306" s="165" t="s">
        <v>36</v>
      </c>
      <c r="M306" s="155">
        <v>56280</v>
      </c>
      <c r="N306" s="155">
        <v>53466</v>
      </c>
      <c r="O306" s="168" t="s">
        <v>265</v>
      </c>
    </row>
    <row r="307" spans="1:15" x14ac:dyDescent="0.3">
      <c r="A307" s="115" t="s">
        <v>1213</v>
      </c>
      <c r="B307" s="116" t="s">
        <v>49</v>
      </c>
      <c r="C307" s="117" t="s">
        <v>251</v>
      </c>
      <c r="D307" s="117" t="s">
        <v>50</v>
      </c>
      <c r="E307" s="117" t="s">
        <v>27</v>
      </c>
      <c r="F307" s="117" t="s">
        <v>41</v>
      </c>
      <c r="G307" s="117" t="s">
        <v>53</v>
      </c>
      <c r="H307" s="118">
        <v>45515</v>
      </c>
      <c r="I307" s="135">
        <v>123</v>
      </c>
      <c r="J307" s="140">
        <v>895</v>
      </c>
      <c r="K307" s="148">
        <v>0</v>
      </c>
      <c r="L307" s="166" t="s">
        <v>30</v>
      </c>
      <c r="M307" s="156">
        <v>110085</v>
      </c>
      <c r="N307" s="156">
        <v>110085</v>
      </c>
      <c r="O307" s="169" t="s">
        <v>267</v>
      </c>
    </row>
    <row r="308" spans="1:15" x14ac:dyDescent="0.3">
      <c r="A308" s="111" t="s">
        <v>1214</v>
      </c>
      <c r="B308" s="112" t="s">
        <v>58</v>
      </c>
      <c r="C308" s="113" t="s">
        <v>255</v>
      </c>
      <c r="D308" s="113" t="s">
        <v>59</v>
      </c>
      <c r="E308" s="113" t="s">
        <v>51</v>
      </c>
      <c r="F308" s="113" t="s">
        <v>34</v>
      </c>
      <c r="G308" s="113" t="s">
        <v>53</v>
      </c>
      <c r="H308" s="114">
        <v>45527</v>
      </c>
      <c r="I308" s="134">
        <v>19</v>
      </c>
      <c r="J308" s="139">
        <v>2800</v>
      </c>
      <c r="K308" s="147">
        <v>0.14000000000000001</v>
      </c>
      <c r="L308" s="165" t="s">
        <v>30</v>
      </c>
      <c r="M308" s="155">
        <v>53200</v>
      </c>
      <c r="N308" s="155">
        <v>45752</v>
      </c>
      <c r="O308" s="168" t="s">
        <v>265</v>
      </c>
    </row>
    <row r="309" spans="1:15" x14ac:dyDescent="0.3">
      <c r="A309" s="115" t="s">
        <v>1215</v>
      </c>
      <c r="B309" s="116" t="s">
        <v>63</v>
      </c>
      <c r="C309" s="117" t="s">
        <v>253</v>
      </c>
      <c r="D309" s="117" t="s">
        <v>50</v>
      </c>
      <c r="E309" s="117" t="s">
        <v>45</v>
      </c>
      <c r="F309" s="117" t="s">
        <v>46</v>
      </c>
      <c r="G309" s="117" t="s">
        <v>53</v>
      </c>
      <c r="H309" s="118">
        <v>45525</v>
      </c>
      <c r="I309" s="135">
        <v>36</v>
      </c>
      <c r="J309" s="140">
        <v>750</v>
      </c>
      <c r="K309" s="148">
        <v>0.14000000000000001</v>
      </c>
      <c r="L309" s="166" t="s">
        <v>36</v>
      </c>
      <c r="M309" s="156">
        <v>27000</v>
      </c>
      <c r="N309" s="156">
        <v>23220</v>
      </c>
      <c r="O309" s="169" t="s">
        <v>265</v>
      </c>
    </row>
    <row r="310" spans="1:15" x14ac:dyDescent="0.3">
      <c r="A310" s="111" t="s">
        <v>1216</v>
      </c>
      <c r="B310" s="112" t="s">
        <v>61</v>
      </c>
      <c r="C310" s="113" t="s">
        <v>244</v>
      </c>
      <c r="D310" s="113" t="s">
        <v>26</v>
      </c>
      <c r="E310" s="113" t="s">
        <v>27</v>
      </c>
      <c r="F310" s="113" t="s">
        <v>28</v>
      </c>
      <c r="G310" s="113" t="s">
        <v>29</v>
      </c>
      <c r="H310" s="114">
        <v>45516</v>
      </c>
      <c r="I310" s="134">
        <v>108</v>
      </c>
      <c r="J310" s="139">
        <v>280</v>
      </c>
      <c r="K310" s="147">
        <v>0.1</v>
      </c>
      <c r="L310" s="165" t="s">
        <v>36</v>
      </c>
      <c r="M310" s="155">
        <v>30240</v>
      </c>
      <c r="N310" s="155">
        <v>27216</v>
      </c>
      <c r="O310" s="168" t="s">
        <v>265</v>
      </c>
    </row>
    <row r="311" spans="1:15" x14ac:dyDescent="0.3">
      <c r="A311" s="115" t="s">
        <v>1217</v>
      </c>
      <c r="B311" s="116" t="s">
        <v>16</v>
      </c>
      <c r="C311" s="117" t="s">
        <v>250</v>
      </c>
      <c r="D311" s="117" t="s">
        <v>39</v>
      </c>
      <c r="E311" s="117" t="s">
        <v>40</v>
      </c>
      <c r="F311" s="117" t="s">
        <v>41</v>
      </c>
      <c r="G311" s="117" t="s">
        <v>35</v>
      </c>
      <c r="H311" s="118">
        <v>45533</v>
      </c>
      <c r="I311" s="135">
        <v>33</v>
      </c>
      <c r="J311" s="140">
        <v>990</v>
      </c>
      <c r="K311" s="148">
        <v>0.08</v>
      </c>
      <c r="L311" s="166" t="s">
        <v>36</v>
      </c>
      <c r="M311" s="156">
        <v>32670</v>
      </c>
      <c r="N311" s="156">
        <v>30056.400000000001</v>
      </c>
      <c r="O311" s="169" t="s">
        <v>265</v>
      </c>
    </row>
    <row r="312" spans="1:15" x14ac:dyDescent="0.3">
      <c r="A312" s="111" t="s">
        <v>1218</v>
      </c>
      <c r="B312" s="112" t="s">
        <v>63</v>
      </c>
      <c r="C312" s="113" t="s">
        <v>253</v>
      </c>
      <c r="D312" s="113" t="s">
        <v>50</v>
      </c>
      <c r="E312" s="113" t="s">
        <v>45</v>
      </c>
      <c r="F312" s="113" t="s">
        <v>28</v>
      </c>
      <c r="G312" s="113" t="s">
        <v>53</v>
      </c>
      <c r="H312" s="114">
        <v>45535</v>
      </c>
      <c r="I312" s="134">
        <v>128</v>
      </c>
      <c r="J312" s="139">
        <v>750</v>
      </c>
      <c r="K312" s="147">
        <v>0.12</v>
      </c>
      <c r="L312" s="165" t="s">
        <v>36</v>
      </c>
      <c r="M312" s="155">
        <v>96000</v>
      </c>
      <c r="N312" s="155">
        <v>84480</v>
      </c>
      <c r="O312" s="168" t="s">
        <v>265</v>
      </c>
    </row>
    <row r="313" spans="1:15" x14ac:dyDescent="0.3">
      <c r="A313" s="115" t="s">
        <v>1219</v>
      </c>
      <c r="B313" s="116" t="s">
        <v>63</v>
      </c>
      <c r="C313" s="117" t="s">
        <v>253</v>
      </c>
      <c r="D313" s="117" t="s">
        <v>50</v>
      </c>
      <c r="E313" s="117" t="s">
        <v>40</v>
      </c>
      <c r="F313" s="117" t="s">
        <v>28</v>
      </c>
      <c r="G313" s="117" t="s">
        <v>47</v>
      </c>
      <c r="H313" s="118">
        <v>45518</v>
      </c>
      <c r="I313" s="135">
        <v>124</v>
      </c>
      <c r="J313" s="140">
        <v>750</v>
      </c>
      <c r="K313" s="148">
        <v>0.05</v>
      </c>
      <c r="L313" s="166" t="s">
        <v>36</v>
      </c>
      <c r="M313" s="156">
        <v>93000</v>
      </c>
      <c r="N313" s="156">
        <v>88350</v>
      </c>
      <c r="O313" s="169" t="s">
        <v>265</v>
      </c>
    </row>
    <row r="314" spans="1:15" x14ac:dyDescent="0.3">
      <c r="A314" s="111" t="s">
        <v>1220</v>
      </c>
      <c r="B314" s="112" t="s">
        <v>25</v>
      </c>
      <c r="C314" s="113" t="s">
        <v>257</v>
      </c>
      <c r="D314" s="113" t="s">
        <v>26</v>
      </c>
      <c r="E314" s="113" t="s">
        <v>40</v>
      </c>
      <c r="F314" s="113" t="s">
        <v>41</v>
      </c>
      <c r="G314" s="113" t="s">
        <v>35</v>
      </c>
      <c r="H314" s="114">
        <v>45529</v>
      </c>
      <c r="I314" s="134">
        <v>156</v>
      </c>
      <c r="J314" s="139">
        <v>350</v>
      </c>
      <c r="K314" s="147">
        <v>0.05</v>
      </c>
      <c r="L314" s="165" t="s">
        <v>30</v>
      </c>
      <c r="M314" s="155">
        <v>54600</v>
      </c>
      <c r="N314" s="155">
        <v>51870</v>
      </c>
      <c r="O314" s="168" t="s">
        <v>265</v>
      </c>
    </row>
    <row r="315" spans="1:15" x14ac:dyDescent="0.3">
      <c r="A315" s="115" t="s">
        <v>1221</v>
      </c>
      <c r="B315" s="116" t="s">
        <v>49</v>
      </c>
      <c r="C315" s="117" t="s">
        <v>251</v>
      </c>
      <c r="D315" s="117" t="s">
        <v>50</v>
      </c>
      <c r="E315" s="117" t="s">
        <v>51</v>
      </c>
      <c r="F315" s="117" t="s">
        <v>46</v>
      </c>
      <c r="G315" s="117" t="s">
        <v>53</v>
      </c>
      <c r="H315" s="118">
        <v>45520</v>
      </c>
      <c r="I315" s="135">
        <v>148</v>
      </c>
      <c r="J315" s="140">
        <v>895</v>
      </c>
      <c r="K315" s="148">
        <v>0</v>
      </c>
      <c r="L315" s="166" t="s">
        <v>36</v>
      </c>
      <c r="M315" s="156">
        <v>132460</v>
      </c>
      <c r="N315" s="156">
        <v>132460</v>
      </c>
      <c r="O315" s="169" t="s">
        <v>267</v>
      </c>
    </row>
    <row r="316" spans="1:15" x14ac:dyDescent="0.3">
      <c r="A316" s="111" t="s">
        <v>1222</v>
      </c>
      <c r="B316" s="112" t="s">
        <v>25</v>
      </c>
      <c r="C316" s="113" t="s">
        <v>257</v>
      </c>
      <c r="D316" s="113" t="s">
        <v>26</v>
      </c>
      <c r="E316" s="113" t="s">
        <v>45</v>
      </c>
      <c r="F316" s="113" t="s">
        <v>52</v>
      </c>
      <c r="G316" s="113" t="s">
        <v>42</v>
      </c>
      <c r="H316" s="114">
        <v>45517</v>
      </c>
      <c r="I316" s="134">
        <v>175</v>
      </c>
      <c r="J316" s="139">
        <v>350</v>
      </c>
      <c r="K316" s="147">
        <v>0.05</v>
      </c>
      <c r="L316" s="165" t="s">
        <v>36</v>
      </c>
      <c r="M316" s="155">
        <v>61250</v>
      </c>
      <c r="N316" s="155">
        <v>58187.5</v>
      </c>
      <c r="O316" s="168" t="s">
        <v>265</v>
      </c>
    </row>
    <row r="317" spans="1:15" x14ac:dyDescent="0.3">
      <c r="A317" s="115" t="s">
        <v>1223</v>
      </c>
      <c r="B317" s="116" t="s">
        <v>16</v>
      </c>
      <c r="C317" s="117" t="s">
        <v>250</v>
      </c>
      <c r="D317" s="117" t="s">
        <v>39</v>
      </c>
      <c r="E317" s="117" t="s">
        <v>45</v>
      </c>
      <c r="F317" s="117" t="s">
        <v>46</v>
      </c>
      <c r="G317" s="117" t="s">
        <v>35</v>
      </c>
      <c r="H317" s="118">
        <v>45521</v>
      </c>
      <c r="I317" s="135">
        <v>26</v>
      </c>
      <c r="J317" s="140">
        <v>990</v>
      </c>
      <c r="K317" s="148">
        <v>0</v>
      </c>
      <c r="L317" s="166" t="s">
        <v>36</v>
      </c>
      <c r="M317" s="156">
        <v>25740</v>
      </c>
      <c r="N317" s="156">
        <v>25740</v>
      </c>
      <c r="O317" s="169" t="s">
        <v>265</v>
      </c>
    </row>
    <row r="318" spans="1:15" x14ac:dyDescent="0.3">
      <c r="A318" s="111" t="s">
        <v>1224</v>
      </c>
      <c r="B318" s="112" t="s">
        <v>25</v>
      </c>
      <c r="C318" s="113" t="s">
        <v>257</v>
      </c>
      <c r="D318" s="113" t="s">
        <v>26</v>
      </c>
      <c r="E318" s="113" t="s">
        <v>45</v>
      </c>
      <c r="F318" s="113" t="s">
        <v>46</v>
      </c>
      <c r="G318" s="113" t="s">
        <v>53</v>
      </c>
      <c r="H318" s="114">
        <v>45523</v>
      </c>
      <c r="I318" s="134">
        <v>135</v>
      </c>
      <c r="J318" s="139">
        <v>350</v>
      </c>
      <c r="K318" s="147">
        <v>0.1</v>
      </c>
      <c r="L318" s="165" t="s">
        <v>36</v>
      </c>
      <c r="M318" s="155">
        <v>47250</v>
      </c>
      <c r="N318" s="155">
        <v>42525</v>
      </c>
      <c r="O318" s="168" t="s">
        <v>265</v>
      </c>
    </row>
    <row r="319" spans="1:15" x14ac:dyDescent="0.3">
      <c r="A319" s="115" t="s">
        <v>1225</v>
      </c>
      <c r="B319" s="116" t="s">
        <v>49</v>
      </c>
      <c r="C319" s="117" t="s">
        <v>251</v>
      </c>
      <c r="D319" s="117" t="s">
        <v>50</v>
      </c>
      <c r="E319" s="117" t="s">
        <v>45</v>
      </c>
      <c r="F319" s="117" t="s">
        <v>28</v>
      </c>
      <c r="G319" s="117" t="s">
        <v>35</v>
      </c>
      <c r="H319" s="118">
        <v>45518</v>
      </c>
      <c r="I319" s="135">
        <v>134</v>
      </c>
      <c r="J319" s="140">
        <v>895</v>
      </c>
      <c r="K319" s="148">
        <v>0.13</v>
      </c>
      <c r="L319" s="166" t="s">
        <v>36</v>
      </c>
      <c r="M319" s="156">
        <v>119930</v>
      </c>
      <c r="N319" s="156">
        <v>104339.1</v>
      </c>
      <c r="O319" s="169" t="s">
        <v>267</v>
      </c>
    </row>
    <row r="320" spans="1:15" x14ac:dyDescent="0.3">
      <c r="A320" s="111" t="s">
        <v>1226</v>
      </c>
      <c r="B320" s="112" t="s">
        <v>58</v>
      </c>
      <c r="C320" s="113" t="s">
        <v>255</v>
      </c>
      <c r="D320" s="113" t="s">
        <v>59</v>
      </c>
      <c r="E320" s="113" t="s">
        <v>27</v>
      </c>
      <c r="F320" s="113" t="s">
        <v>46</v>
      </c>
      <c r="G320" s="113" t="s">
        <v>35</v>
      </c>
      <c r="H320" s="114">
        <v>45511</v>
      </c>
      <c r="I320" s="134">
        <v>92</v>
      </c>
      <c r="J320" s="139">
        <v>2800</v>
      </c>
      <c r="K320" s="147">
        <v>0.12</v>
      </c>
      <c r="L320" s="165" t="s">
        <v>30</v>
      </c>
      <c r="M320" s="155">
        <v>257600</v>
      </c>
      <c r="N320" s="155">
        <v>226688</v>
      </c>
      <c r="O320" s="168" t="s">
        <v>267</v>
      </c>
    </row>
    <row r="321" spans="1:15" x14ac:dyDescent="0.3">
      <c r="A321" s="115" t="s">
        <v>1227</v>
      </c>
      <c r="B321" s="116" t="s">
        <v>44</v>
      </c>
      <c r="C321" s="117" t="s">
        <v>254</v>
      </c>
      <c r="D321" s="117" t="s">
        <v>39</v>
      </c>
      <c r="E321" s="117" t="s">
        <v>51</v>
      </c>
      <c r="F321" s="117" t="s">
        <v>46</v>
      </c>
      <c r="G321" s="117" t="s">
        <v>47</v>
      </c>
      <c r="H321" s="118">
        <v>45519</v>
      </c>
      <c r="I321" s="135">
        <v>79</v>
      </c>
      <c r="J321" s="140">
        <v>200</v>
      </c>
      <c r="K321" s="148">
        <v>7.0000000000000007E-2</v>
      </c>
      <c r="L321" s="166" t="s">
        <v>36</v>
      </c>
      <c r="M321" s="156">
        <v>15800</v>
      </c>
      <c r="N321" s="156">
        <v>14694</v>
      </c>
      <c r="O321" s="169" t="s">
        <v>265</v>
      </c>
    </row>
    <row r="322" spans="1:15" x14ac:dyDescent="0.3">
      <c r="A322" s="111" t="s">
        <v>1228</v>
      </c>
      <c r="B322" s="112" t="s">
        <v>38</v>
      </c>
      <c r="C322" s="113" t="s">
        <v>247</v>
      </c>
      <c r="D322" s="113" t="s">
        <v>39</v>
      </c>
      <c r="E322" s="113" t="s">
        <v>27</v>
      </c>
      <c r="F322" s="113" t="s">
        <v>34</v>
      </c>
      <c r="G322" s="113" t="s">
        <v>35</v>
      </c>
      <c r="H322" s="114">
        <v>45521</v>
      </c>
      <c r="I322" s="134">
        <v>104</v>
      </c>
      <c r="J322" s="139">
        <v>1200</v>
      </c>
      <c r="K322" s="147">
        <v>0</v>
      </c>
      <c r="L322" s="165" t="s">
        <v>36</v>
      </c>
      <c r="M322" s="155">
        <v>124800</v>
      </c>
      <c r="N322" s="155">
        <v>124800</v>
      </c>
      <c r="O322" s="168" t="s">
        <v>267</v>
      </c>
    </row>
    <row r="323" spans="1:15" x14ac:dyDescent="0.3">
      <c r="A323" s="115" t="s">
        <v>1229</v>
      </c>
      <c r="B323" s="116" t="s">
        <v>38</v>
      </c>
      <c r="C323" s="117" t="s">
        <v>247</v>
      </c>
      <c r="D323" s="117" t="s">
        <v>39</v>
      </c>
      <c r="E323" s="117" t="s">
        <v>45</v>
      </c>
      <c r="F323" s="117" t="s">
        <v>41</v>
      </c>
      <c r="G323" s="117" t="s">
        <v>47</v>
      </c>
      <c r="H323" s="118">
        <v>45519</v>
      </c>
      <c r="I323" s="135">
        <v>35</v>
      </c>
      <c r="J323" s="140">
        <v>1200</v>
      </c>
      <c r="K323" s="148">
        <v>0.12</v>
      </c>
      <c r="L323" s="166" t="s">
        <v>30</v>
      </c>
      <c r="M323" s="156">
        <v>42000</v>
      </c>
      <c r="N323" s="156">
        <v>36960</v>
      </c>
      <c r="O323" s="169" t="s">
        <v>265</v>
      </c>
    </row>
    <row r="324" spans="1:15" x14ac:dyDescent="0.3">
      <c r="A324" s="111" t="s">
        <v>1230</v>
      </c>
      <c r="B324" s="112" t="s">
        <v>38</v>
      </c>
      <c r="C324" s="113" t="s">
        <v>247</v>
      </c>
      <c r="D324" s="113" t="s">
        <v>39</v>
      </c>
      <c r="E324" s="113" t="s">
        <v>27</v>
      </c>
      <c r="F324" s="113" t="s">
        <v>46</v>
      </c>
      <c r="G324" s="113" t="s">
        <v>56</v>
      </c>
      <c r="H324" s="114">
        <v>45523</v>
      </c>
      <c r="I324" s="134">
        <v>53</v>
      </c>
      <c r="J324" s="139">
        <v>1200</v>
      </c>
      <c r="K324" s="147">
        <v>0.14000000000000001</v>
      </c>
      <c r="L324" s="165" t="s">
        <v>36</v>
      </c>
      <c r="M324" s="155">
        <v>63600</v>
      </c>
      <c r="N324" s="155">
        <v>54696</v>
      </c>
      <c r="O324" s="168" t="s">
        <v>265</v>
      </c>
    </row>
    <row r="325" spans="1:15" x14ac:dyDescent="0.3">
      <c r="A325" s="115" t="s">
        <v>1231</v>
      </c>
      <c r="B325" s="116" t="s">
        <v>25</v>
      </c>
      <c r="C325" s="117" t="s">
        <v>257</v>
      </c>
      <c r="D325" s="117" t="s">
        <v>26</v>
      </c>
      <c r="E325" s="117" t="s">
        <v>33</v>
      </c>
      <c r="F325" s="117" t="s">
        <v>41</v>
      </c>
      <c r="G325" s="117" t="s">
        <v>47</v>
      </c>
      <c r="H325" s="118">
        <v>45535</v>
      </c>
      <c r="I325" s="135">
        <v>156</v>
      </c>
      <c r="J325" s="140">
        <v>350</v>
      </c>
      <c r="K325" s="148">
        <v>0</v>
      </c>
      <c r="L325" s="166" t="s">
        <v>30</v>
      </c>
      <c r="M325" s="156">
        <v>54600</v>
      </c>
      <c r="N325" s="156">
        <v>54600</v>
      </c>
      <c r="O325" s="169" t="s">
        <v>265</v>
      </c>
    </row>
    <row r="326" spans="1:15" x14ac:dyDescent="0.3">
      <c r="A326" s="111" t="s">
        <v>1232</v>
      </c>
      <c r="B326" s="112" t="s">
        <v>58</v>
      </c>
      <c r="C326" s="113" t="s">
        <v>255</v>
      </c>
      <c r="D326" s="113" t="s">
        <v>59</v>
      </c>
      <c r="E326" s="113" t="s">
        <v>33</v>
      </c>
      <c r="F326" s="113" t="s">
        <v>41</v>
      </c>
      <c r="G326" s="113" t="s">
        <v>29</v>
      </c>
      <c r="H326" s="114">
        <v>45527</v>
      </c>
      <c r="I326" s="134">
        <v>73</v>
      </c>
      <c r="J326" s="139">
        <v>2800</v>
      </c>
      <c r="K326" s="147">
        <v>0.08</v>
      </c>
      <c r="L326" s="165" t="s">
        <v>36</v>
      </c>
      <c r="M326" s="155">
        <v>204400</v>
      </c>
      <c r="N326" s="155">
        <v>188048</v>
      </c>
      <c r="O326" s="168" t="s">
        <v>267</v>
      </c>
    </row>
    <row r="327" spans="1:15" x14ac:dyDescent="0.3">
      <c r="A327" s="115" t="s">
        <v>1233</v>
      </c>
      <c r="B327" s="116" t="s">
        <v>55</v>
      </c>
      <c r="C327" s="117" t="s">
        <v>249</v>
      </c>
      <c r="D327" s="117" t="s">
        <v>39</v>
      </c>
      <c r="E327" s="117" t="s">
        <v>51</v>
      </c>
      <c r="F327" s="117" t="s">
        <v>46</v>
      </c>
      <c r="G327" s="117" t="s">
        <v>29</v>
      </c>
      <c r="H327" s="118">
        <v>45513</v>
      </c>
      <c r="I327" s="135">
        <v>41</v>
      </c>
      <c r="J327" s="140">
        <v>650</v>
      </c>
      <c r="K327" s="148">
        <v>0</v>
      </c>
      <c r="L327" s="166" t="s">
        <v>36</v>
      </c>
      <c r="M327" s="156">
        <v>26650</v>
      </c>
      <c r="N327" s="156">
        <v>26650</v>
      </c>
      <c r="O327" s="169" t="s">
        <v>265</v>
      </c>
    </row>
    <row r="328" spans="1:15" x14ac:dyDescent="0.3">
      <c r="A328" s="111" t="s">
        <v>1234</v>
      </c>
      <c r="B328" s="112" t="s">
        <v>25</v>
      </c>
      <c r="C328" s="113" t="s">
        <v>257</v>
      </c>
      <c r="D328" s="113" t="s">
        <v>26</v>
      </c>
      <c r="E328" s="113" t="s">
        <v>45</v>
      </c>
      <c r="F328" s="113" t="s">
        <v>28</v>
      </c>
      <c r="G328" s="113" t="s">
        <v>53</v>
      </c>
      <c r="H328" s="114">
        <v>45505</v>
      </c>
      <c r="I328" s="134">
        <v>56</v>
      </c>
      <c r="J328" s="139">
        <v>350</v>
      </c>
      <c r="K328" s="147">
        <v>0.12</v>
      </c>
      <c r="L328" s="165" t="s">
        <v>36</v>
      </c>
      <c r="M328" s="155">
        <v>19600</v>
      </c>
      <c r="N328" s="155">
        <v>17248</v>
      </c>
      <c r="O328" s="168" t="s">
        <v>265</v>
      </c>
    </row>
    <row r="329" spans="1:15" x14ac:dyDescent="0.3">
      <c r="A329" s="115" t="s">
        <v>1235</v>
      </c>
      <c r="B329" s="116" t="s">
        <v>63</v>
      </c>
      <c r="C329" s="117" t="s">
        <v>253</v>
      </c>
      <c r="D329" s="117" t="s">
        <v>50</v>
      </c>
      <c r="E329" s="117" t="s">
        <v>45</v>
      </c>
      <c r="F329" s="117" t="s">
        <v>28</v>
      </c>
      <c r="G329" s="117" t="s">
        <v>56</v>
      </c>
      <c r="H329" s="118">
        <v>45522</v>
      </c>
      <c r="I329" s="135">
        <v>66</v>
      </c>
      <c r="J329" s="140">
        <v>750</v>
      </c>
      <c r="K329" s="148">
        <v>0</v>
      </c>
      <c r="L329" s="166" t="s">
        <v>30</v>
      </c>
      <c r="M329" s="156">
        <v>49500</v>
      </c>
      <c r="N329" s="156">
        <v>49500</v>
      </c>
      <c r="O329" s="169" t="s">
        <v>265</v>
      </c>
    </row>
    <row r="330" spans="1:15" x14ac:dyDescent="0.3">
      <c r="A330" s="111" t="s">
        <v>1236</v>
      </c>
      <c r="B330" s="112" t="s">
        <v>55</v>
      </c>
      <c r="C330" s="113" t="s">
        <v>249</v>
      </c>
      <c r="D330" s="113" t="s">
        <v>39</v>
      </c>
      <c r="E330" s="113" t="s">
        <v>33</v>
      </c>
      <c r="F330" s="113" t="s">
        <v>34</v>
      </c>
      <c r="G330" s="113" t="s">
        <v>47</v>
      </c>
      <c r="H330" s="114">
        <v>45510</v>
      </c>
      <c r="I330" s="134">
        <v>51</v>
      </c>
      <c r="J330" s="139">
        <v>650</v>
      </c>
      <c r="K330" s="147">
        <v>0</v>
      </c>
      <c r="L330" s="165" t="s">
        <v>36</v>
      </c>
      <c r="M330" s="155">
        <v>33150</v>
      </c>
      <c r="N330" s="155">
        <v>33150</v>
      </c>
      <c r="O330" s="168" t="s">
        <v>265</v>
      </c>
    </row>
    <row r="331" spans="1:15" x14ac:dyDescent="0.3">
      <c r="A331" s="115" t="s">
        <v>1237</v>
      </c>
      <c r="B331" s="116" t="s">
        <v>58</v>
      </c>
      <c r="C331" s="117" t="s">
        <v>255</v>
      </c>
      <c r="D331" s="117" t="s">
        <v>59</v>
      </c>
      <c r="E331" s="117" t="s">
        <v>45</v>
      </c>
      <c r="F331" s="117" t="s">
        <v>34</v>
      </c>
      <c r="G331" s="117" t="s">
        <v>42</v>
      </c>
      <c r="H331" s="118">
        <v>45533</v>
      </c>
      <c r="I331" s="135">
        <v>75</v>
      </c>
      <c r="J331" s="140">
        <v>2800</v>
      </c>
      <c r="K331" s="148">
        <v>0.11</v>
      </c>
      <c r="L331" s="166" t="s">
        <v>36</v>
      </c>
      <c r="M331" s="156">
        <v>210000</v>
      </c>
      <c r="N331" s="156">
        <v>186900</v>
      </c>
      <c r="O331" s="169" t="s">
        <v>267</v>
      </c>
    </row>
    <row r="332" spans="1:15" x14ac:dyDescent="0.3">
      <c r="A332" s="111" t="s">
        <v>1238</v>
      </c>
      <c r="B332" s="112" t="s">
        <v>58</v>
      </c>
      <c r="C332" s="113" t="s">
        <v>255</v>
      </c>
      <c r="D332" s="113" t="s">
        <v>59</v>
      </c>
      <c r="E332" s="113" t="s">
        <v>33</v>
      </c>
      <c r="F332" s="113" t="s">
        <v>41</v>
      </c>
      <c r="G332" s="113" t="s">
        <v>47</v>
      </c>
      <c r="H332" s="114">
        <v>45533</v>
      </c>
      <c r="I332" s="134">
        <v>50</v>
      </c>
      <c r="J332" s="139">
        <v>2800</v>
      </c>
      <c r="K332" s="147">
        <v>0</v>
      </c>
      <c r="L332" s="165" t="s">
        <v>36</v>
      </c>
      <c r="M332" s="155">
        <v>140000</v>
      </c>
      <c r="N332" s="155">
        <v>140000</v>
      </c>
      <c r="O332" s="168" t="s">
        <v>267</v>
      </c>
    </row>
    <row r="333" spans="1:15" x14ac:dyDescent="0.3">
      <c r="A333" s="115" t="s">
        <v>1239</v>
      </c>
      <c r="B333" s="116" t="s">
        <v>38</v>
      </c>
      <c r="C333" s="117" t="s">
        <v>247</v>
      </c>
      <c r="D333" s="117" t="s">
        <v>39</v>
      </c>
      <c r="E333" s="117" t="s">
        <v>51</v>
      </c>
      <c r="F333" s="117" t="s">
        <v>46</v>
      </c>
      <c r="G333" s="117" t="s">
        <v>53</v>
      </c>
      <c r="H333" s="118">
        <v>45516</v>
      </c>
      <c r="I333" s="135">
        <v>46</v>
      </c>
      <c r="J333" s="140">
        <v>1200</v>
      </c>
      <c r="K333" s="148">
        <v>0.08</v>
      </c>
      <c r="L333" s="166" t="s">
        <v>36</v>
      </c>
      <c r="M333" s="156">
        <v>55200</v>
      </c>
      <c r="N333" s="156">
        <v>50784</v>
      </c>
      <c r="O333" s="169" t="s">
        <v>265</v>
      </c>
    </row>
    <row r="334" spans="1:15" x14ac:dyDescent="0.3">
      <c r="A334" s="111" t="s">
        <v>1240</v>
      </c>
      <c r="B334" s="112" t="s">
        <v>63</v>
      </c>
      <c r="C334" s="113" t="s">
        <v>253</v>
      </c>
      <c r="D334" s="113" t="s">
        <v>50</v>
      </c>
      <c r="E334" s="113" t="s">
        <v>27</v>
      </c>
      <c r="F334" s="113" t="s">
        <v>34</v>
      </c>
      <c r="G334" s="113" t="s">
        <v>53</v>
      </c>
      <c r="H334" s="114">
        <v>45530</v>
      </c>
      <c r="I334" s="134">
        <v>136</v>
      </c>
      <c r="J334" s="139">
        <v>750</v>
      </c>
      <c r="K334" s="147">
        <v>0.15</v>
      </c>
      <c r="L334" s="165" t="s">
        <v>36</v>
      </c>
      <c r="M334" s="155">
        <v>102000</v>
      </c>
      <c r="N334" s="155">
        <v>86700</v>
      </c>
      <c r="O334" s="168" t="s">
        <v>265</v>
      </c>
    </row>
    <row r="335" spans="1:15" x14ac:dyDescent="0.3">
      <c r="A335" s="115" t="s">
        <v>1241</v>
      </c>
      <c r="B335" s="116" t="s">
        <v>55</v>
      </c>
      <c r="C335" s="117" t="s">
        <v>249</v>
      </c>
      <c r="D335" s="117" t="s">
        <v>39</v>
      </c>
      <c r="E335" s="117" t="s">
        <v>45</v>
      </c>
      <c r="F335" s="117" t="s">
        <v>28</v>
      </c>
      <c r="G335" s="117" t="s">
        <v>29</v>
      </c>
      <c r="H335" s="118">
        <v>45530</v>
      </c>
      <c r="I335" s="135">
        <v>174</v>
      </c>
      <c r="J335" s="140">
        <v>650</v>
      </c>
      <c r="K335" s="148">
        <v>0.15</v>
      </c>
      <c r="L335" s="166" t="s">
        <v>36</v>
      </c>
      <c r="M335" s="156">
        <v>113100</v>
      </c>
      <c r="N335" s="156">
        <v>96135</v>
      </c>
      <c r="O335" s="169" t="s">
        <v>265</v>
      </c>
    </row>
    <row r="336" spans="1:15" x14ac:dyDescent="0.3">
      <c r="A336" s="111" t="s">
        <v>1242</v>
      </c>
      <c r="B336" s="112" t="s">
        <v>58</v>
      </c>
      <c r="C336" s="113" t="s">
        <v>255</v>
      </c>
      <c r="D336" s="113" t="s">
        <v>59</v>
      </c>
      <c r="E336" s="113" t="s">
        <v>33</v>
      </c>
      <c r="F336" s="113" t="s">
        <v>28</v>
      </c>
      <c r="G336" s="113" t="s">
        <v>53</v>
      </c>
      <c r="H336" s="114">
        <v>45519</v>
      </c>
      <c r="I336" s="134">
        <v>80</v>
      </c>
      <c r="J336" s="139">
        <v>2800</v>
      </c>
      <c r="K336" s="147">
        <v>0.05</v>
      </c>
      <c r="L336" s="165" t="s">
        <v>36</v>
      </c>
      <c r="M336" s="155">
        <v>224000</v>
      </c>
      <c r="N336" s="155">
        <v>212800</v>
      </c>
      <c r="O336" s="168" t="s">
        <v>267</v>
      </c>
    </row>
    <row r="337" spans="1:15" x14ac:dyDescent="0.3">
      <c r="A337" s="115" t="s">
        <v>1243</v>
      </c>
      <c r="B337" s="116" t="s">
        <v>25</v>
      </c>
      <c r="C337" s="117" t="s">
        <v>257</v>
      </c>
      <c r="D337" s="117" t="s">
        <v>26</v>
      </c>
      <c r="E337" s="117" t="s">
        <v>40</v>
      </c>
      <c r="F337" s="117" t="s">
        <v>46</v>
      </c>
      <c r="G337" s="117" t="s">
        <v>35</v>
      </c>
      <c r="H337" s="118">
        <v>45514</v>
      </c>
      <c r="I337" s="135">
        <v>130</v>
      </c>
      <c r="J337" s="140">
        <v>350</v>
      </c>
      <c r="K337" s="148">
        <v>0.15</v>
      </c>
      <c r="L337" s="166" t="s">
        <v>36</v>
      </c>
      <c r="M337" s="156">
        <v>45500</v>
      </c>
      <c r="N337" s="156">
        <v>38675</v>
      </c>
      <c r="O337" s="169" t="s">
        <v>265</v>
      </c>
    </row>
    <row r="338" spans="1:15" x14ac:dyDescent="0.3">
      <c r="A338" s="111" t="s">
        <v>1244</v>
      </c>
      <c r="B338" s="112" t="s">
        <v>61</v>
      </c>
      <c r="C338" s="113" t="s">
        <v>244</v>
      </c>
      <c r="D338" s="113" t="s">
        <v>26</v>
      </c>
      <c r="E338" s="113" t="s">
        <v>33</v>
      </c>
      <c r="F338" s="113" t="s">
        <v>41</v>
      </c>
      <c r="G338" s="113" t="s">
        <v>56</v>
      </c>
      <c r="H338" s="114">
        <v>45509</v>
      </c>
      <c r="I338" s="134">
        <v>155</v>
      </c>
      <c r="J338" s="139">
        <v>280</v>
      </c>
      <c r="K338" s="147">
        <v>0.14000000000000001</v>
      </c>
      <c r="L338" s="165" t="s">
        <v>30</v>
      </c>
      <c r="M338" s="155">
        <v>43400</v>
      </c>
      <c r="N338" s="155">
        <v>37324</v>
      </c>
      <c r="O338" s="168" t="s">
        <v>265</v>
      </c>
    </row>
    <row r="339" spans="1:15" x14ac:dyDescent="0.3">
      <c r="A339" s="115" t="s">
        <v>1245</v>
      </c>
      <c r="B339" s="116" t="s">
        <v>16</v>
      </c>
      <c r="C339" s="117" t="s">
        <v>250</v>
      </c>
      <c r="D339" s="117" t="s">
        <v>39</v>
      </c>
      <c r="E339" s="117" t="s">
        <v>27</v>
      </c>
      <c r="F339" s="117" t="s">
        <v>34</v>
      </c>
      <c r="G339" s="117" t="s">
        <v>53</v>
      </c>
      <c r="H339" s="118">
        <v>45505</v>
      </c>
      <c r="I339" s="135">
        <v>141</v>
      </c>
      <c r="J339" s="140">
        <v>990</v>
      </c>
      <c r="K339" s="148">
        <v>0.13</v>
      </c>
      <c r="L339" s="166" t="s">
        <v>36</v>
      </c>
      <c r="M339" s="156">
        <v>139590</v>
      </c>
      <c r="N339" s="156">
        <v>121443.3</v>
      </c>
      <c r="O339" s="169" t="s">
        <v>267</v>
      </c>
    </row>
    <row r="340" spans="1:15" x14ac:dyDescent="0.3">
      <c r="A340" s="111" t="s">
        <v>1246</v>
      </c>
      <c r="B340" s="112" t="s">
        <v>32</v>
      </c>
      <c r="C340" s="113" t="s">
        <v>246</v>
      </c>
      <c r="D340" s="113" t="s">
        <v>26</v>
      </c>
      <c r="E340" s="113" t="s">
        <v>40</v>
      </c>
      <c r="F340" s="113" t="s">
        <v>46</v>
      </c>
      <c r="G340" s="113" t="s">
        <v>53</v>
      </c>
      <c r="H340" s="114">
        <v>45507</v>
      </c>
      <c r="I340" s="134">
        <v>186</v>
      </c>
      <c r="J340" s="139">
        <v>420</v>
      </c>
      <c r="K340" s="147">
        <v>0.11</v>
      </c>
      <c r="L340" s="165" t="s">
        <v>30</v>
      </c>
      <c r="M340" s="155">
        <v>78120</v>
      </c>
      <c r="N340" s="155">
        <v>69526.8</v>
      </c>
      <c r="O340" s="168" t="s">
        <v>265</v>
      </c>
    </row>
    <row r="341" spans="1:15" x14ac:dyDescent="0.3">
      <c r="A341" s="115" t="s">
        <v>1247</v>
      </c>
      <c r="B341" s="116" t="s">
        <v>61</v>
      </c>
      <c r="C341" s="117" t="s">
        <v>244</v>
      </c>
      <c r="D341" s="117" t="s">
        <v>26</v>
      </c>
      <c r="E341" s="117" t="s">
        <v>33</v>
      </c>
      <c r="F341" s="117" t="s">
        <v>28</v>
      </c>
      <c r="G341" s="117" t="s">
        <v>29</v>
      </c>
      <c r="H341" s="118">
        <v>45522</v>
      </c>
      <c r="I341" s="135">
        <v>137</v>
      </c>
      <c r="J341" s="140">
        <v>280</v>
      </c>
      <c r="K341" s="148">
        <v>0.15</v>
      </c>
      <c r="L341" s="166" t="s">
        <v>36</v>
      </c>
      <c r="M341" s="156">
        <v>38360</v>
      </c>
      <c r="N341" s="156">
        <v>32606</v>
      </c>
      <c r="O341" s="169" t="s">
        <v>265</v>
      </c>
    </row>
    <row r="342" spans="1:15" x14ac:dyDescent="0.3">
      <c r="A342" s="111" t="s">
        <v>1248</v>
      </c>
      <c r="B342" s="112" t="s">
        <v>16</v>
      </c>
      <c r="C342" s="113" t="s">
        <v>250</v>
      </c>
      <c r="D342" s="113" t="s">
        <v>39</v>
      </c>
      <c r="E342" s="113" t="s">
        <v>51</v>
      </c>
      <c r="F342" s="113" t="s">
        <v>34</v>
      </c>
      <c r="G342" s="113" t="s">
        <v>42</v>
      </c>
      <c r="H342" s="114">
        <v>45535</v>
      </c>
      <c r="I342" s="134">
        <v>118</v>
      </c>
      <c r="J342" s="139">
        <v>990</v>
      </c>
      <c r="K342" s="147">
        <v>0.12</v>
      </c>
      <c r="L342" s="165" t="s">
        <v>36</v>
      </c>
      <c r="M342" s="155">
        <v>116820</v>
      </c>
      <c r="N342" s="155">
        <v>102801.60000000001</v>
      </c>
      <c r="O342" s="168" t="s">
        <v>267</v>
      </c>
    </row>
    <row r="343" spans="1:15" x14ac:dyDescent="0.3">
      <c r="A343" s="115" t="s">
        <v>1249</v>
      </c>
      <c r="B343" s="116" t="s">
        <v>49</v>
      </c>
      <c r="C343" s="117" t="s">
        <v>251</v>
      </c>
      <c r="D343" s="117" t="s">
        <v>50</v>
      </c>
      <c r="E343" s="117" t="s">
        <v>27</v>
      </c>
      <c r="F343" s="117" t="s">
        <v>52</v>
      </c>
      <c r="G343" s="117" t="s">
        <v>42</v>
      </c>
      <c r="H343" s="118">
        <v>45515</v>
      </c>
      <c r="I343" s="135">
        <v>77</v>
      </c>
      <c r="J343" s="140">
        <v>895</v>
      </c>
      <c r="K343" s="148">
        <v>0.12</v>
      </c>
      <c r="L343" s="166" t="s">
        <v>36</v>
      </c>
      <c r="M343" s="156">
        <v>68915</v>
      </c>
      <c r="N343" s="156">
        <v>60645.2</v>
      </c>
      <c r="O343" s="169" t="s">
        <v>265</v>
      </c>
    </row>
    <row r="344" spans="1:15" x14ac:dyDescent="0.3">
      <c r="A344" s="111" t="s">
        <v>1250</v>
      </c>
      <c r="B344" s="112" t="s">
        <v>16</v>
      </c>
      <c r="C344" s="113" t="s">
        <v>250</v>
      </c>
      <c r="D344" s="113" t="s">
        <v>39</v>
      </c>
      <c r="E344" s="113" t="s">
        <v>51</v>
      </c>
      <c r="F344" s="113" t="s">
        <v>46</v>
      </c>
      <c r="G344" s="113" t="s">
        <v>42</v>
      </c>
      <c r="H344" s="114">
        <v>45523</v>
      </c>
      <c r="I344" s="134">
        <v>35</v>
      </c>
      <c r="J344" s="139">
        <v>990</v>
      </c>
      <c r="K344" s="147">
        <v>7.0000000000000007E-2</v>
      </c>
      <c r="L344" s="165" t="s">
        <v>36</v>
      </c>
      <c r="M344" s="155">
        <v>34650</v>
      </c>
      <c r="N344" s="155">
        <v>32224.5</v>
      </c>
      <c r="O344" s="168" t="s">
        <v>265</v>
      </c>
    </row>
    <row r="345" spans="1:15" x14ac:dyDescent="0.3">
      <c r="A345" s="115" t="s">
        <v>1251</v>
      </c>
      <c r="B345" s="116" t="s">
        <v>61</v>
      </c>
      <c r="C345" s="117" t="s">
        <v>244</v>
      </c>
      <c r="D345" s="117" t="s">
        <v>26</v>
      </c>
      <c r="E345" s="117" t="s">
        <v>40</v>
      </c>
      <c r="F345" s="117" t="s">
        <v>52</v>
      </c>
      <c r="G345" s="117" t="s">
        <v>47</v>
      </c>
      <c r="H345" s="118">
        <v>45514</v>
      </c>
      <c r="I345" s="135">
        <v>85</v>
      </c>
      <c r="J345" s="140">
        <v>280</v>
      </c>
      <c r="K345" s="148">
        <v>0.13</v>
      </c>
      <c r="L345" s="166" t="s">
        <v>30</v>
      </c>
      <c r="M345" s="156">
        <v>23800</v>
      </c>
      <c r="N345" s="156">
        <v>20706</v>
      </c>
      <c r="O345" s="169" t="s">
        <v>265</v>
      </c>
    </row>
    <row r="346" spans="1:15" x14ac:dyDescent="0.3">
      <c r="A346" s="111" t="s">
        <v>1252</v>
      </c>
      <c r="B346" s="112" t="s">
        <v>44</v>
      </c>
      <c r="C346" s="113" t="s">
        <v>254</v>
      </c>
      <c r="D346" s="113" t="s">
        <v>39</v>
      </c>
      <c r="E346" s="113" t="s">
        <v>40</v>
      </c>
      <c r="F346" s="113" t="s">
        <v>34</v>
      </c>
      <c r="G346" s="113" t="s">
        <v>29</v>
      </c>
      <c r="H346" s="114">
        <v>45534</v>
      </c>
      <c r="I346" s="134">
        <v>174</v>
      </c>
      <c r="J346" s="139">
        <v>200</v>
      </c>
      <c r="K346" s="147">
        <v>0.08</v>
      </c>
      <c r="L346" s="165" t="s">
        <v>36</v>
      </c>
      <c r="M346" s="155">
        <v>34800</v>
      </c>
      <c r="N346" s="155">
        <v>32016</v>
      </c>
      <c r="O346" s="168" t="s">
        <v>265</v>
      </c>
    </row>
    <row r="347" spans="1:15" x14ac:dyDescent="0.3">
      <c r="A347" s="115" t="s">
        <v>1253</v>
      </c>
      <c r="B347" s="116" t="s">
        <v>32</v>
      </c>
      <c r="C347" s="117" t="s">
        <v>246</v>
      </c>
      <c r="D347" s="117" t="s">
        <v>26</v>
      </c>
      <c r="E347" s="117" t="s">
        <v>33</v>
      </c>
      <c r="F347" s="117" t="s">
        <v>52</v>
      </c>
      <c r="G347" s="117" t="s">
        <v>29</v>
      </c>
      <c r="H347" s="118">
        <v>45527</v>
      </c>
      <c r="I347" s="135">
        <v>86</v>
      </c>
      <c r="J347" s="140">
        <v>420</v>
      </c>
      <c r="K347" s="148">
        <v>0.03</v>
      </c>
      <c r="L347" s="166" t="s">
        <v>36</v>
      </c>
      <c r="M347" s="156">
        <v>36120</v>
      </c>
      <c r="N347" s="156">
        <v>35036.400000000001</v>
      </c>
      <c r="O347" s="169" t="s">
        <v>265</v>
      </c>
    </row>
    <row r="348" spans="1:15" x14ac:dyDescent="0.3">
      <c r="A348" s="111" t="s">
        <v>1254</v>
      </c>
      <c r="B348" s="112" t="s">
        <v>38</v>
      </c>
      <c r="C348" s="113" t="s">
        <v>247</v>
      </c>
      <c r="D348" s="113" t="s">
        <v>39</v>
      </c>
      <c r="E348" s="113" t="s">
        <v>27</v>
      </c>
      <c r="F348" s="113" t="s">
        <v>28</v>
      </c>
      <c r="G348" s="113" t="s">
        <v>53</v>
      </c>
      <c r="H348" s="114">
        <v>45528</v>
      </c>
      <c r="I348" s="134">
        <v>24</v>
      </c>
      <c r="J348" s="139">
        <v>1200</v>
      </c>
      <c r="K348" s="147">
        <v>0.12</v>
      </c>
      <c r="L348" s="165" t="s">
        <v>36</v>
      </c>
      <c r="M348" s="155">
        <v>28800</v>
      </c>
      <c r="N348" s="155">
        <v>25344</v>
      </c>
      <c r="O348" s="168" t="s">
        <v>265</v>
      </c>
    </row>
    <row r="349" spans="1:15" x14ac:dyDescent="0.3">
      <c r="A349" s="115" t="s">
        <v>1255</v>
      </c>
      <c r="B349" s="116" t="s">
        <v>61</v>
      </c>
      <c r="C349" s="117" t="s">
        <v>244</v>
      </c>
      <c r="D349" s="117" t="s">
        <v>26</v>
      </c>
      <c r="E349" s="117" t="s">
        <v>27</v>
      </c>
      <c r="F349" s="117" t="s">
        <v>34</v>
      </c>
      <c r="G349" s="117" t="s">
        <v>35</v>
      </c>
      <c r="H349" s="118">
        <v>45505</v>
      </c>
      <c r="I349" s="135">
        <v>164</v>
      </c>
      <c r="J349" s="140">
        <v>280</v>
      </c>
      <c r="K349" s="148">
        <v>7.0000000000000007E-2</v>
      </c>
      <c r="L349" s="166" t="s">
        <v>36</v>
      </c>
      <c r="M349" s="156">
        <v>45920</v>
      </c>
      <c r="N349" s="156">
        <v>42705.599999999999</v>
      </c>
      <c r="O349" s="169" t="s">
        <v>265</v>
      </c>
    </row>
    <row r="350" spans="1:15" x14ac:dyDescent="0.3">
      <c r="A350" s="111" t="s">
        <v>1256</v>
      </c>
      <c r="B350" s="112" t="s">
        <v>55</v>
      </c>
      <c r="C350" s="113" t="s">
        <v>249</v>
      </c>
      <c r="D350" s="113" t="s">
        <v>39</v>
      </c>
      <c r="E350" s="113" t="s">
        <v>40</v>
      </c>
      <c r="F350" s="113" t="s">
        <v>34</v>
      </c>
      <c r="G350" s="113" t="s">
        <v>42</v>
      </c>
      <c r="H350" s="114">
        <v>45510</v>
      </c>
      <c r="I350" s="134">
        <v>199</v>
      </c>
      <c r="J350" s="139">
        <v>650</v>
      </c>
      <c r="K350" s="147">
        <v>0</v>
      </c>
      <c r="L350" s="165" t="s">
        <v>30</v>
      </c>
      <c r="M350" s="155">
        <v>129350</v>
      </c>
      <c r="N350" s="155">
        <v>129350</v>
      </c>
      <c r="O350" s="168" t="s">
        <v>267</v>
      </c>
    </row>
    <row r="351" spans="1:15" x14ac:dyDescent="0.3">
      <c r="A351" s="115" t="s">
        <v>1257</v>
      </c>
      <c r="B351" s="116" t="s">
        <v>25</v>
      </c>
      <c r="C351" s="117" t="s">
        <v>257</v>
      </c>
      <c r="D351" s="117" t="s">
        <v>26</v>
      </c>
      <c r="E351" s="117" t="s">
        <v>45</v>
      </c>
      <c r="F351" s="117" t="s">
        <v>41</v>
      </c>
      <c r="G351" s="117" t="s">
        <v>29</v>
      </c>
      <c r="H351" s="118">
        <v>45505</v>
      </c>
      <c r="I351" s="135">
        <v>33</v>
      </c>
      <c r="J351" s="140">
        <v>350</v>
      </c>
      <c r="K351" s="148">
        <v>0</v>
      </c>
      <c r="L351" s="166" t="s">
        <v>30</v>
      </c>
      <c r="M351" s="156">
        <v>11550</v>
      </c>
      <c r="N351" s="156">
        <v>11550</v>
      </c>
      <c r="O351" s="169" t="s">
        <v>265</v>
      </c>
    </row>
    <row r="352" spans="1:15" x14ac:dyDescent="0.3">
      <c r="A352" s="111" t="s">
        <v>1258</v>
      </c>
      <c r="B352" s="112" t="s">
        <v>44</v>
      </c>
      <c r="C352" s="113" t="s">
        <v>254</v>
      </c>
      <c r="D352" s="113" t="s">
        <v>39</v>
      </c>
      <c r="E352" s="113" t="s">
        <v>27</v>
      </c>
      <c r="F352" s="113" t="s">
        <v>41</v>
      </c>
      <c r="G352" s="113" t="s">
        <v>47</v>
      </c>
      <c r="H352" s="114">
        <v>45515</v>
      </c>
      <c r="I352" s="134">
        <v>123</v>
      </c>
      <c r="J352" s="139">
        <v>200</v>
      </c>
      <c r="K352" s="147">
        <v>0.15</v>
      </c>
      <c r="L352" s="165" t="s">
        <v>36</v>
      </c>
      <c r="M352" s="155">
        <v>24600</v>
      </c>
      <c r="N352" s="155">
        <v>20910</v>
      </c>
      <c r="O352" s="168" t="s">
        <v>265</v>
      </c>
    </row>
    <row r="353" spans="1:15" x14ac:dyDescent="0.3">
      <c r="A353" s="115" t="s">
        <v>1259</v>
      </c>
      <c r="B353" s="116" t="s">
        <v>61</v>
      </c>
      <c r="C353" s="117" t="s">
        <v>244</v>
      </c>
      <c r="D353" s="117" t="s">
        <v>26</v>
      </c>
      <c r="E353" s="117" t="s">
        <v>40</v>
      </c>
      <c r="F353" s="117" t="s">
        <v>52</v>
      </c>
      <c r="G353" s="117" t="s">
        <v>42</v>
      </c>
      <c r="H353" s="118">
        <v>45508</v>
      </c>
      <c r="I353" s="135">
        <v>133</v>
      </c>
      <c r="J353" s="140">
        <v>280</v>
      </c>
      <c r="K353" s="148">
        <v>0.12</v>
      </c>
      <c r="L353" s="166" t="s">
        <v>30</v>
      </c>
      <c r="M353" s="156">
        <v>37240</v>
      </c>
      <c r="N353" s="156">
        <v>32771.199999999997</v>
      </c>
      <c r="O353" s="169" t="s">
        <v>265</v>
      </c>
    </row>
    <row r="354" spans="1:15" x14ac:dyDescent="0.3">
      <c r="A354" s="111" t="s">
        <v>1260</v>
      </c>
      <c r="B354" s="112" t="s">
        <v>25</v>
      </c>
      <c r="C354" s="113" t="s">
        <v>257</v>
      </c>
      <c r="D354" s="113" t="s">
        <v>26</v>
      </c>
      <c r="E354" s="113" t="s">
        <v>40</v>
      </c>
      <c r="F354" s="113" t="s">
        <v>46</v>
      </c>
      <c r="G354" s="113" t="s">
        <v>53</v>
      </c>
      <c r="H354" s="114">
        <v>45513</v>
      </c>
      <c r="I354" s="134">
        <v>95</v>
      </c>
      <c r="J354" s="139">
        <v>350</v>
      </c>
      <c r="K354" s="147">
        <v>0.1</v>
      </c>
      <c r="L354" s="165" t="s">
        <v>30</v>
      </c>
      <c r="M354" s="155">
        <v>33250</v>
      </c>
      <c r="N354" s="155">
        <v>29925</v>
      </c>
      <c r="O354" s="168" t="s">
        <v>265</v>
      </c>
    </row>
    <row r="355" spans="1:15" x14ac:dyDescent="0.3">
      <c r="A355" s="115" t="s">
        <v>1261</v>
      </c>
      <c r="B355" s="116" t="s">
        <v>25</v>
      </c>
      <c r="C355" s="117" t="s">
        <v>257</v>
      </c>
      <c r="D355" s="117" t="s">
        <v>26</v>
      </c>
      <c r="E355" s="117" t="s">
        <v>40</v>
      </c>
      <c r="F355" s="117" t="s">
        <v>28</v>
      </c>
      <c r="G355" s="117" t="s">
        <v>56</v>
      </c>
      <c r="H355" s="118">
        <v>45534</v>
      </c>
      <c r="I355" s="135">
        <v>100</v>
      </c>
      <c r="J355" s="140">
        <v>350</v>
      </c>
      <c r="K355" s="148">
        <v>0.12</v>
      </c>
      <c r="L355" s="166" t="s">
        <v>36</v>
      </c>
      <c r="M355" s="156">
        <v>35000</v>
      </c>
      <c r="N355" s="156">
        <v>30800</v>
      </c>
      <c r="O355" s="169" t="s">
        <v>265</v>
      </c>
    </row>
    <row r="356" spans="1:15" x14ac:dyDescent="0.3">
      <c r="A356" s="111" t="s">
        <v>1262</v>
      </c>
      <c r="B356" s="112" t="s">
        <v>58</v>
      </c>
      <c r="C356" s="113" t="s">
        <v>255</v>
      </c>
      <c r="D356" s="113" t="s">
        <v>59</v>
      </c>
      <c r="E356" s="113" t="s">
        <v>40</v>
      </c>
      <c r="F356" s="113" t="s">
        <v>41</v>
      </c>
      <c r="G356" s="113" t="s">
        <v>29</v>
      </c>
      <c r="H356" s="114">
        <v>45517</v>
      </c>
      <c r="I356" s="134">
        <v>22</v>
      </c>
      <c r="J356" s="139">
        <v>2800</v>
      </c>
      <c r="K356" s="147">
        <v>0.12</v>
      </c>
      <c r="L356" s="165" t="s">
        <v>36</v>
      </c>
      <c r="M356" s="155">
        <v>61600</v>
      </c>
      <c r="N356" s="155">
        <v>54208</v>
      </c>
      <c r="O356" s="168" t="s">
        <v>265</v>
      </c>
    </row>
    <row r="357" spans="1:15" x14ac:dyDescent="0.3">
      <c r="A357" s="115" t="s">
        <v>1263</v>
      </c>
      <c r="B357" s="116" t="s">
        <v>25</v>
      </c>
      <c r="C357" s="117" t="s">
        <v>257</v>
      </c>
      <c r="D357" s="117" t="s">
        <v>26</v>
      </c>
      <c r="E357" s="117" t="s">
        <v>27</v>
      </c>
      <c r="F357" s="117" t="s">
        <v>28</v>
      </c>
      <c r="G357" s="117" t="s">
        <v>29</v>
      </c>
      <c r="H357" s="118">
        <v>45523</v>
      </c>
      <c r="I357" s="135">
        <v>160</v>
      </c>
      <c r="J357" s="140">
        <v>350</v>
      </c>
      <c r="K357" s="148">
        <v>0.03</v>
      </c>
      <c r="L357" s="166" t="s">
        <v>30</v>
      </c>
      <c r="M357" s="156">
        <v>56000</v>
      </c>
      <c r="N357" s="156">
        <v>54320</v>
      </c>
      <c r="O357" s="169" t="s">
        <v>265</v>
      </c>
    </row>
    <row r="358" spans="1:15" x14ac:dyDescent="0.3">
      <c r="A358" s="111" t="s">
        <v>1264</v>
      </c>
      <c r="B358" s="112" t="s">
        <v>32</v>
      </c>
      <c r="C358" s="113" t="s">
        <v>246</v>
      </c>
      <c r="D358" s="113" t="s">
        <v>26</v>
      </c>
      <c r="E358" s="113" t="s">
        <v>40</v>
      </c>
      <c r="F358" s="113" t="s">
        <v>41</v>
      </c>
      <c r="G358" s="113" t="s">
        <v>53</v>
      </c>
      <c r="H358" s="114">
        <v>45507</v>
      </c>
      <c r="I358" s="134">
        <v>122</v>
      </c>
      <c r="J358" s="139">
        <v>420</v>
      </c>
      <c r="K358" s="147">
        <v>0.08</v>
      </c>
      <c r="L358" s="165" t="s">
        <v>36</v>
      </c>
      <c r="M358" s="155">
        <v>51240</v>
      </c>
      <c r="N358" s="155">
        <v>47140.800000000003</v>
      </c>
      <c r="O358" s="168" t="s">
        <v>265</v>
      </c>
    </row>
    <row r="359" spans="1:15" x14ac:dyDescent="0.3">
      <c r="A359" s="115" t="s">
        <v>1265</v>
      </c>
      <c r="B359" s="116" t="s">
        <v>32</v>
      </c>
      <c r="C359" s="117" t="s">
        <v>246</v>
      </c>
      <c r="D359" s="117" t="s">
        <v>26</v>
      </c>
      <c r="E359" s="117" t="s">
        <v>40</v>
      </c>
      <c r="F359" s="117" t="s">
        <v>28</v>
      </c>
      <c r="G359" s="117" t="s">
        <v>35</v>
      </c>
      <c r="H359" s="118">
        <v>45512</v>
      </c>
      <c r="I359" s="135">
        <v>147</v>
      </c>
      <c r="J359" s="140">
        <v>420</v>
      </c>
      <c r="K359" s="148">
        <v>0</v>
      </c>
      <c r="L359" s="166" t="s">
        <v>30</v>
      </c>
      <c r="M359" s="156">
        <v>61740</v>
      </c>
      <c r="N359" s="156">
        <v>61740</v>
      </c>
      <c r="O359" s="169" t="s">
        <v>265</v>
      </c>
    </row>
    <row r="360" spans="1:15" x14ac:dyDescent="0.3">
      <c r="A360" s="111" t="s">
        <v>1266</v>
      </c>
      <c r="B360" s="112" t="s">
        <v>55</v>
      </c>
      <c r="C360" s="113" t="s">
        <v>249</v>
      </c>
      <c r="D360" s="113" t="s">
        <v>39</v>
      </c>
      <c r="E360" s="113" t="s">
        <v>40</v>
      </c>
      <c r="F360" s="113" t="s">
        <v>41</v>
      </c>
      <c r="G360" s="113" t="s">
        <v>42</v>
      </c>
      <c r="H360" s="114">
        <v>45510</v>
      </c>
      <c r="I360" s="134">
        <v>183</v>
      </c>
      <c r="J360" s="139">
        <v>650</v>
      </c>
      <c r="K360" s="147">
        <v>0.03</v>
      </c>
      <c r="L360" s="165" t="s">
        <v>30</v>
      </c>
      <c r="M360" s="155">
        <v>118950</v>
      </c>
      <c r="N360" s="155">
        <v>115381.5</v>
      </c>
      <c r="O360" s="168" t="s">
        <v>267</v>
      </c>
    </row>
    <row r="361" spans="1:15" x14ac:dyDescent="0.3">
      <c r="A361" s="115" t="s">
        <v>1267</v>
      </c>
      <c r="B361" s="116" t="s">
        <v>55</v>
      </c>
      <c r="C361" s="117" t="s">
        <v>249</v>
      </c>
      <c r="D361" s="117" t="s">
        <v>39</v>
      </c>
      <c r="E361" s="117" t="s">
        <v>40</v>
      </c>
      <c r="F361" s="117" t="s">
        <v>52</v>
      </c>
      <c r="G361" s="117" t="s">
        <v>56</v>
      </c>
      <c r="H361" s="118">
        <v>45519</v>
      </c>
      <c r="I361" s="135">
        <v>175</v>
      </c>
      <c r="J361" s="140">
        <v>650</v>
      </c>
      <c r="K361" s="148">
        <v>0</v>
      </c>
      <c r="L361" s="166" t="s">
        <v>36</v>
      </c>
      <c r="M361" s="156">
        <v>113750</v>
      </c>
      <c r="N361" s="156">
        <v>113750</v>
      </c>
      <c r="O361" s="169" t="s">
        <v>267</v>
      </c>
    </row>
    <row r="362" spans="1:15" x14ac:dyDescent="0.3">
      <c r="A362" s="111" t="s">
        <v>1268</v>
      </c>
      <c r="B362" s="112" t="s">
        <v>63</v>
      </c>
      <c r="C362" s="113" t="s">
        <v>253</v>
      </c>
      <c r="D362" s="113" t="s">
        <v>50</v>
      </c>
      <c r="E362" s="113" t="s">
        <v>45</v>
      </c>
      <c r="F362" s="113" t="s">
        <v>46</v>
      </c>
      <c r="G362" s="113" t="s">
        <v>35</v>
      </c>
      <c r="H362" s="114">
        <v>45522</v>
      </c>
      <c r="I362" s="134">
        <v>104</v>
      </c>
      <c r="J362" s="139">
        <v>750</v>
      </c>
      <c r="K362" s="147">
        <v>0.03</v>
      </c>
      <c r="L362" s="165" t="s">
        <v>36</v>
      </c>
      <c r="M362" s="155">
        <v>78000</v>
      </c>
      <c r="N362" s="155">
        <v>75660</v>
      </c>
      <c r="O362" s="168" t="s">
        <v>265</v>
      </c>
    </row>
    <row r="363" spans="1:15" x14ac:dyDescent="0.3">
      <c r="A363" s="115" t="s">
        <v>1269</v>
      </c>
      <c r="B363" s="116" t="s">
        <v>61</v>
      </c>
      <c r="C363" s="117" t="s">
        <v>244</v>
      </c>
      <c r="D363" s="117" t="s">
        <v>26</v>
      </c>
      <c r="E363" s="117" t="s">
        <v>40</v>
      </c>
      <c r="F363" s="117" t="s">
        <v>34</v>
      </c>
      <c r="G363" s="117" t="s">
        <v>35</v>
      </c>
      <c r="H363" s="118">
        <v>45534</v>
      </c>
      <c r="I363" s="135">
        <v>137</v>
      </c>
      <c r="J363" s="140">
        <v>280</v>
      </c>
      <c r="K363" s="148">
        <v>0.14000000000000001</v>
      </c>
      <c r="L363" s="166" t="s">
        <v>30</v>
      </c>
      <c r="M363" s="156">
        <v>38360</v>
      </c>
      <c r="N363" s="156">
        <v>32989.599999999999</v>
      </c>
      <c r="O363" s="169" t="s">
        <v>265</v>
      </c>
    </row>
    <row r="364" spans="1:15" x14ac:dyDescent="0.3">
      <c r="A364" s="111" t="s">
        <v>1270</v>
      </c>
      <c r="B364" s="112" t="s">
        <v>25</v>
      </c>
      <c r="C364" s="113" t="s">
        <v>257</v>
      </c>
      <c r="D364" s="113" t="s">
        <v>26</v>
      </c>
      <c r="E364" s="113" t="s">
        <v>51</v>
      </c>
      <c r="F364" s="113" t="s">
        <v>28</v>
      </c>
      <c r="G364" s="113" t="s">
        <v>47</v>
      </c>
      <c r="H364" s="114">
        <v>45529</v>
      </c>
      <c r="I364" s="134">
        <v>196</v>
      </c>
      <c r="J364" s="139">
        <v>350</v>
      </c>
      <c r="K364" s="147">
        <v>0.14000000000000001</v>
      </c>
      <c r="L364" s="165" t="s">
        <v>36</v>
      </c>
      <c r="M364" s="155">
        <v>68600</v>
      </c>
      <c r="N364" s="155">
        <v>58996</v>
      </c>
      <c r="O364" s="168" t="s">
        <v>265</v>
      </c>
    </row>
    <row r="365" spans="1:15" x14ac:dyDescent="0.3">
      <c r="A365" s="115" t="s">
        <v>1271</v>
      </c>
      <c r="B365" s="116" t="s">
        <v>44</v>
      </c>
      <c r="C365" s="117" t="s">
        <v>254</v>
      </c>
      <c r="D365" s="117" t="s">
        <v>39</v>
      </c>
      <c r="E365" s="117" t="s">
        <v>40</v>
      </c>
      <c r="F365" s="117" t="s">
        <v>34</v>
      </c>
      <c r="G365" s="117" t="s">
        <v>42</v>
      </c>
      <c r="H365" s="118">
        <v>45521</v>
      </c>
      <c r="I365" s="135">
        <v>126</v>
      </c>
      <c r="J365" s="140">
        <v>200</v>
      </c>
      <c r="K365" s="148">
        <v>0.14000000000000001</v>
      </c>
      <c r="L365" s="166" t="s">
        <v>36</v>
      </c>
      <c r="M365" s="156">
        <v>25200</v>
      </c>
      <c r="N365" s="156">
        <v>21672</v>
      </c>
      <c r="O365" s="169" t="s">
        <v>265</v>
      </c>
    </row>
    <row r="366" spans="1:15" x14ac:dyDescent="0.3">
      <c r="A366" s="111" t="s">
        <v>1272</v>
      </c>
      <c r="B366" s="112" t="s">
        <v>25</v>
      </c>
      <c r="C366" s="113" t="s">
        <v>257</v>
      </c>
      <c r="D366" s="113" t="s">
        <v>26</v>
      </c>
      <c r="E366" s="113" t="s">
        <v>40</v>
      </c>
      <c r="F366" s="113" t="s">
        <v>46</v>
      </c>
      <c r="G366" s="113" t="s">
        <v>56</v>
      </c>
      <c r="H366" s="114">
        <v>45517</v>
      </c>
      <c r="I366" s="134">
        <v>160</v>
      </c>
      <c r="J366" s="139">
        <v>350</v>
      </c>
      <c r="K366" s="147">
        <v>7.0000000000000007E-2</v>
      </c>
      <c r="L366" s="165" t="s">
        <v>30</v>
      </c>
      <c r="M366" s="155">
        <v>56000</v>
      </c>
      <c r="N366" s="155">
        <v>52080</v>
      </c>
      <c r="O366" s="168" t="s">
        <v>265</v>
      </c>
    </row>
    <row r="367" spans="1:15" x14ac:dyDescent="0.3">
      <c r="A367" s="115" t="s">
        <v>1273</v>
      </c>
      <c r="B367" s="116" t="s">
        <v>49</v>
      </c>
      <c r="C367" s="117" t="s">
        <v>251</v>
      </c>
      <c r="D367" s="117" t="s">
        <v>50</v>
      </c>
      <c r="E367" s="117" t="s">
        <v>45</v>
      </c>
      <c r="F367" s="117" t="s">
        <v>34</v>
      </c>
      <c r="G367" s="117" t="s">
        <v>53</v>
      </c>
      <c r="H367" s="118">
        <v>45509</v>
      </c>
      <c r="I367" s="135">
        <v>67</v>
      </c>
      <c r="J367" s="140">
        <v>895</v>
      </c>
      <c r="K367" s="148">
        <v>0.12</v>
      </c>
      <c r="L367" s="166" t="s">
        <v>36</v>
      </c>
      <c r="M367" s="156">
        <v>59965</v>
      </c>
      <c r="N367" s="156">
        <v>52769.2</v>
      </c>
      <c r="O367" s="169" t="s">
        <v>265</v>
      </c>
    </row>
    <row r="368" spans="1:15" x14ac:dyDescent="0.3">
      <c r="A368" s="111" t="s">
        <v>1274</v>
      </c>
      <c r="B368" s="112" t="s">
        <v>61</v>
      </c>
      <c r="C368" s="113" t="s">
        <v>244</v>
      </c>
      <c r="D368" s="113" t="s">
        <v>26</v>
      </c>
      <c r="E368" s="113" t="s">
        <v>40</v>
      </c>
      <c r="F368" s="113" t="s">
        <v>28</v>
      </c>
      <c r="G368" s="113" t="s">
        <v>56</v>
      </c>
      <c r="H368" s="114">
        <v>45533</v>
      </c>
      <c r="I368" s="134">
        <v>49</v>
      </c>
      <c r="J368" s="139">
        <v>280</v>
      </c>
      <c r="K368" s="147">
        <v>0.08</v>
      </c>
      <c r="L368" s="165" t="s">
        <v>36</v>
      </c>
      <c r="M368" s="155">
        <v>13720</v>
      </c>
      <c r="N368" s="155">
        <v>12622.4</v>
      </c>
      <c r="O368" s="168" t="s">
        <v>265</v>
      </c>
    </row>
    <row r="369" spans="1:15" x14ac:dyDescent="0.3">
      <c r="A369" s="115" t="s">
        <v>1275</v>
      </c>
      <c r="B369" s="116" t="s">
        <v>58</v>
      </c>
      <c r="C369" s="117" t="s">
        <v>255</v>
      </c>
      <c r="D369" s="117" t="s">
        <v>59</v>
      </c>
      <c r="E369" s="117" t="s">
        <v>45</v>
      </c>
      <c r="F369" s="117" t="s">
        <v>34</v>
      </c>
      <c r="G369" s="117" t="s">
        <v>47</v>
      </c>
      <c r="H369" s="118">
        <v>45508</v>
      </c>
      <c r="I369" s="135">
        <v>96</v>
      </c>
      <c r="J369" s="140">
        <v>2800</v>
      </c>
      <c r="K369" s="148">
        <v>0.05</v>
      </c>
      <c r="L369" s="166" t="s">
        <v>36</v>
      </c>
      <c r="M369" s="156">
        <v>268800</v>
      </c>
      <c r="N369" s="156">
        <v>255360</v>
      </c>
      <c r="O369" s="169" t="s">
        <v>267</v>
      </c>
    </row>
    <row r="370" spans="1:15" x14ac:dyDescent="0.3">
      <c r="A370" s="111" t="s">
        <v>1276</v>
      </c>
      <c r="B370" s="112" t="s">
        <v>38</v>
      </c>
      <c r="C370" s="113" t="s">
        <v>247</v>
      </c>
      <c r="D370" s="113" t="s">
        <v>39</v>
      </c>
      <c r="E370" s="113" t="s">
        <v>33</v>
      </c>
      <c r="F370" s="113" t="s">
        <v>52</v>
      </c>
      <c r="G370" s="113" t="s">
        <v>29</v>
      </c>
      <c r="H370" s="114">
        <v>45551</v>
      </c>
      <c r="I370" s="134">
        <v>52</v>
      </c>
      <c r="J370" s="139">
        <v>1200</v>
      </c>
      <c r="K370" s="147">
        <v>0.03</v>
      </c>
      <c r="L370" s="165" t="s">
        <v>36</v>
      </c>
      <c r="M370" s="155">
        <v>62400</v>
      </c>
      <c r="N370" s="155">
        <v>60528</v>
      </c>
      <c r="O370" s="168" t="s">
        <v>265</v>
      </c>
    </row>
    <row r="371" spans="1:15" x14ac:dyDescent="0.3">
      <c r="A371" s="115" t="s">
        <v>1277</v>
      </c>
      <c r="B371" s="116" t="s">
        <v>55</v>
      </c>
      <c r="C371" s="117" t="s">
        <v>249</v>
      </c>
      <c r="D371" s="117" t="s">
        <v>39</v>
      </c>
      <c r="E371" s="117" t="s">
        <v>45</v>
      </c>
      <c r="F371" s="117" t="s">
        <v>28</v>
      </c>
      <c r="G371" s="117" t="s">
        <v>35</v>
      </c>
      <c r="H371" s="118">
        <v>45565</v>
      </c>
      <c r="I371" s="135">
        <v>51</v>
      </c>
      <c r="J371" s="140">
        <v>650</v>
      </c>
      <c r="K371" s="148">
        <v>0.12</v>
      </c>
      <c r="L371" s="166" t="s">
        <v>30</v>
      </c>
      <c r="M371" s="156">
        <v>33150</v>
      </c>
      <c r="N371" s="156">
        <v>29172</v>
      </c>
      <c r="O371" s="169" t="s">
        <v>265</v>
      </c>
    </row>
    <row r="372" spans="1:15" x14ac:dyDescent="0.3">
      <c r="A372" s="111" t="s">
        <v>1278</v>
      </c>
      <c r="B372" s="112" t="s">
        <v>61</v>
      </c>
      <c r="C372" s="113" t="s">
        <v>244</v>
      </c>
      <c r="D372" s="113" t="s">
        <v>26</v>
      </c>
      <c r="E372" s="113" t="s">
        <v>45</v>
      </c>
      <c r="F372" s="113" t="s">
        <v>46</v>
      </c>
      <c r="G372" s="113" t="s">
        <v>53</v>
      </c>
      <c r="H372" s="114">
        <v>45556</v>
      </c>
      <c r="I372" s="134">
        <v>58</v>
      </c>
      <c r="J372" s="139">
        <v>280</v>
      </c>
      <c r="K372" s="147">
        <v>0.08</v>
      </c>
      <c r="L372" s="165" t="s">
        <v>36</v>
      </c>
      <c r="M372" s="155">
        <v>16240</v>
      </c>
      <c r="N372" s="155">
        <v>14940.8</v>
      </c>
      <c r="O372" s="168" t="s">
        <v>265</v>
      </c>
    </row>
    <row r="373" spans="1:15" x14ac:dyDescent="0.3">
      <c r="A373" s="115" t="s">
        <v>1279</v>
      </c>
      <c r="B373" s="116" t="s">
        <v>58</v>
      </c>
      <c r="C373" s="117" t="s">
        <v>255</v>
      </c>
      <c r="D373" s="117" t="s">
        <v>59</v>
      </c>
      <c r="E373" s="117" t="s">
        <v>40</v>
      </c>
      <c r="F373" s="117" t="s">
        <v>52</v>
      </c>
      <c r="G373" s="117" t="s">
        <v>56</v>
      </c>
      <c r="H373" s="118">
        <v>45547</v>
      </c>
      <c r="I373" s="135">
        <v>91</v>
      </c>
      <c r="J373" s="140">
        <v>2800</v>
      </c>
      <c r="K373" s="148">
        <v>0.14000000000000001</v>
      </c>
      <c r="L373" s="166" t="s">
        <v>36</v>
      </c>
      <c r="M373" s="156">
        <v>254800</v>
      </c>
      <c r="N373" s="156">
        <v>219128</v>
      </c>
      <c r="O373" s="169" t="s">
        <v>267</v>
      </c>
    </row>
    <row r="374" spans="1:15" x14ac:dyDescent="0.3">
      <c r="A374" s="111" t="s">
        <v>1280</v>
      </c>
      <c r="B374" s="112" t="s">
        <v>49</v>
      </c>
      <c r="C374" s="113" t="s">
        <v>251</v>
      </c>
      <c r="D374" s="113" t="s">
        <v>50</v>
      </c>
      <c r="E374" s="113" t="s">
        <v>33</v>
      </c>
      <c r="F374" s="113" t="s">
        <v>28</v>
      </c>
      <c r="G374" s="113" t="s">
        <v>56</v>
      </c>
      <c r="H374" s="114">
        <v>45556</v>
      </c>
      <c r="I374" s="134">
        <v>145</v>
      </c>
      <c r="J374" s="139">
        <v>895</v>
      </c>
      <c r="K374" s="147">
        <v>0.13</v>
      </c>
      <c r="L374" s="165" t="s">
        <v>36</v>
      </c>
      <c r="M374" s="155">
        <v>129775</v>
      </c>
      <c r="N374" s="155">
        <v>112904.25</v>
      </c>
      <c r="O374" s="168" t="s">
        <v>267</v>
      </c>
    </row>
    <row r="375" spans="1:15" x14ac:dyDescent="0.3">
      <c r="A375" s="115" t="s">
        <v>1281</v>
      </c>
      <c r="B375" s="116" t="s">
        <v>25</v>
      </c>
      <c r="C375" s="117" t="s">
        <v>257</v>
      </c>
      <c r="D375" s="117" t="s">
        <v>26</v>
      </c>
      <c r="E375" s="117" t="s">
        <v>45</v>
      </c>
      <c r="F375" s="117" t="s">
        <v>46</v>
      </c>
      <c r="G375" s="117" t="s">
        <v>42</v>
      </c>
      <c r="H375" s="118">
        <v>45550</v>
      </c>
      <c r="I375" s="135">
        <v>38</v>
      </c>
      <c r="J375" s="140">
        <v>350</v>
      </c>
      <c r="K375" s="148">
        <v>0.05</v>
      </c>
      <c r="L375" s="166" t="s">
        <v>36</v>
      </c>
      <c r="M375" s="156">
        <v>13300</v>
      </c>
      <c r="N375" s="156">
        <v>12635</v>
      </c>
      <c r="O375" s="169" t="s">
        <v>265</v>
      </c>
    </row>
    <row r="376" spans="1:15" x14ac:dyDescent="0.3">
      <c r="A376" s="111" t="s">
        <v>1282</v>
      </c>
      <c r="B376" s="112" t="s">
        <v>55</v>
      </c>
      <c r="C376" s="113" t="s">
        <v>249</v>
      </c>
      <c r="D376" s="113" t="s">
        <v>39</v>
      </c>
      <c r="E376" s="113" t="s">
        <v>40</v>
      </c>
      <c r="F376" s="113" t="s">
        <v>28</v>
      </c>
      <c r="G376" s="113" t="s">
        <v>47</v>
      </c>
      <c r="H376" s="114">
        <v>45552</v>
      </c>
      <c r="I376" s="134">
        <v>187</v>
      </c>
      <c r="J376" s="139">
        <v>650</v>
      </c>
      <c r="K376" s="147">
        <v>0.03</v>
      </c>
      <c r="L376" s="165" t="s">
        <v>36</v>
      </c>
      <c r="M376" s="155">
        <v>121550</v>
      </c>
      <c r="N376" s="155">
        <v>117903.5</v>
      </c>
      <c r="O376" s="168" t="s">
        <v>267</v>
      </c>
    </row>
    <row r="377" spans="1:15" x14ac:dyDescent="0.3">
      <c r="A377" s="115" t="s">
        <v>1283</v>
      </c>
      <c r="B377" s="116" t="s">
        <v>38</v>
      </c>
      <c r="C377" s="117" t="s">
        <v>247</v>
      </c>
      <c r="D377" s="117" t="s">
        <v>39</v>
      </c>
      <c r="E377" s="117" t="s">
        <v>27</v>
      </c>
      <c r="F377" s="117" t="s">
        <v>28</v>
      </c>
      <c r="G377" s="117" t="s">
        <v>29</v>
      </c>
      <c r="H377" s="118">
        <v>45536</v>
      </c>
      <c r="I377" s="135">
        <v>22</v>
      </c>
      <c r="J377" s="140">
        <v>1200</v>
      </c>
      <c r="K377" s="148">
        <v>0.13</v>
      </c>
      <c r="L377" s="166" t="s">
        <v>36</v>
      </c>
      <c r="M377" s="156">
        <v>26400</v>
      </c>
      <c r="N377" s="156">
        <v>22968</v>
      </c>
      <c r="O377" s="169" t="s">
        <v>265</v>
      </c>
    </row>
    <row r="378" spans="1:15" x14ac:dyDescent="0.3">
      <c r="A378" s="111" t="s">
        <v>1284</v>
      </c>
      <c r="B378" s="112" t="s">
        <v>44</v>
      </c>
      <c r="C378" s="113" t="s">
        <v>254</v>
      </c>
      <c r="D378" s="113" t="s">
        <v>39</v>
      </c>
      <c r="E378" s="113" t="s">
        <v>27</v>
      </c>
      <c r="F378" s="113" t="s">
        <v>28</v>
      </c>
      <c r="G378" s="113" t="s">
        <v>42</v>
      </c>
      <c r="H378" s="114">
        <v>45553</v>
      </c>
      <c r="I378" s="134">
        <v>160</v>
      </c>
      <c r="J378" s="139">
        <v>200</v>
      </c>
      <c r="K378" s="147">
        <v>0.03</v>
      </c>
      <c r="L378" s="165" t="s">
        <v>36</v>
      </c>
      <c r="M378" s="155">
        <v>32000</v>
      </c>
      <c r="N378" s="155">
        <v>31040</v>
      </c>
      <c r="O378" s="168" t="s">
        <v>265</v>
      </c>
    </row>
    <row r="379" spans="1:15" x14ac:dyDescent="0.3">
      <c r="A379" s="115" t="s">
        <v>1285</v>
      </c>
      <c r="B379" s="116" t="s">
        <v>25</v>
      </c>
      <c r="C379" s="117" t="s">
        <v>257</v>
      </c>
      <c r="D379" s="117" t="s">
        <v>26</v>
      </c>
      <c r="E379" s="117" t="s">
        <v>27</v>
      </c>
      <c r="F379" s="117" t="s">
        <v>28</v>
      </c>
      <c r="G379" s="117" t="s">
        <v>47</v>
      </c>
      <c r="H379" s="118">
        <v>45565</v>
      </c>
      <c r="I379" s="135">
        <v>122</v>
      </c>
      <c r="J379" s="140">
        <v>350</v>
      </c>
      <c r="K379" s="148">
        <v>0.05</v>
      </c>
      <c r="L379" s="166" t="s">
        <v>30</v>
      </c>
      <c r="M379" s="156">
        <v>42700</v>
      </c>
      <c r="N379" s="156">
        <v>40565</v>
      </c>
      <c r="O379" s="169" t="s">
        <v>265</v>
      </c>
    </row>
    <row r="380" spans="1:15" x14ac:dyDescent="0.3">
      <c r="A380" s="111" t="s">
        <v>1286</v>
      </c>
      <c r="B380" s="112" t="s">
        <v>32</v>
      </c>
      <c r="C380" s="113" t="s">
        <v>246</v>
      </c>
      <c r="D380" s="113" t="s">
        <v>26</v>
      </c>
      <c r="E380" s="113" t="s">
        <v>33</v>
      </c>
      <c r="F380" s="113" t="s">
        <v>34</v>
      </c>
      <c r="G380" s="113" t="s">
        <v>56</v>
      </c>
      <c r="H380" s="114">
        <v>45547</v>
      </c>
      <c r="I380" s="134">
        <v>193</v>
      </c>
      <c r="J380" s="139">
        <v>420</v>
      </c>
      <c r="K380" s="147">
        <v>0.13</v>
      </c>
      <c r="L380" s="165" t="s">
        <v>36</v>
      </c>
      <c r="M380" s="155">
        <v>81060</v>
      </c>
      <c r="N380" s="155">
        <v>70522.2</v>
      </c>
      <c r="O380" s="168" t="s">
        <v>265</v>
      </c>
    </row>
    <row r="381" spans="1:15" x14ac:dyDescent="0.3">
      <c r="A381" s="115" t="s">
        <v>1287</v>
      </c>
      <c r="B381" s="116" t="s">
        <v>44</v>
      </c>
      <c r="C381" s="117" t="s">
        <v>254</v>
      </c>
      <c r="D381" s="117" t="s">
        <v>39</v>
      </c>
      <c r="E381" s="117" t="s">
        <v>33</v>
      </c>
      <c r="F381" s="117" t="s">
        <v>52</v>
      </c>
      <c r="G381" s="117" t="s">
        <v>56</v>
      </c>
      <c r="H381" s="118">
        <v>45552</v>
      </c>
      <c r="I381" s="135">
        <v>71</v>
      </c>
      <c r="J381" s="140">
        <v>200</v>
      </c>
      <c r="K381" s="148">
        <v>7.0000000000000007E-2</v>
      </c>
      <c r="L381" s="166" t="s">
        <v>30</v>
      </c>
      <c r="M381" s="156">
        <v>14200</v>
      </c>
      <c r="N381" s="156">
        <v>13206</v>
      </c>
      <c r="O381" s="169" t="s">
        <v>265</v>
      </c>
    </row>
    <row r="382" spans="1:15" x14ac:dyDescent="0.3">
      <c r="A382" s="111" t="s">
        <v>1288</v>
      </c>
      <c r="B382" s="112" t="s">
        <v>61</v>
      </c>
      <c r="C382" s="113" t="s">
        <v>244</v>
      </c>
      <c r="D382" s="113" t="s">
        <v>26</v>
      </c>
      <c r="E382" s="113" t="s">
        <v>33</v>
      </c>
      <c r="F382" s="113" t="s">
        <v>34</v>
      </c>
      <c r="G382" s="113" t="s">
        <v>35</v>
      </c>
      <c r="H382" s="114">
        <v>45537</v>
      </c>
      <c r="I382" s="134">
        <v>249</v>
      </c>
      <c r="J382" s="139">
        <v>280</v>
      </c>
      <c r="K382" s="147">
        <v>0.1</v>
      </c>
      <c r="L382" s="165" t="s">
        <v>36</v>
      </c>
      <c r="M382" s="155">
        <v>69720</v>
      </c>
      <c r="N382" s="155">
        <v>62748</v>
      </c>
      <c r="O382" s="168" t="s">
        <v>265</v>
      </c>
    </row>
    <row r="383" spans="1:15" x14ac:dyDescent="0.3">
      <c r="A383" s="115" t="s">
        <v>1289</v>
      </c>
      <c r="B383" s="116" t="s">
        <v>44</v>
      </c>
      <c r="C383" s="117" t="s">
        <v>254</v>
      </c>
      <c r="D383" s="117" t="s">
        <v>39</v>
      </c>
      <c r="E383" s="117" t="s">
        <v>40</v>
      </c>
      <c r="F383" s="117" t="s">
        <v>34</v>
      </c>
      <c r="G383" s="117" t="s">
        <v>42</v>
      </c>
      <c r="H383" s="118">
        <v>45544</v>
      </c>
      <c r="I383" s="135">
        <v>89</v>
      </c>
      <c r="J383" s="140">
        <v>200</v>
      </c>
      <c r="K383" s="148">
        <v>0</v>
      </c>
      <c r="L383" s="166" t="s">
        <v>30</v>
      </c>
      <c r="M383" s="156">
        <v>17800</v>
      </c>
      <c r="N383" s="156">
        <v>17800</v>
      </c>
      <c r="O383" s="169" t="s">
        <v>265</v>
      </c>
    </row>
    <row r="384" spans="1:15" x14ac:dyDescent="0.3">
      <c r="A384" s="111" t="s">
        <v>1290</v>
      </c>
      <c r="B384" s="112" t="s">
        <v>55</v>
      </c>
      <c r="C384" s="113" t="s">
        <v>249</v>
      </c>
      <c r="D384" s="113" t="s">
        <v>39</v>
      </c>
      <c r="E384" s="113" t="s">
        <v>51</v>
      </c>
      <c r="F384" s="113" t="s">
        <v>34</v>
      </c>
      <c r="G384" s="113" t="s">
        <v>56</v>
      </c>
      <c r="H384" s="114">
        <v>45552</v>
      </c>
      <c r="I384" s="134">
        <v>180</v>
      </c>
      <c r="J384" s="139">
        <v>650</v>
      </c>
      <c r="K384" s="147">
        <v>0.15</v>
      </c>
      <c r="L384" s="165" t="s">
        <v>30</v>
      </c>
      <c r="M384" s="155">
        <v>117000</v>
      </c>
      <c r="N384" s="155">
        <v>99450</v>
      </c>
      <c r="O384" s="168" t="s">
        <v>265</v>
      </c>
    </row>
    <row r="385" spans="1:15" x14ac:dyDescent="0.3">
      <c r="A385" s="115" t="s">
        <v>1291</v>
      </c>
      <c r="B385" s="116" t="s">
        <v>32</v>
      </c>
      <c r="C385" s="117" t="s">
        <v>246</v>
      </c>
      <c r="D385" s="117" t="s">
        <v>26</v>
      </c>
      <c r="E385" s="117" t="s">
        <v>33</v>
      </c>
      <c r="F385" s="117" t="s">
        <v>41</v>
      </c>
      <c r="G385" s="117" t="s">
        <v>29</v>
      </c>
      <c r="H385" s="118">
        <v>45540</v>
      </c>
      <c r="I385" s="135">
        <v>152</v>
      </c>
      <c r="J385" s="140">
        <v>420</v>
      </c>
      <c r="K385" s="148">
        <v>7.0000000000000007E-2</v>
      </c>
      <c r="L385" s="166" t="s">
        <v>36</v>
      </c>
      <c r="M385" s="156">
        <v>63840</v>
      </c>
      <c r="N385" s="156">
        <v>59371.199999999997</v>
      </c>
      <c r="O385" s="169" t="s">
        <v>265</v>
      </c>
    </row>
    <row r="386" spans="1:15" x14ac:dyDescent="0.3">
      <c r="A386" s="111" t="s">
        <v>1292</v>
      </c>
      <c r="B386" s="112" t="s">
        <v>61</v>
      </c>
      <c r="C386" s="113" t="s">
        <v>244</v>
      </c>
      <c r="D386" s="113" t="s">
        <v>26</v>
      </c>
      <c r="E386" s="113" t="s">
        <v>33</v>
      </c>
      <c r="F386" s="113" t="s">
        <v>34</v>
      </c>
      <c r="G386" s="113" t="s">
        <v>47</v>
      </c>
      <c r="H386" s="114">
        <v>45553</v>
      </c>
      <c r="I386" s="134">
        <v>236</v>
      </c>
      <c r="J386" s="139">
        <v>280</v>
      </c>
      <c r="K386" s="147">
        <v>0</v>
      </c>
      <c r="L386" s="165" t="s">
        <v>30</v>
      </c>
      <c r="M386" s="155">
        <v>66080</v>
      </c>
      <c r="N386" s="155">
        <v>66080</v>
      </c>
      <c r="O386" s="168" t="s">
        <v>265</v>
      </c>
    </row>
    <row r="387" spans="1:15" x14ac:dyDescent="0.3">
      <c r="A387" s="115" t="s">
        <v>1293</v>
      </c>
      <c r="B387" s="116" t="s">
        <v>25</v>
      </c>
      <c r="C387" s="117" t="s">
        <v>257</v>
      </c>
      <c r="D387" s="117" t="s">
        <v>26</v>
      </c>
      <c r="E387" s="117" t="s">
        <v>45</v>
      </c>
      <c r="F387" s="117" t="s">
        <v>28</v>
      </c>
      <c r="G387" s="117" t="s">
        <v>42</v>
      </c>
      <c r="H387" s="118">
        <v>45557</v>
      </c>
      <c r="I387" s="135">
        <v>176</v>
      </c>
      <c r="J387" s="140">
        <v>350</v>
      </c>
      <c r="K387" s="148">
        <v>0.03</v>
      </c>
      <c r="L387" s="166" t="s">
        <v>36</v>
      </c>
      <c r="M387" s="156">
        <v>61600</v>
      </c>
      <c r="N387" s="156">
        <v>59752</v>
      </c>
      <c r="O387" s="169" t="s">
        <v>265</v>
      </c>
    </row>
    <row r="388" spans="1:15" x14ac:dyDescent="0.3">
      <c r="A388" s="111" t="s">
        <v>1294</v>
      </c>
      <c r="B388" s="112" t="s">
        <v>61</v>
      </c>
      <c r="C388" s="113" t="s">
        <v>244</v>
      </c>
      <c r="D388" s="113" t="s">
        <v>26</v>
      </c>
      <c r="E388" s="113" t="s">
        <v>40</v>
      </c>
      <c r="F388" s="113" t="s">
        <v>28</v>
      </c>
      <c r="G388" s="113" t="s">
        <v>42</v>
      </c>
      <c r="H388" s="114">
        <v>45547</v>
      </c>
      <c r="I388" s="134">
        <v>60</v>
      </c>
      <c r="J388" s="139">
        <v>280</v>
      </c>
      <c r="K388" s="147">
        <v>0.1</v>
      </c>
      <c r="L388" s="165" t="s">
        <v>30</v>
      </c>
      <c r="M388" s="155">
        <v>16800</v>
      </c>
      <c r="N388" s="155">
        <v>15120</v>
      </c>
      <c r="O388" s="168" t="s">
        <v>265</v>
      </c>
    </row>
    <row r="389" spans="1:15" x14ac:dyDescent="0.3">
      <c r="A389" s="115" t="s">
        <v>1295</v>
      </c>
      <c r="B389" s="116" t="s">
        <v>32</v>
      </c>
      <c r="C389" s="117" t="s">
        <v>246</v>
      </c>
      <c r="D389" s="117" t="s">
        <v>26</v>
      </c>
      <c r="E389" s="117" t="s">
        <v>51</v>
      </c>
      <c r="F389" s="117" t="s">
        <v>46</v>
      </c>
      <c r="G389" s="117" t="s">
        <v>56</v>
      </c>
      <c r="H389" s="118">
        <v>45553</v>
      </c>
      <c r="I389" s="135">
        <v>67</v>
      </c>
      <c r="J389" s="140">
        <v>420</v>
      </c>
      <c r="K389" s="148">
        <v>0.03</v>
      </c>
      <c r="L389" s="166" t="s">
        <v>30</v>
      </c>
      <c r="M389" s="156">
        <v>28140</v>
      </c>
      <c r="N389" s="156">
        <v>27295.8</v>
      </c>
      <c r="O389" s="169" t="s">
        <v>265</v>
      </c>
    </row>
    <row r="390" spans="1:15" x14ac:dyDescent="0.3">
      <c r="A390" s="111" t="s">
        <v>1296</v>
      </c>
      <c r="B390" s="112" t="s">
        <v>63</v>
      </c>
      <c r="C390" s="113" t="s">
        <v>253</v>
      </c>
      <c r="D390" s="113" t="s">
        <v>50</v>
      </c>
      <c r="E390" s="113" t="s">
        <v>40</v>
      </c>
      <c r="F390" s="113" t="s">
        <v>46</v>
      </c>
      <c r="G390" s="113" t="s">
        <v>42</v>
      </c>
      <c r="H390" s="114">
        <v>45559</v>
      </c>
      <c r="I390" s="134">
        <v>120</v>
      </c>
      <c r="J390" s="139">
        <v>750</v>
      </c>
      <c r="K390" s="147">
        <v>0.1</v>
      </c>
      <c r="L390" s="165" t="s">
        <v>36</v>
      </c>
      <c r="M390" s="155">
        <v>90000</v>
      </c>
      <c r="N390" s="155">
        <v>81000</v>
      </c>
      <c r="O390" s="168" t="s">
        <v>265</v>
      </c>
    </row>
    <row r="391" spans="1:15" x14ac:dyDescent="0.3">
      <c r="A391" s="115" t="s">
        <v>1297</v>
      </c>
      <c r="B391" s="116" t="s">
        <v>25</v>
      </c>
      <c r="C391" s="117" t="s">
        <v>257</v>
      </c>
      <c r="D391" s="117" t="s">
        <v>26</v>
      </c>
      <c r="E391" s="117" t="s">
        <v>45</v>
      </c>
      <c r="F391" s="117" t="s">
        <v>28</v>
      </c>
      <c r="G391" s="117" t="s">
        <v>53</v>
      </c>
      <c r="H391" s="118">
        <v>45536</v>
      </c>
      <c r="I391" s="135">
        <v>150</v>
      </c>
      <c r="J391" s="140">
        <v>350</v>
      </c>
      <c r="K391" s="148">
        <v>0.15</v>
      </c>
      <c r="L391" s="166" t="s">
        <v>30</v>
      </c>
      <c r="M391" s="156">
        <v>52500</v>
      </c>
      <c r="N391" s="156">
        <v>44625</v>
      </c>
      <c r="O391" s="169" t="s">
        <v>265</v>
      </c>
    </row>
    <row r="392" spans="1:15" x14ac:dyDescent="0.3">
      <c r="A392" s="111" t="s">
        <v>1298</v>
      </c>
      <c r="B392" s="112" t="s">
        <v>61</v>
      </c>
      <c r="C392" s="113" t="s">
        <v>244</v>
      </c>
      <c r="D392" s="113" t="s">
        <v>26</v>
      </c>
      <c r="E392" s="113" t="s">
        <v>27</v>
      </c>
      <c r="F392" s="113" t="s">
        <v>46</v>
      </c>
      <c r="G392" s="113" t="s">
        <v>29</v>
      </c>
      <c r="H392" s="114">
        <v>45562</v>
      </c>
      <c r="I392" s="134">
        <v>145</v>
      </c>
      <c r="J392" s="139">
        <v>280</v>
      </c>
      <c r="K392" s="147">
        <v>0.14000000000000001</v>
      </c>
      <c r="L392" s="165" t="s">
        <v>36</v>
      </c>
      <c r="M392" s="155">
        <v>40600</v>
      </c>
      <c r="N392" s="155">
        <v>34916</v>
      </c>
      <c r="O392" s="168" t="s">
        <v>265</v>
      </c>
    </row>
    <row r="393" spans="1:15" x14ac:dyDescent="0.3">
      <c r="A393" s="115" t="s">
        <v>1299</v>
      </c>
      <c r="B393" s="116" t="s">
        <v>61</v>
      </c>
      <c r="C393" s="117" t="s">
        <v>244</v>
      </c>
      <c r="D393" s="117" t="s">
        <v>26</v>
      </c>
      <c r="E393" s="117" t="s">
        <v>51</v>
      </c>
      <c r="F393" s="117" t="s">
        <v>34</v>
      </c>
      <c r="G393" s="117" t="s">
        <v>29</v>
      </c>
      <c r="H393" s="118">
        <v>45556</v>
      </c>
      <c r="I393" s="135">
        <v>113</v>
      </c>
      <c r="J393" s="140">
        <v>280</v>
      </c>
      <c r="K393" s="148">
        <v>0.03</v>
      </c>
      <c r="L393" s="166" t="s">
        <v>36</v>
      </c>
      <c r="M393" s="156">
        <v>31640</v>
      </c>
      <c r="N393" s="156">
        <v>30690.799999999999</v>
      </c>
      <c r="O393" s="169" t="s">
        <v>265</v>
      </c>
    </row>
    <row r="394" spans="1:15" x14ac:dyDescent="0.3">
      <c r="A394" s="111" t="s">
        <v>1300</v>
      </c>
      <c r="B394" s="112" t="s">
        <v>63</v>
      </c>
      <c r="C394" s="113" t="s">
        <v>253</v>
      </c>
      <c r="D394" s="113" t="s">
        <v>50</v>
      </c>
      <c r="E394" s="113" t="s">
        <v>33</v>
      </c>
      <c r="F394" s="113" t="s">
        <v>41</v>
      </c>
      <c r="G394" s="113" t="s">
        <v>47</v>
      </c>
      <c r="H394" s="114">
        <v>45539</v>
      </c>
      <c r="I394" s="134">
        <v>106</v>
      </c>
      <c r="J394" s="139">
        <v>750</v>
      </c>
      <c r="K394" s="147">
        <v>0</v>
      </c>
      <c r="L394" s="165" t="s">
        <v>36</v>
      </c>
      <c r="M394" s="155">
        <v>79500</v>
      </c>
      <c r="N394" s="155">
        <v>79500</v>
      </c>
      <c r="O394" s="168" t="s">
        <v>265</v>
      </c>
    </row>
    <row r="395" spans="1:15" x14ac:dyDescent="0.3">
      <c r="A395" s="115" t="s">
        <v>1301</v>
      </c>
      <c r="B395" s="116" t="s">
        <v>61</v>
      </c>
      <c r="C395" s="117" t="s">
        <v>244</v>
      </c>
      <c r="D395" s="117" t="s">
        <v>26</v>
      </c>
      <c r="E395" s="117" t="s">
        <v>27</v>
      </c>
      <c r="F395" s="117" t="s">
        <v>46</v>
      </c>
      <c r="G395" s="117" t="s">
        <v>42</v>
      </c>
      <c r="H395" s="118">
        <v>45555</v>
      </c>
      <c r="I395" s="135">
        <v>92</v>
      </c>
      <c r="J395" s="140">
        <v>280</v>
      </c>
      <c r="K395" s="148">
        <v>0.15</v>
      </c>
      <c r="L395" s="166" t="s">
        <v>30</v>
      </c>
      <c r="M395" s="156">
        <v>25760</v>
      </c>
      <c r="N395" s="156">
        <v>21896</v>
      </c>
      <c r="O395" s="169" t="s">
        <v>265</v>
      </c>
    </row>
    <row r="396" spans="1:15" x14ac:dyDescent="0.3">
      <c r="A396" s="111" t="s">
        <v>1302</v>
      </c>
      <c r="B396" s="112" t="s">
        <v>63</v>
      </c>
      <c r="C396" s="113" t="s">
        <v>253</v>
      </c>
      <c r="D396" s="113" t="s">
        <v>50</v>
      </c>
      <c r="E396" s="113" t="s">
        <v>27</v>
      </c>
      <c r="F396" s="113" t="s">
        <v>28</v>
      </c>
      <c r="G396" s="113" t="s">
        <v>47</v>
      </c>
      <c r="H396" s="114">
        <v>45561</v>
      </c>
      <c r="I396" s="134">
        <v>40</v>
      </c>
      <c r="J396" s="139">
        <v>750</v>
      </c>
      <c r="K396" s="147">
        <v>0.1</v>
      </c>
      <c r="L396" s="165" t="s">
        <v>36</v>
      </c>
      <c r="M396" s="155">
        <v>30000</v>
      </c>
      <c r="N396" s="155">
        <v>27000</v>
      </c>
      <c r="O396" s="168" t="s">
        <v>265</v>
      </c>
    </row>
    <row r="397" spans="1:15" x14ac:dyDescent="0.3">
      <c r="A397" s="115" t="s">
        <v>1303</v>
      </c>
      <c r="B397" s="116" t="s">
        <v>38</v>
      </c>
      <c r="C397" s="117" t="s">
        <v>247</v>
      </c>
      <c r="D397" s="117" t="s">
        <v>39</v>
      </c>
      <c r="E397" s="117" t="s">
        <v>45</v>
      </c>
      <c r="F397" s="117" t="s">
        <v>34</v>
      </c>
      <c r="G397" s="117" t="s">
        <v>35</v>
      </c>
      <c r="H397" s="118">
        <v>45558</v>
      </c>
      <c r="I397" s="135">
        <v>115</v>
      </c>
      <c r="J397" s="140">
        <v>1200</v>
      </c>
      <c r="K397" s="148">
        <v>0.03</v>
      </c>
      <c r="L397" s="166" t="s">
        <v>36</v>
      </c>
      <c r="M397" s="156">
        <v>138000</v>
      </c>
      <c r="N397" s="156">
        <v>133860</v>
      </c>
      <c r="O397" s="169" t="s">
        <v>267</v>
      </c>
    </row>
    <row r="398" spans="1:15" x14ac:dyDescent="0.3">
      <c r="A398" s="111" t="s">
        <v>1304</v>
      </c>
      <c r="B398" s="112" t="s">
        <v>63</v>
      </c>
      <c r="C398" s="113" t="s">
        <v>253</v>
      </c>
      <c r="D398" s="113" t="s">
        <v>50</v>
      </c>
      <c r="E398" s="113" t="s">
        <v>40</v>
      </c>
      <c r="F398" s="113" t="s">
        <v>34</v>
      </c>
      <c r="G398" s="113" t="s">
        <v>42</v>
      </c>
      <c r="H398" s="114">
        <v>45546</v>
      </c>
      <c r="I398" s="134">
        <v>70</v>
      </c>
      <c r="J398" s="139">
        <v>750</v>
      </c>
      <c r="K398" s="147">
        <v>0.15</v>
      </c>
      <c r="L398" s="165" t="s">
        <v>36</v>
      </c>
      <c r="M398" s="155">
        <v>52500</v>
      </c>
      <c r="N398" s="155">
        <v>44625</v>
      </c>
      <c r="O398" s="168" t="s">
        <v>265</v>
      </c>
    </row>
    <row r="399" spans="1:15" x14ac:dyDescent="0.3">
      <c r="A399" s="115" t="s">
        <v>1305</v>
      </c>
      <c r="B399" s="116" t="s">
        <v>38</v>
      </c>
      <c r="C399" s="117" t="s">
        <v>247</v>
      </c>
      <c r="D399" s="117" t="s">
        <v>39</v>
      </c>
      <c r="E399" s="117" t="s">
        <v>51</v>
      </c>
      <c r="F399" s="117" t="s">
        <v>46</v>
      </c>
      <c r="G399" s="117" t="s">
        <v>53</v>
      </c>
      <c r="H399" s="118">
        <v>45544</v>
      </c>
      <c r="I399" s="135">
        <v>136</v>
      </c>
      <c r="J399" s="140">
        <v>1200</v>
      </c>
      <c r="K399" s="148">
        <v>0</v>
      </c>
      <c r="L399" s="166" t="s">
        <v>36</v>
      </c>
      <c r="M399" s="156">
        <v>163200</v>
      </c>
      <c r="N399" s="156">
        <v>163200</v>
      </c>
      <c r="O399" s="169" t="s">
        <v>267</v>
      </c>
    </row>
    <row r="400" spans="1:15" x14ac:dyDescent="0.3">
      <c r="A400" s="111" t="s">
        <v>1306</v>
      </c>
      <c r="B400" s="112" t="s">
        <v>16</v>
      </c>
      <c r="C400" s="113" t="s">
        <v>250</v>
      </c>
      <c r="D400" s="113" t="s">
        <v>39</v>
      </c>
      <c r="E400" s="113" t="s">
        <v>45</v>
      </c>
      <c r="F400" s="113" t="s">
        <v>28</v>
      </c>
      <c r="G400" s="113" t="s">
        <v>47</v>
      </c>
      <c r="H400" s="114">
        <v>45549</v>
      </c>
      <c r="I400" s="134">
        <v>42</v>
      </c>
      <c r="J400" s="139">
        <v>990</v>
      </c>
      <c r="K400" s="147">
        <v>0</v>
      </c>
      <c r="L400" s="165" t="s">
        <v>36</v>
      </c>
      <c r="M400" s="155">
        <v>41580</v>
      </c>
      <c r="N400" s="155">
        <v>41580</v>
      </c>
      <c r="O400" s="168" t="s">
        <v>265</v>
      </c>
    </row>
    <row r="401" spans="1:15" x14ac:dyDescent="0.3">
      <c r="A401" s="115" t="s">
        <v>1307</v>
      </c>
      <c r="B401" s="116" t="s">
        <v>38</v>
      </c>
      <c r="C401" s="117" t="s">
        <v>247</v>
      </c>
      <c r="D401" s="117" t="s">
        <v>39</v>
      </c>
      <c r="E401" s="117" t="s">
        <v>51</v>
      </c>
      <c r="F401" s="117" t="s">
        <v>34</v>
      </c>
      <c r="G401" s="117" t="s">
        <v>29</v>
      </c>
      <c r="H401" s="118">
        <v>45550</v>
      </c>
      <c r="I401" s="135">
        <v>62</v>
      </c>
      <c r="J401" s="140">
        <v>1200</v>
      </c>
      <c r="K401" s="148">
        <v>0.15</v>
      </c>
      <c r="L401" s="166" t="s">
        <v>36</v>
      </c>
      <c r="M401" s="156">
        <v>74400</v>
      </c>
      <c r="N401" s="156">
        <v>63240</v>
      </c>
      <c r="O401" s="169" t="s">
        <v>265</v>
      </c>
    </row>
    <row r="402" spans="1:15" x14ac:dyDescent="0.3">
      <c r="A402" s="111" t="s">
        <v>1308</v>
      </c>
      <c r="B402" s="112" t="s">
        <v>44</v>
      </c>
      <c r="C402" s="113" t="s">
        <v>254</v>
      </c>
      <c r="D402" s="113" t="s">
        <v>39</v>
      </c>
      <c r="E402" s="113" t="s">
        <v>40</v>
      </c>
      <c r="F402" s="113" t="s">
        <v>52</v>
      </c>
      <c r="G402" s="113" t="s">
        <v>35</v>
      </c>
      <c r="H402" s="114">
        <v>45536</v>
      </c>
      <c r="I402" s="134">
        <v>227</v>
      </c>
      <c r="J402" s="139">
        <v>200</v>
      </c>
      <c r="K402" s="147">
        <v>0</v>
      </c>
      <c r="L402" s="165" t="s">
        <v>36</v>
      </c>
      <c r="M402" s="155">
        <v>45400</v>
      </c>
      <c r="N402" s="155">
        <v>45400</v>
      </c>
      <c r="O402" s="168" t="s">
        <v>265</v>
      </c>
    </row>
    <row r="403" spans="1:15" x14ac:dyDescent="0.3">
      <c r="A403" s="115" t="s">
        <v>1309</v>
      </c>
      <c r="B403" s="116" t="s">
        <v>44</v>
      </c>
      <c r="C403" s="117" t="s">
        <v>254</v>
      </c>
      <c r="D403" s="117" t="s">
        <v>39</v>
      </c>
      <c r="E403" s="117" t="s">
        <v>51</v>
      </c>
      <c r="F403" s="117" t="s">
        <v>28</v>
      </c>
      <c r="G403" s="117" t="s">
        <v>35</v>
      </c>
      <c r="H403" s="118">
        <v>45538</v>
      </c>
      <c r="I403" s="135">
        <v>46</v>
      </c>
      <c r="J403" s="140">
        <v>200</v>
      </c>
      <c r="K403" s="148">
        <v>0.05</v>
      </c>
      <c r="L403" s="166" t="s">
        <v>36</v>
      </c>
      <c r="M403" s="156">
        <v>9200</v>
      </c>
      <c r="N403" s="156">
        <v>8740</v>
      </c>
      <c r="O403" s="169" t="s">
        <v>265</v>
      </c>
    </row>
    <row r="404" spans="1:15" x14ac:dyDescent="0.3">
      <c r="A404" s="111" t="s">
        <v>1310</v>
      </c>
      <c r="B404" s="112" t="s">
        <v>44</v>
      </c>
      <c r="C404" s="113" t="s">
        <v>254</v>
      </c>
      <c r="D404" s="113" t="s">
        <v>39</v>
      </c>
      <c r="E404" s="113" t="s">
        <v>33</v>
      </c>
      <c r="F404" s="113" t="s">
        <v>46</v>
      </c>
      <c r="G404" s="113" t="s">
        <v>53</v>
      </c>
      <c r="H404" s="114">
        <v>45548</v>
      </c>
      <c r="I404" s="134">
        <v>123</v>
      </c>
      <c r="J404" s="139">
        <v>200</v>
      </c>
      <c r="K404" s="147">
        <v>0.15</v>
      </c>
      <c r="L404" s="165" t="s">
        <v>30</v>
      </c>
      <c r="M404" s="155">
        <v>24600</v>
      </c>
      <c r="N404" s="155">
        <v>20910</v>
      </c>
      <c r="O404" s="168" t="s">
        <v>265</v>
      </c>
    </row>
    <row r="405" spans="1:15" x14ac:dyDescent="0.3">
      <c r="A405" s="115" t="s">
        <v>1311</v>
      </c>
      <c r="B405" s="116" t="s">
        <v>61</v>
      </c>
      <c r="C405" s="117" t="s">
        <v>244</v>
      </c>
      <c r="D405" s="117" t="s">
        <v>26</v>
      </c>
      <c r="E405" s="117" t="s">
        <v>51</v>
      </c>
      <c r="F405" s="117" t="s">
        <v>41</v>
      </c>
      <c r="G405" s="117" t="s">
        <v>53</v>
      </c>
      <c r="H405" s="118">
        <v>45556</v>
      </c>
      <c r="I405" s="135">
        <v>243</v>
      </c>
      <c r="J405" s="140">
        <v>280</v>
      </c>
      <c r="K405" s="148">
        <v>0.11</v>
      </c>
      <c r="L405" s="166" t="s">
        <v>36</v>
      </c>
      <c r="M405" s="156">
        <v>68040</v>
      </c>
      <c r="N405" s="156">
        <v>60555.6</v>
      </c>
      <c r="O405" s="169" t="s">
        <v>265</v>
      </c>
    </row>
    <row r="406" spans="1:15" x14ac:dyDescent="0.3">
      <c r="A406" s="111" t="s">
        <v>1312</v>
      </c>
      <c r="B406" s="112" t="s">
        <v>16</v>
      </c>
      <c r="C406" s="113" t="s">
        <v>250</v>
      </c>
      <c r="D406" s="113" t="s">
        <v>39</v>
      </c>
      <c r="E406" s="113" t="s">
        <v>27</v>
      </c>
      <c r="F406" s="113" t="s">
        <v>41</v>
      </c>
      <c r="G406" s="113" t="s">
        <v>35</v>
      </c>
      <c r="H406" s="114">
        <v>45554</v>
      </c>
      <c r="I406" s="134">
        <v>74</v>
      </c>
      <c r="J406" s="139">
        <v>990</v>
      </c>
      <c r="K406" s="147">
        <v>0</v>
      </c>
      <c r="L406" s="165" t="s">
        <v>36</v>
      </c>
      <c r="M406" s="155">
        <v>73260</v>
      </c>
      <c r="N406" s="155">
        <v>73260</v>
      </c>
      <c r="O406" s="168" t="s">
        <v>265</v>
      </c>
    </row>
    <row r="407" spans="1:15" x14ac:dyDescent="0.3">
      <c r="A407" s="115" t="s">
        <v>1313</v>
      </c>
      <c r="B407" s="116" t="s">
        <v>25</v>
      </c>
      <c r="C407" s="117" t="s">
        <v>257</v>
      </c>
      <c r="D407" s="117" t="s">
        <v>26</v>
      </c>
      <c r="E407" s="117" t="s">
        <v>51</v>
      </c>
      <c r="F407" s="117" t="s">
        <v>46</v>
      </c>
      <c r="G407" s="117" t="s">
        <v>42</v>
      </c>
      <c r="H407" s="118">
        <v>45555</v>
      </c>
      <c r="I407" s="135">
        <v>128</v>
      </c>
      <c r="J407" s="140">
        <v>350</v>
      </c>
      <c r="K407" s="148">
        <v>7.0000000000000007E-2</v>
      </c>
      <c r="L407" s="166" t="s">
        <v>36</v>
      </c>
      <c r="M407" s="156">
        <v>44800</v>
      </c>
      <c r="N407" s="156">
        <v>41664</v>
      </c>
      <c r="O407" s="169" t="s">
        <v>265</v>
      </c>
    </row>
    <row r="408" spans="1:15" x14ac:dyDescent="0.3">
      <c r="A408" s="111" t="s">
        <v>1314</v>
      </c>
      <c r="B408" s="112" t="s">
        <v>38</v>
      </c>
      <c r="C408" s="113" t="s">
        <v>247</v>
      </c>
      <c r="D408" s="113" t="s">
        <v>39</v>
      </c>
      <c r="E408" s="113" t="s">
        <v>45</v>
      </c>
      <c r="F408" s="113" t="s">
        <v>28</v>
      </c>
      <c r="G408" s="113" t="s">
        <v>35</v>
      </c>
      <c r="H408" s="114">
        <v>45545</v>
      </c>
      <c r="I408" s="134">
        <v>27</v>
      </c>
      <c r="J408" s="139">
        <v>1200</v>
      </c>
      <c r="K408" s="147">
        <v>0</v>
      </c>
      <c r="L408" s="165" t="s">
        <v>30</v>
      </c>
      <c r="M408" s="155">
        <v>32400</v>
      </c>
      <c r="N408" s="155">
        <v>32400</v>
      </c>
      <c r="O408" s="168" t="s">
        <v>265</v>
      </c>
    </row>
    <row r="409" spans="1:15" x14ac:dyDescent="0.3">
      <c r="A409" s="115" t="s">
        <v>1315</v>
      </c>
      <c r="B409" s="116" t="s">
        <v>16</v>
      </c>
      <c r="C409" s="117" t="s">
        <v>250</v>
      </c>
      <c r="D409" s="117" t="s">
        <v>39</v>
      </c>
      <c r="E409" s="117" t="s">
        <v>33</v>
      </c>
      <c r="F409" s="117" t="s">
        <v>46</v>
      </c>
      <c r="G409" s="117" t="s">
        <v>42</v>
      </c>
      <c r="H409" s="118">
        <v>45564</v>
      </c>
      <c r="I409" s="135">
        <v>82</v>
      </c>
      <c r="J409" s="140">
        <v>990</v>
      </c>
      <c r="K409" s="148">
        <v>0.14000000000000001</v>
      </c>
      <c r="L409" s="166" t="s">
        <v>36</v>
      </c>
      <c r="M409" s="156">
        <v>81180</v>
      </c>
      <c r="N409" s="156">
        <v>69814.8</v>
      </c>
      <c r="O409" s="169" t="s">
        <v>265</v>
      </c>
    </row>
    <row r="410" spans="1:15" x14ac:dyDescent="0.3">
      <c r="A410" s="111" t="s">
        <v>1316</v>
      </c>
      <c r="B410" s="112" t="s">
        <v>55</v>
      </c>
      <c r="C410" s="113" t="s">
        <v>249</v>
      </c>
      <c r="D410" s="113" t="s">
        <v>39</v>
      </c>
      <c r="E410" s="113" t="s">
        <v>40</v>
      </c>
      <c r="F410" s="113" t="s">
        <v>28</v>
      </c>
      <c r="G410" s="113" t="s">
        <v>47</v>
      </c>
      <c r="H410" s="114">
        <v>45538</v>
      </c>
      <c r="I410" s="134">
        <v>165</v>
      </c>
      <c r="J410" s="139">
        <v>650</v>
      </c>
      <c r="K410" s="147">
        <v>0.15</v>
      </c>
      <c r="L410" s="165" t="s">
        <v>36</v>
      </c>
      <c r="M410" s="155">
        <v>107250</v>
      </c>
      <c r="N410" s="155">
        <v>91162.5</v>
      </c>
      <c r="O410" s="168" t="s">
        <v>265</v>
      </c>
    </row>
    <row r="411" spans="1:15" x14ac:dyDescent="0.3">
      <c r="A411" s="115" t="s">
        <v>1317</v>
      </c>
      <c r="B411" s="116" t="s">
        <v>63</v>
      </c>
      <c r="C411" s="117" t="s">
        <v>253</v>
      </c>
      <c r="D411" s="117" t="s">
        <v>50</v>
      </c>
      <c r="E411" s="117" t="s">
        <v>33</v>
      </c>
      <c r="F411" s="117" t="s">
        <v>52</v>
      </c>
      <c r="G411" s="117" t="s">
        <v>29</v>
      </c>
      <c r="H411" s="118">
        <v>45536</v>
      </c>
      <c r="I411" s="135">
        <v>38</v>
      </c>
      <c r="J411" s="140">
        <v>750</v>
      </c>
      <c r="K411" s="148">
        <v>0.11</v>
      </c>
      <c r="L411" s="166" t="s">
        <v>36</v>
      </c>
      <c r="M411" s="156">
        <v>28500</v>
      </c>
      <c r="N411" s="156">
        <v>25365</v>
      </c>
      <c r="O411" s="169" t="s">
        <v>265</v>
      </c>
    </row>
    <row r="412" spans="1:15" x14ac:dyDescent="0.3">
      <c r="A412" s="111" t="s">
        <v>1318</v>
      </c>
      <c r="B412" s="112" t="s">
        <v>49</v>
      </c>
      <c r="C412" s="113" t="s">
        <v>251</v>
      </c>
      <c r="D412" s="113" t="s">
        <v>50</v>
      </c>
      <c r="E412" s="113" t="s">
        <v>51</v>
      </c>
      <c r="F412" s="113" t="s">
        <v>28</v>
      </c>
      <c r="G412" s="113" t="s">
        <v>29</v>
      </c>
      <c r="H412" s="114">
        <v>45553</v>
      </c>
      <c r="I412" s="134">
        <v>131</v>
      </c>
      <c r="J412" s="139">
        <v>895</v>
      </c>
      <c r="K412" s="147">
        <v>0.13</v>
      </c>
      <c r="L412" s="165" t="s">
        <v>36</v>
      </c>
      <c r="M412" s="155">
        <v>117245</v>
      </c>
      <c r="N412" s="155">
        <v>102003.15</v>
      </c>
      <c r="O412" s="168" t="s">
        <v>267</v>
      </c>
    </row>
    <row r="413" spans="1:15" x14ac:dyDescent="0.3">
      <c r="A413" s="115" t="s">
        <v>1319</v>
      </c>
      <c r="B413" s="116" t="s">
        <v>25</v>
      </c>
      <c r="C413" s="117" t="s">
        <v>257</v>
      </c>
      <c r="D413" s="117" t="s">
        <v>26</v>
      </c>
      <c r="E413" s="117" t="s">
        <v>27</v>
      </c>
      <c r="F413" s="117" t="s">
        <v>41</v>
      </c>
      <c r="G413" s="117" t="s">
        <v>35</v>
      </c>
      <c r="H413" s="118">
        <v>45549</v>
      </c>
      <c r="I413" s="135">
        <v>83</v>
      </c>
      <c r="J413" s="140">
        <v>350</v>
      </c>
      <c r="K413" s="148">
        <v>0.1</v>
      </c>
      <c r="L413" s="166" t="s">
        <v>36</v>
      </c>
      <c r="M413" s="156">
        <v>29050</v>
      </c>
      <c r="N413" s="156">
        <v>26145</v>
      </c>
      <c r="O413" s="169" t="s">
        <v>265</v>
      </c>
    </row>
    <row r="414" spans="1:15" x14ac:dyDescent="0.3">
      <c r="A414" s="111" t="s">
        <v>1320</v>
      </c>
      <c r="B414" s="112" t="s">
        <v>38</v>
      </c>
      <c r="C414" s="113" t="s">
        <v>247</v>
      </c>
      <c r="D414" s="113" t="s">
        <v>39</v>
      </c>
      <c r="E414" s="113" t="s">
        <v>27</v>
      </c>
      <c r="F414" s="113" t="s">
        <v>46</v>
      </c>
      <c r="G414" s="113" t="s">
        <v>29</v>
      </c>
      <c r="H414" s="114">
        <v>45559</v>
      </c>
      <c r="I414" s="134">
        <v>119</v>
      </c>
      <c r="J414" s="139">
        <v>1200</v>
      </c>
      <c r="K414" s="147">
        <v>0.15</v>
      </c>
      <c r="L414" s="165" t="s">
        <v>36</v>
      </c>
      <c r="M414" s="155">
        <v>142800</v>
      </c>
      <c r="N414" s="155">
        <v>121380</v>
      </c>
      <c r="O414" s="168" t="s">
        <v>267</v>
      </c>
    </row>
    <row r="415" spans="1:15" x14ac:dyDescent="0.3">
      <c r="A415" s="115" t="s">
        <v>1321</v>
      </c>
      <c r="B415" s="116" t="s">
        <v>61</v>
      </c>
      <c r="C415" s="117" t="s">
        <v>244</v>
      </c>
      <c r="D415" s="117" t="s">
        <v>26</v>
      </c>
      <c r="E415" s="117" t="s">
        <v>45</v>
      </c>
      <c r="F415" s="117" t="s">
        <v>52</v>
      </c>
      <c r="G415" s="117" t="s">
        <v>42</v>
      </c>
      <c r="H415" s="118">
        <v>45541</v>
      </c>
      <c r="I415" s="135">
        <v>119</v>
      </c>
      <c r="J415" s="140">
        <v>280</v>
      </c>
      <c r="K415" s="148">
        <v>0.14000000000000001</v>
      </c>
      <c r="L415" s="166" t="s">
        <v>36</v>
      </c>
      <c r="M415" s="156">
        <v>33320</v>
      </c>
      <c r="N415" s="156">
        <v>28655.200000000001</v>
      </c>
      <c r="O415" s="169" t="s">
        <v>265</v>
      </c>
    </row>
    <row r="416" spans="1:15" x14ac:dyDescent="0.3">
      <c r="A416" s="111" t="s">
        <v>1322</v>
      </c>
      <c r="B416" s="112" t="s">
        <v>25</v>
      </c>
      <c r="C416" s="113" t="s">
        <v>257</v>
      </c>
      <c r="D416" s="113" t="s">
        <v>26</v>
      </c>
      <c r="E416" s="113" t="s">
        <v>33</v>
      </c>
      <c r="F416" s="113" t="s">
        <v>52</v>
      </c>
      <c r="G416" s="113" t="s">
        <v>56</v>
      </c>
      <c r="H416" s="114">
        <v>45553</v>
      </c>
      <c r="I416" s="134">
        <v>39</v>
      </c>
      <c r="J416" s="139">
        <v>350</v>
      </c>
      <c r="K416" s="147">
        <v>0.15</v>
      </c>
      <c r="L416" s="165" t="s">
        <v>36</v>
      </c>
      <c r="M416" s="155">
        <v>13650</v>
      </c>
      <c r="N416" s="155">
        <v>11602.5</v>
      </c>
      <c r="O416" s="168" t="s">
        <v>265</v>
      </c>
    </row>
    <row r="417" spans="1:15" x14ac:dyDescent="0.3">
      <c r="A417" s="115" t="s">
        <v>1323</v>
      </c>
      <c r="B417" s="116" t="s">
        <v>61</v>
      </c>
      <c r="C417" s="117" t="s">
        <v>244</v>
      </c>
      <c r="D417" s="117" t="s">
        <v>26</v>
      </c>
      <c r="E417" s="117" t="s">
        <v>27</v>
      </c>
      <c r="F417" s="117" t="s">
        <v>46</v>
      </c>
      <c r="G417" s="117" t="s">
        <v>35</v>
      </c>
      <c r="H417" s="118">
        <v>45553</v>
      </c>
      <c r="I417" s="135">
        <v>87</v>
      </c>
      <c r="J417" s="140">
        <v>280</v>
      </c>
      <c r="K417" s="148">
        <v>0</v>
      </c>
      <c r="L417" s="166" t="s">
        <v>36</v>
      </c>
      <c r="M417" s="156">
        <v>24360</v>
      </c>
      <c r="N417" s="156">
        <v>24360</v>
      </c>
      <c r="O417" s="169" t="s">
        <v>265</v>
      </c>
    </row>
    <row r="418" spans="1:15" x14ac:dyDescent="0.3">
      <c r="A418" s="111" t="s">
        <v>1324</v>
      </c>
      <c r="B418" s="112" t="s">
        <v>32</v>
      </c>
      <c r="C418" s="113" t="s">
        <v>246</v>
      </c>
      <c r="D418" s="113" t="s">
        <v>26</v>
      </c>
      <c r="E418" s="113" t="s">
        <v>40</v>
      </c>
      <c r="F418" s="113" t="s">
        <v>34</v>
      </c>
      <c r="G418" s="113" t="s">
        <v>42</v>
      </c>
      <c r="H418" s="114">
        <v>45544</v>
      </c>
      <c r="I418" s="134">
        <v>131</v>
      </c>
      <c r="J418" s="139">
        <v>420</v>
      </c>
      <c r="K418" s="147">
        <v>0</v>
      </c>
      <c r="L418" s="165" t="s">
        <v>36</v>
      </c>
      <c r="M418" s="155">
        <v>55020</v>
      </c>
      <c r="N418" s="155">
        <v>55020</v>
      </c>
      <c r="O418" s="168" t="s">
        <v>265</v>
      </c>
    </row>
    <row r="419" spans="1:15" x14ac:dyDescent="0.3">
      <c r="A419" s="115" t="s">
        <v>1325</v>
      </c>
      <c r="B419" s="116" t="s">
        <v>55</v>
      </c>
      <c r="C419" s="117" t="s">
        <v>249</v>
      </c>
      <c r="D419" s="117" t="s">
        <v>39</v>
      </c>
      <c r="E419" s="117" t="s">
        <v>51</v>
      </c>
      <c r="F419" s="117" t="s">
        <v>34</v>
      </c>
      <c r="G419" s="117" t="s">
        <v>47</v>
      </c>
      <c r="H419" s="118">
        <v>45545</v>
      </c>
      <c r="I419" s="135">
        <v>71</v>
      </c>
      <c r="J419" s="140">
        <v>650</v>
      </c>
      <c r="K419" s="148">
        <v>0.11</v>
      </c>
      <c r="L419" s="166" t="s">
        <v>36</v>
      </c>
      <c r="M419" s="156">
        <v>46150</v>
      </c>
      <c r="N419" s="156">
        <v>41073.5</v>
      </c>
      <c r="O419" s="169" t="s">
        <v>265</v>
      </c>
    </row>
    <row r="420" spans="1:15" x14ac:dyDescent="0.3">
      <c r="A420" s="111" t="s">
        <v>1326</v>
      </c>
      <c r="B420" s="112" t="s">
        <v>49</v>
      </c>
      <c r="C420" s="113" t="s">
        <v>251</v>
      </c>
      <c r="D420" s="113" t="s">
        <v>50</v>
      </c>
      <c r="E420" s="113" t="s">
        <v>45</v>
      </c>
      <c r="F420" s="113" t="s">
        <v>41</v>
      </c>
      <c r="G420" s="113" t="s">
        <v>56</v>
      </c>
      <c r="H420" s="114">
        <v>45543</v>
      </c>
      <c r="I420" s="134">
        <v>29</v>
      </c>
      <c r="J420" s="139">
        <v>895</v>
      </c>
      <c r="K420" s="147">
        <v>0.1</v>
      </c>
      <c r="L420" s="165" t="s">
        <v>36</v>
      </c>
      <c r="M420" s="155">
        <v>25955</v>
      </c>
      <c r="N420" s="155">
        <v>23359.5</v>
      </c>
      <c r="O420" s="168" t="s">
        <v>265</v>
      </c>
    </row>
    <row r="421" spans="1:15" x14ac:dyDescent="0.3">
      <c r="A421" s="115" t="s">
        <v>1327</v>
      </c>
      <c r="B421" s="116" t="s">
        <v>32</v>
      </c>
      <c r="C421" s="117" t="s">
        <v>246</v>
      </c>
      <c r="D421" s="117" t="s">
        <v>26</v>
      </c>
      <c r="E421" s="117" t="s">
        <v>51</v>
      </c>
      <c r="F421" s="117" t="s">
        <v>52</v>
      </c>
      <c r="G421" s="117" t="s">
        <v>56</v>
      </c>
      <c r="H421" s="118">
        <v>45546</v>
      </c>
      <c r="I421" s="135">
        <v>70</v>
      </c>
      <c r="J421" s="140">
        <v>420</v>
      </c>
      <c r="K421" s="148">
        <v>0.03</v>
      </c>
      <c r="L421" s="166" t="s">
        <v>30</v>
      </c>
      <c r="M421" s="156">
        <v>29400</v>
      </c>
      <c r="N421" s="156">
        <v>28518</v>
      </c>
      <c r="O421" s="169" t="s">
        <v>265</v>
      </c>
    </row>
    <row r="422" spans="1:15" x14ac:dyDescent="0.3">
      <c r="A422" s="111" t="s">
        <v>1328</v>
      </c>
      <c r="B422" s="112" t="s">
        <v>16</v>
      </c>
      <c r="C422" s="113" t="s">
        <v>250</v>
      </c>
      <c r="D422" s="113" t="s">
        <v>39</v>
      </c>
      <c r="E422" s="113" t="s">
        <v>27</v>
      </c>
      <c r="F422" s="113" t="s">
        <v>34</v>
      </c>
      <c r="G422" s="113" t="s">
        <v>56</v>
      </c>
      <c r="H422" s="114">
        <v>45543</v>
      </c>
      <c r="I422" s="134">
        <v>112</v>
      </c>
      <c r="J422" s="139">
        <v>990</v>
      </c>
      <c r="K422" s="147">
        <v>0.15</v>
      </c>
      <c r="L422" s="165" t="s">
        <v>36</v>
      </c>
      <c r="M422" s="155">
        <v>110880</v>
      </c>
      <c r="N422" s="155">
        <v>94248</v>
      </c>
      <c r="O422" s="168" t="s">
        <v>265</v>
      </c>
    </row>
    <row r="423" spans="1:15" x14ac:dyDescent="0.3">
      <c r="A423" s="115" t="s">
        <v>1329</v>
      </c>
      <c r="B423" s="116" t="s">
        <v>16</v>
      </c>
      <c r="C423" s="117" t="s">
        <v>250</v>
      </c>
      <c r="D423" s="117" t="s">
        <v>39</v>
      </c>
      <c r="E423" s="117" t="s">
        <v>45</v>
      </c>
      <c r="F423" s="117" t="s">
        <v>52</v>
      </c>
      <c r="G423" s="117" t="s">
        <v>29</v>
      </c>
      <c r="H423" s="118">
        <v>45554</v>
      </c>
      <c r="I423" s="135">
        <v>86</v>
      </c>
      <c r="J423" s="140">
        <v>990</v>
      </c>
      <c r="K423" s="148">
        <v>0</v>
      </c>
      <c r="L423" s="166" t="s">
        <v>30</v>
      </c>
      <c r="M423" s="156">
        <v>85140</v>
      </c>
      <c r="N423" s="156">
        <v>85140</v>
      </c>
      <c r="O423" s="169" t="s">
        <v>265</v>
      </c>
    </row>
    <row r="424" spans="1:15" x14ac:dyDescent="0.3">
      <c r="A424" s="111" t="s">
        <v>1330</v>
      </c>
      <c r="B424" s="112" t="s">
        <v>44</v>
      </c>
      <c r="C424" s="113" t="s">
        <v>254</v>
      </c>
      <c r="D424" s="113" t="s">
        <v>39</v>
      </c>
      <c r="E424" s="113" t="s">
        <v>40</v>
      </c>
      <c r="F424" s="113" t="s">
        <v>34</v>
      </c>
      <c r="G424" s="113" t="s">
        <v>42</v>
      </c>
      <c r="H424" s="114">
        <v>45564</v>
      </c>
      <c r="I424" s="134">
        <v>40</v>
      </c>
      <c r="J424" s="139">
        <v>200</v>
      </c>
      <c r="K424" s="147">
        <v>0.13</v>
      </c>
      <c r="L424" s="165" t="s">
        <v>36</v>
      </c>
      <c r="M424" s="155">
        <v>8000</v>
      </c>
      <c r="N424" s="155">
        <v>6960</v>
      </c>
      <c r="O424" s="168" t="s">
        <v>265</v>
      </c>
    </row>
    <row r="425" spans="1:15" x14ac:dyDescent="0.3">
      <c r="A425" s="115" t="s">
        <v>1331</v>
      </c>
      <c r="B425" s="116" t="s">
        <v>61</v>
      </c>
      <c r="C425" s="117" t="s">
        <v>244</v>
      </c>
      <c r="D425" s="117" t="s">
        <v>26</v>
      </c>
      <c r="E425" s="117" t="s">
        <v>40</v>
      </c>
      <c r="F425" s="117" t="s">
        <v>41</v>
      </c>
      <c r="G425" s="117" t="s">
        <v>56</v>
      </c>
      <c r="H425" s="118">
        <v>45543</v>
      </c>
      <c r="I425" s="135">
        <v>179</v>
      </c>
      <c r="J425" s="140">
        <v>280</v>
      </c>
      <c r="K425" s="148">
        <v>0.13</v>
      </c>
      <c r="L425" s="166" t="s">
        <v>36</v>
      </c>
      <c r="M425" s="156">
        <v>50120</v>
      </c>
      <c r="N425" s="156">
        <v>43604.4</v>
      </c>
      <c r="O425" s="169" t="s">
        <v>265</v>
      </c>
    </row>
    <row r="426" spans="1:15" x14ac:dyDescent="0.3">
      <c r="A426" s="111" t="s">
        <v>1332</v>
      </c>
      <c r="B426" s="112" t="s">
        <v>61</v>
      </c>
      <c r="C426" s="113" t="s">
        <v>244</v>
      </c>
      <c r="D426" s="113" t="s">
        <v>26</v>
      </c>
      <c r="E426" s="113" t="s">
        <v>33</v>
      </c>
      <c r="F426" s="113" t="s">
        <v>46</v>
      </c>
      <c r="G426" s="113" t="s">
        <v>35</v>
      </c>
      <c r="H426" s="114">
        <v>45546</v>
      </c>
      <c r="I426" s="134">
        <v>160</v>
      </c>
      <c r="J426" s="139">
        <v>280</v>
      </c>
      <c r="K426" s="147">
        <v>0.1</v>
      </c>
      <c r="L426" s="165" t="s">
        <v>36</v>
      </c>
      <c r="M426" s="155">
        <v>44800</v>
      </c>
      <c r="N426" s="155">
        <v>40320</v>
      </c>
      <c r="O426" s="168" t="s">
        <v>265</v>
      </c>
    </row>
    <row r="427" spans="1:15" x14ac:dyDescent="0.3">
      <c r="A427" s="115" t="s">
        <v>1333</v>
      </c>
      <c r="B427" s="116" t="s">
        <v>49</v>
      </c>
      <c r="C427" s="117" t="s">
        <v>251</v>
      </c>
      <c r="D427" s="117" t="s">
        <v>50</v>
      </c>
      <c r="E427" s="117" t="s">
        <v>40</v>
      </c>
      <c r="F427" s="117" t="s">
        <v>46</v>
      </c>
      <c r="G427" s="117" t="s">
        <v>56</v>
      </c>
      <c r="H427" s="118">
        <v>45558</v>
      </c>
      <c r="I427" s="135">
        <v>24</v>
      </c>
      <c r="J427" s="140">
        <v>895</v>
      </c>
      <c r="K427" s="148">
        <v>0.03</v>
      </c>
      <c r="L427" s="166" t="s">
        <v>36</v>
      </c>
      <c r="M427" s="156">
        <v>21480</v>
      </c>
      <c r="N427" s="156">
        <v>20835.599999999999</v>
      </c>
      <c r="O427" s="169" t="s">
        <v>265</v>
      </c>
    </row>
    <row r="428" spans="1:15" x14ac:dyDescent="0.3">
      <c r="A428" s="111" t="s">
        <v>1334</v>
      </c>
      <c r="B428" s="112" t="s">
        <v>38</v>
      </c>
      <c r="C428" s="113" t="s">
        <v>247</v>
      </c>
      <c r="D428" s="113" t="s">
        <v>39</v>
      </c>
      <c r="E428" s="113" t="s">
        <v>45</v>
      </c>
      <c r="F428" s="113" t="s">
        <v>41</v>
      </c>
      <c r="G428" s="113" t="s">
        <v>56</v>
      </c>
      <c r="H428" s="114">
        <v>45545</v>
      </c>
      <c r="I428" s="134">
        <v>115</v>
      </c>
      <c r="J428" s="139">
        <v>1200</v>
      </c>
      <c r="K428" s="147">
        <v>0</v>
      </c>
      <c r="L428" s="165" t="s">
        <v>36</v>
      </c>
      <c r="M428" s="155">
        <v>138000</v>
      </c>
      <c r="N428" s="155">
        <v>138000</v>
      </c>
      <c r="O428" s="168" t="s">
        <v>267</v>
      </c>
    </row>
    <row r="429" spans="1:15" x14ac:dyDescent="0.3">
      <c r="A429" s="115" t="s">
        <v>1335</v>
      </c>
      <c r="B429" s="116" t="s">
        <v>61</v>
      </c>
      <c r="C429" s="117" t="s">
        <v>244</v>
      </c>
      <c r="D429" s="117" t="s">
        <v>26</v>
      </c>
      <c r="E429" s="117" t="s">
        <v>51</v>
      </c>
      <c r="F429" s="117" t="s">
        <v>34</v>
      </c>
      <c r="G429" s="117" t="s">
        <v>56</v>
      </c>
      <c r="H429" s="118">
        <v>45553</v>
      </c>
      <c r="I429" s="135">
        <v>68</v>
      </c>
      <c r="J429" s="140">
        <v>280</v>
      </c>
      <c r="K429" s="148">
        <v>0.15</v>
      </c>
      <c r="L429" s="166" t="s">
        <v>36</v>
      </c>
      <c r="M429" s="156">
        <v>19040</v>
      </c>
      <c r="N429" s="156">
        <v>16184</v>
      </c>
      <c r="O429" s="169" t="s">
        <v>265</v>
      </c>
    </row>
    <row r="430" spans="1:15" x14ac:dyDescent="0.3">
      <c r="A430" s="111" t="s">
        <v>1336</v>
      </c>
      <c r="B430" s="112" t="s">
        <v>58</v>
      </c>
      <c r="C430" s="113" t="s">
        <v>255</v>
      </c>
      <c r="D430" s="113" t="s">
        <v>59</v>
      </c>
      <c r="E430" s="113" t="s">
        <v>45</v>
      </c>
      <c r="F430" s="113" t="s">
        <v>34</v>
      </c>
      <c r="G430" s="113" t="s">
        <v>42</v>
      </c>
      <c r="H430" s="114">
        <v>45539</v>
      </c>
      <c r="I430" s="134">
        <v>78</v>
      </c>
      <c r="J430" s="139">
        <v>2800</v>
      </c>
      <c r="K430" s="147">
        <v>7.0000000000000007E-2</v>
      </c>
      <c r="L430" s="165" t="s">
        <v>30</v>
      </c>
      <c r="M430" s="155">
        <v>218400</v>
      </c>
      <c r="N430" s="155">
        <v>203112</v>
      </c>
      <c r="O430" s="168" t="s">
        <v>267</v>
      </c>
    </row>
    <row r="431" spans="1:15" x14ac:dyDescent="0.3">
      <c r="A431" s="115" t="s">
        <v>1337</v>
      </c>
      <c r="B431" s="116" t="s">
        <v>63</v>
      </c>
      <c r="C431" s="117" t="s">
        <v>253</v>
      </c>
      <c r="D431" s="117" t="s">
        <v>50</v>
      </c>
      <c r="E431" s="117" t="s">
        <v>45</v>
      </c>
      <c r="F431" s="117" t="s">
        <v>52</v>
      </c>
      <c r="G431" s="117" t="s">
        <v>56</v>
      </c>
      <c r="H431" s="118">
        <v>45550</v>
      </c>
      <c r="I431" s="135">
        <v>146</v>
      </c>
      <c r="J431" s="140">
        <v>750</v>
      </c>
      <c r="K431" s="148">
        <v>0.1</v>
      </c>
      <c r="L431" s="166" t="s">
        <v>30</v>
      </c>
      <c r="M431" s="156">
        <v>109500</v>
      </c>
      <c r="N431" s="156">
        <v>98550</v>
      </c>
      <c r="O431" s="169" t="s">
        <v>265</v>
      </c>
    </row>
    <row r="432" spans="1:15" x14ac:dyDescent="0.3">
      <c r="A432" s="111" t="s">
        <v>1338</v>
      </c>
      <c r="B432" s="112" t="s">
        <v>44</v>
      </c>
      <c r="C432" s="113" t="s">
        <v>254</v>
      </c>
      <c r="D432" s="113" t="s">
        <v>39</v>
      </c>
      <c r="E432" s="113" t="s">
        <v>40</v>
      </c>
      <c r="F432" s="113" t="s">
        <v>34</v>
      </c>
      <c r="G432" s="113" t="s">
        <v>29</v>
      </c>
      <c r="H432" s="114">
        <v>45555</v>
      </c>
      <c r="I432" s="134">
        <v>228</v>
      </c>
      <c r="J432" s="139">
        <v>200</v>
      </c>
      <c r="K432" s="147">
        <v>0.14000000000000001</v>
      </c>
      <c r="L432" s="165" t="s">
        <v>30</v>
      </c>
      <c r="M432" s="155">
        <v>45600</v>
      </c>
      <c r="N432" s="155">
        <v>39216</v>
      </c>
      <c r="O432" s="168" t="s">
        <v>265</v>
      </c>
    </row>
    <row r="433" spans="1:15" x14ac:dyDescent="0.3">
      <c r="A433" s="115" t="s">
        <v>1339</v>
      </c>
      <c r="B433" s="116" t="s">
        <v>55</v>
      </c>
      <c r="C433" s="117" t="s">
        <v>249</v>
      </c>
      <c r="D433" s="117" t="s">
        <v>39</v>
      </c>
      <c r="E433" s="117" t="s">
        <v>27</v>
      </c>
      <c r="F433" s="117" t="s">
        <v>46</v>
      </c>
      <c r="G433" s="117" t="s">
        <v>29</v>
      </c>
      <c r="H433" s="118">
        <v>45544</v>
      </c>
      <c r="I433" s="135">
        <v>97</v>
      </c>
      <c r="J433" s="140">
        <v>650</v>
      </c>
      <c r="K433" s="148">
        <v>0.08</v>
      </c>
      <c r="L433" s="166" t="s">
        <v>36</v>
      </c>
      <c r="M433" s="156">
        <v>63050</v>
      </c>
      <c r="N433" s="156">
        <v>58006</v>
      </c>
      <c r="O433" s="169" t="s">
        <v>265</v>
      </c>
    </row>
    <row r="434" spans="1:15" x14ac:dyDescent="0.3">
      <c r="A434" s="111" t="s">
        <v>1340</v>
      </c>
      <c r="B434" s="112" t="s">
        <v>25</v>
      </c>
      <c r="C434" s="113" t="s">
        <v>257</v>
      </c>
      <c r="D434" s="113" t="s">
        <v>26</v>
      </c>
      <c r="E434" s="113" t="s">
        <v>33</v>
      </c>
      <c r="F434" s="113" t="s">
        <v>52</v>
      </c>
      <c r="G434" s="113" t="s">
        <v>53</v>
      </c>
      <c r="H434" s="114">
        <v>45537</v>
      </c>
      <c r="I434" s="134">
        <v>194</v>
      </c>
      <c r="J434" s="139">
        <v>350</v>
      </c>
      <c r="K434" s="147">
        <v>0.11</v>
      </c>
      <c r="L434" s="165" t="s">
        <v>30</v>
      </c>
      <c r="M434" s="155">
        <v>67900</v>
      </c>
      <c r="N434" s="155">
        <v>60431</v>
      </c>
      <c r="O434" s="168" t="s">
        <v>265</v>
      </c>
    </row>
    <row r="435" spans="1:15" x14ac:dyDescent="0.3">
      <c r="A435" s="115" t="s">
        <v>1341</v>
      </c>
      <c r="B435" s="116" t="s">
        <v>16</v>
      </c>
      <c r="C435" s="117" t="s">
        <v>250</v>
      </c>
      <c r="D435" s="117" t="s">
        <v>39</v>
      </c>
      <c r="E435" s="117" t="s">
        <v>40</v>
      </c>
      <c r="F435" s="117" t="s">
        <v>52</v>
      </c>
      <c r="G435" s="117" t="s">
        <v>29</v>
      </c>
      <c r="H435" s="118">
        <v>45546</v>
      </c>
      <c r="I435" s="135">
        <v>106</v>
      </c>
      <c r="J435" s="140">
        <v>990</v>
      </c>
      <c r="K435" s="148">
        <v>0.13</v>
      </c>
      <c r="L435" s="166" t="s">
        <v>36</v>
      </c>
      <c r="M435" s="156">
        <v>104940</v>
      </c>
      <c r="N435" s="156">
        <v>91297.8</v>
      </c>
      <c r="O435" s="169" t="s">
        <v>265</v>
      </c>
    </row>
    <row r="436" spans="1:15" x14ac:dyDescent="0.3">
      <c r="A436" s="111" t="s">
        <v>1342</v>
      </c>
      <c r="B436" s="112" t="s">
        <v>38</v>
      </c>
      <c r="C436" s="113" t="s">
        <v>247</v>
      </c>
      <c r="D436" s="113" t="s">
        <v>39</v>
      </c>
      <c r="E436" s="113" t="s">
        <v>45</v>
      </c>
      <c r="F436" s="113" t="s">
        <v>28</v>
      </c>
      <c r="G436" s="113" t="s">
        <v>29</v>
      </c>
      <c r="H436" s="114">
        <v>45590</v>
      </c>
      <c r="I436" s="134">
        <v>49</v>
      </c>
      <c r="J436" s="139">
        <v>1200</v>
      </c>
      <c r="K436" s="147">
        <v>0.12</v>
      </c>
      <c r="L436" s="165" t="s">
        <v>36</v>
      </c>
      <c r="M436" s="155">
        <v>58800</v>
      </c>
      <c r="N436" s="155">
        <v>51744</v>
      </c>
      <c r="O436" s="168" t="s">
        <v>265</v>
      </c>
    </row>
    <row r="437" spans="1:15" x14ac:dyDescent="0.3">
      <c r="A437" s="115" t="s">
        <v>1343</v>
      </c>
      <c r="B437" s="116" t="s">
        <v>63</v>
      </c>
      <c r="C437" s="117" t="s">
        <v>253</v>
      </c>
      <c r="D437" s="117" t="s">
        <v>50</v>
      </c>
      <c r="E437" s="117" t="s">
        <v>40</v>
      </c>
      <c r="F437" s="117" t="s">
        <v>46</v>
      </c>
      <c r="G437" s="117" t="s">
        <v>29</v>
      </c>
      <c r="H437" s="118">
        <v>45577</v>
      </c>
      <c r="I437" s="135">
        <v>128</v>
      </c>
      <c r="J437" s="140">
        <v>750</v>
      </c>
      <c r="K437" s="148">
        <v>0.15</v>
      </c>
      <c r="L437" s="166" t="s">
        <v>36</v>
      </c>
      <c r="M437" s="156">
        <v>96000</v>
      </c>
      <c r="N437" s="156">
        <v>81600</v>
      </c>
      <c r="O437" s="169" t="s">
        <v>265</v>
      </c>
    </row>
    <row r="438" spans="1:15" x14ac:dyDescent="0.3">
      <c r="A438" s="111" t="s">
        <v>1344</v>
      </c>
      <c r="B438" s="112" t="s">
        <v>16</v>
      </c>
      <c r="C438" s="113" t="s">
        <v>250</v>
      </c>
      <c r="D438" s="113" t="s">
        <v>39</v>
      </c>
      <c r="E438" s="113" t="s">
        <v>33</v>
      </c>
      <c r="F438" s="113" t="s">
        <v>28</v>
      </c>
      <c r="G438" s="113" t="s">
        <v>53</v>
      </c>
      <c r="H438" s="114">
        <v>45590</v>
      </c>
      <c r="I438" s="134">
        <v>57</v>
      </c>
      <c r="J438" s="139">
        <v>990</v>
      </c>
      <c r="K438" s="147">
        <v>0.08</v>
      </c>
      <c r="L438" s="165" t="s">
        <v>36</v>
      </c>
      <c r="M438" s="155">
        <v>56430</v>
      </c>
      <c r="N438" s="155">
        <v>51915.6</v>
      </c>
      <c r="O438" s="168" t="s">
        <v>265</v>
      </c>
    </row>
    <row r="439" spans="1:15" x14ac:dyDescent="0.3">
      <c r="A439" s="115" t="s">
        <v>1345</v>
      </c>
      <c r="B439" s="116" t="s">
        <v>32</v>
      </c>
      <c r="C439" s="117" t="s">
        <v>246</v>
      </c>
      <c r="D439" s="117" t="s">
        <v>26</v>
      </c>
      <c r="E439" s="117" t="s">
        <v>40</v>
      </c>
      <c r="F439" s="117" t="s">
        <v>46</v>
      </c>
      <c r="G439" s="117" t="s">
        <v>47</v>
      </c>
      <c r="H439" s="118">
        <v>45596</v>
      </c>
      <c r="I439" s="135">
        <v>121</v>
      </c>
      <c r="J439" s="140">
        <v>420</v>
      </c>
      <c r="K439" s="148">
        <v>0.11</v>
      </c>
      <c r="L439" s="166" t="s">
        <v>36</v>
      </c>
      <c r="M439" s="156">
        <v>50820</v>
      </c>
      <c r="N439" s="156">
        <v>45229.8</v>
      </c>
      <c r="O439" s="169" t="s">
        <v>265</v>
      </c>
    </row>
    <row r="440" spans="1:15" x14ac:dyDescent="0.3">
      <c r="A440" s="111" t="s">
        <v>1346</v>
      </c>
      <c r="B440" s="112" t="s">
        <v>61</v>
      </c>
      <c r="C440" s="113" t="s">
        <v>244</v>
      </c>
      <c r="D440" s="113" t="s">
        <v>26</v>
      </c>
      <c r="E440" s="113" t="s">
        <v>45</v>
      </c>
      <c r="F440" s="113" t="s">
        <v>46</v>
      </c>
      <c r="G440" s="113" t="s">
        <v>53</v>
      </c>
      <c r="H440" s="114">
        <v>45573</v>
      </c>
      <c r="I440" s="134">
        <v>89</v>
      </c>
      <c r="J440" s="139">
        <v>280</v>
      </c>
      <c r="K440" s="147">
        <v>0.05</v>
      </c>
      <c r="L440" s="165" t="s">
        <v>36</v>
      </c>
      <c r="M440" s="155">
        <v>24920</v>
      </c>
      <c r="N440" s="155">
        <v>23674</v>
      </c>
      <c r="O440" s="168" t="s">
        <v>265</v>
      </c>
    </row>
    <row r="441" spans="1:15" x14ac:dyDescent="0.3">
      <c r="A441" s="115" t="s">
        <v>1347</v>
      </c>
      <c r="B441" s="116" t="s">
        <v>55</v>
      </c>
      <c r="C441" s="117" t="s">
        <v>249</v>
      </c>
      <c r="D441" s="117" t="s">
        <v>39</v>
      </c>
      <c r="E441" s="117" t="s">
        <v>40</v>
      </c>
      <c r="F441" s="117" t="s">
        <v>52</v>
      </c>
      <c r="G441" s="117" t="s">
        <v>29</v>
      </c>
      <c r="H441" s="118">
        <v>45567</v>
      </c>
      <c r="I441" s="135">
        <v>54</v>
      </c>
      <c r="J441" s="140">
        <v>650</v>
      </c>
      <c r="K441" s="148">
        <v>0.1</v>
      </c>
      <c r="L441" s="166" t="s">
        <v>36</v>
      </c>
      <c r="M441" s="156">
        <v>35100</v>
      </c>
      <c r="N441" s="156">
        <v>31590</v>
      </c>
      <c r="O441" s="169" t="s">
        <v>265</v>
      </c>
    </row>
    <row r="442" spans="1:15" x14ac:dyDescent="0.3">
      <c r="A442" s="111" t="s">
        <v>1348</v>
      </c>
      <c r="B442" s="112" t="s">
        <v>38</v>
      </c>
      <c r="C442" s="113" t="s">
        <v>247</v>
      </c>
      <c r="D442" s="113" t="s">
        <v>39</v>
      </c>
      <c r="E442" s="113" t="s">
        <v>27</v>
      </c>
      <c r="F442" s="113" t="s">
        <v>52</v>
      </c>
      <c r="G442" s="113" t="s">
        <v>29</v>
      </c>
      <c r="H442" s="114">
        <v>45595</v>
      </c>
      <c r="I442" s="134">
        <v>39</v>
      </c>
      <c r="J442" s="139">
        <v>1200</v>
      </c>
      <c r="K442" s="147">
        <v>0</v>
      </c>
      <c r="L442" s="165" t="s">
        <v>36</v>
      </c>
      <c r="M442" s="155">
        <v>46800</v>
      </c>
      <c r="N442" s="155">
        <v>46800</v>
      </c>
      <c r="O442" s="168" t="s">
        <v>265</v>
      </c>
    </row>
    <row r="443" spans="1:15" x14ac:dyDescent="0.3">
      <c r="A443" s="115" t="s">
        <v>1349</v>
      </c>
      <c r="B443" s="116" t="s">
        <v>61</v>
      </c>
      <c r="C443" s="117" t="s">
        <v>244</v>
      </c>
      <c r="D443" s="117" t="s">
        <v>26</v>
      </c>
      <c r="E443" s="117" t="s">
        <v>45</v>
      </c>
      <c r="F443" s="117" t="s">
        <v>28</v>
      </c>
      <c r="G443" s="117" t="s">
        <v>29</v>
      </c>
      <c r="H443" s="118">
        <v>45581</v>
      </c>
      <c r="I443" s="135">
        <v>54</v>
      </c>
      <c r="J443" s="140">
        <v>280</v>
      </c>
      <c r="K443" s="148">
        <v>0.08</v>
      </c>
      <c r="L443" s="166" t="s">
        <v>30</v>
      </c>
      <c r="M443" s="156">
        <v>15120</v>
      </c>
      <c r="N443" s="156">
        <v>13910.4</v>
      </c>
      <c r="O443" s="169" t="s">
        <v>265</v>
      </c>
    </row>
    <row r="444" spans="1:15" x14ac:dyDescent="0.3">
      <c r="A444" s="111" t="s">
        <v>1350</v>
      </c>
      <c r="B444" s="112" t="s">
        <v>61</v>
      </c>
      <c r="C444" s="113" t="s">
        <v>244</v>
      </c>
      <c r="D444" s="113" t="s">
        <v>26</v>
      </c>
      <c r="E444" s="113" t="s">
        <v>33</v>
      </c>
      <c r="F444" s="113" t="s">
        <v>34</v>
      </c>
      <c r="G444" s="113" t="s">
        <v>29</v>
      </c>
      <c r="H444" s="114">
        <v>45594</v>
      </c>
      <c r="I444" s="134">
        <v>215</v>
      </c>
      <c r="J444" s="139">
        <v>280</v>
      </c>
      <c r="K444" s="147">
        <v>0.03</v>
      </c>
      <c r="L444" s="165" t="s">
        <v>36</v>
      </c>
      <c r="M444" s="155">
        <v>60200</v>
      </c>
      <c r="N444" s="155">
        <v>58394</v>
      </c>
      <c r="O444" s="168" t="s">
        <v>265</v>
      </c>
    </row>
    <row r="445" spans="1:15" x14ac:dyDescent="0.3">
      <c r="A445" s="115" t="s">
        <v>1351</v>
      </c>
      <c r="B445" s="116" t="s">
        <v>25</v>
      </c>
      <c r="C445" s="117" t="s">
        <v>257</v>
      </c>
      <c r="D445" s="117" t="s">
        <v>26</v>
      </c>
      <c r="E445" s="117" t="s">
        <v>27</v>
      </c>
      <c r="F445" s="117" t="s">
        <v>28</v>
      </c>
      <c r="G445" s="117" t="s">
        <v>47</v>
      </c>
      <c r="H445" s="118">
        <v>45595</v>
      </c>
      <c r="I445" s="135">
        <v>179</v>
      </c>
      <c r="J445" s="140">
        <v>350</v>
      </c>
      <c r="K445" s="148">
        <v>0.14000000000000001</v>
      </c>
      <c r="L445" s="166" t="s">
        <v>36</v>
      </c>
      <c r="M445" s="156">
        <v>62650</v>
      </c>
      <c r="N445" s="156">
        <v>53879</v>
      </c>
      <c r="O445" s="169" t="s">
        <v>265</v>
      </c>
    </row>
    <row r="446" spans="1:15" x14ac:dyDescent="0.3">
      <c r="A446" s="111" t="s">
        <v>1352</v>
      </c>
      <c r="B446" s="112" t="s">
        <v>55</v>
      </c>
      <c r="C446" s="113" t="s">
        <v>249</v>
      </c>
      <c r="D446" s="113" t="s">
        <v>39</v>
      </c>
      <c r="E446" s="113" t="s">
        <v>33</v>
      </c>
      <c r="F446" s="113" t="s">
        <v>34</v>
      </c>
      <c r="G446" s="113" t="s">
        <v>42</v>
      </c>
      <c r="H446" s="114">
        <v>45591</v>
      </c>
      <c r="I446" s="134">
        <v>178</v>
      </c>
      <c r="J446" s="139">
        <v>650</v>
      </c>
      <c r="K446" s="147">
        <v>7.0000000000000007E-2</v>
      </c>
      <c r="L446" s="165" t="s">
        <v>30</v>
      </c>
      <c r="M446" s="155">
        <v>115700</v>
      </c>
      <c r="N446" s="155">
        <v>107601</v>
      </c>
      <c r="O446" s="168" t="s">
        <v>267</v>
      </c>
    </row>
    <row r="447" spans="1:15" x14ac:dyDescent="0.3">
      <c r="A447" s="115" t="s">
        <v>1353</v>
      </c>
      <c r="B447" s="116" t="s">
        <v>44</v>
      </c>
      <c r="C447" s="117" t="s">
        <v>254</v>
      </c>
      <c r="D447" s="117" t="s">
        <v>39</v>
      </c>
      <c r="E447" s="117" t="s">
        <v>51</v>
      </c>
      <c r="F447" s="117" t="s">
        <v>34</v>
      </c>
      <c r="G447" s="117" t="s">
        <v>42</v>
      </c>
      <c r="H447" s="118">
        <v>45568</v>
      </c>
      <c r="I447" s="135">
        <v>122</v>
      </c>
      <c r="J447" s="140">
        <v>200</v>
      </c>
      <c r="K447" s="148">
        <v>0.1</v>
      </c>
      <c r="L447" s="166" t="s">
        <v>36</v>
      </c>
      <c r="M447" s="156">
        <v>24400</v>
      </c>
      <c r="N447" s="156">
        <v>21960</v>
      </c>
      <c r="O447" s="169" t="s">
        <v>265</v>
      </c>
    </row>
    <row r="448" spans="1:15" x14ac:dyDescent="0.3">
      <c r="A448" s="111" t="s">
        <v>1354</v>
      </c>
      <c r="B448" s="112" t="s">
        <v>61</v>
      </c>
      <c r="C448" s="113" t="s">
        <v>244</v>
      </c>
      <c r="D448" s="113" t="s">
        <v>26</v>
      </c>
      <c r="E448" s="113" t="s">
        <v>33</v>
      </c>
      <c r="F448" s="113" t="s">
        <v>34</v>
      </c>
      <c r="G448" s="113" t="s">
        <v>42</v>
      </c>
      <c r="H448" s="114">
        <v>45583</v>
      </c>
      <c r="I448" s="134">
        <v>102</v>
      </c>
      <c r="J448" s="139">
        <v>280</v>
      </c>
      <c r="K448" s="147">
        <v>7.0000000000000007E-2</v>
      </c>
      <c r="L448" s="165" t="s">
        <v>30</v>
      </c>
      <c r="M448" s="155">
        <v>28560</v>
      </c>
      <c r="N448" s="155">
        <v>26560.799999999999</v>
      </c>
      <c r="O448" s="168" t="s">
        <v>265</v>
      </c>
    </row>
    <row r="449" spans="1:15" x14ac:dyDescent="0.3">
      <c r="A449" s="115" t="s">
        <v>1355</v>
      </c>
      <c r="B449" s="116" t="s">
        <v>55</v>
      </c>
      <c r="C449" s="117" t="s">
        <v>249</v>
      </c>
      <c r="D449" s="117" t="s">
        <v>39</v>
      </c>
      <c r="E449" s="117" t="s">
        <v>45</v>
      </c>
      <c r="F449" s="117" t="s">
        <v>46</v>
      </c>
      <c r="G449" s="117" t="s">
        <v>29</v>
      </c>
      <c r="H449" s="118">
        <v>45588</v>
      </c>
      <c r="I449" s="135">
        <v>92</v>
      </c>
      <c r="J449" s="140">
        <v>650</v>
      </c>
      <c r="K449" s="148">
        <v>0.03</v>
      </c>
      <c r="L449" s="166" t="s">
        <v>36</v>
      </c>
      <c r="M449" s="156">
        <v>59800</v>
      </c>
      <c r="N449" s="156">
        <v>58006</v>
      </c>
      <c r="O449" s="169" t="s">
        <v>265</v>
      </c>
    </row>
    <row r="450" spans="1:15" x14ac:dyDescent="0.3">
      <c r="A450" s="111" t="s">
        <v>1356</v>
      </c>
      <c r="B450" s="112" t="s">
        <v>44</v>
      </c>
      <c r="C450" s="113" t="s">
        <v>254</v>
      </c>
      <c r="D450" s="113" t="s">
        <v>39</v>
      </c>
      <c r="E450" s="113" t="s">
        <v>27</v>
      </c>
      <c r="F450" s="113" t="s">
        <v>52</v>
      </c>
      <c r="G450" s="113" t="s">
        <v>53</v>
      </c>
      <c r="H450" s="114">
        <v>45595</v>
      </c>
      <c r="I450" s="134">
        <v>92</v>
      </c>
      <c r="J450" s="139">
        <v>200</v>
      </c>
      <c r="K450" s="147">
        <v>0.14000000000000001</v>
      </c>
      <c r="L450" s="165" t="s">
        <v>36</v>
      </c>
      <c r="M450" s="155">
        <v>18400</v>
      </c>
      <c r="N450" s="155">
        <v>15824</v>
      </c>
      <c r="O450" s="168" t="s">
        <v>265</v>
      </c>
    </row>
    <row r="451" spans="1:15" x14ac:dyDescent="0.3">
      <c r="A451" s="115" t="s">
        <v>1357</v>
      </c>
      <c r="B451" s="116" t="s">
        <v>38</v>
      </c>
      <c r="C451" s="117" t="s">
        <v>247</v>
      </c>
      <c r="D451" s="117" t="s">
        <v>39</v>
      </c>
      <c r="E451" s="117" t="s">
        <v>51</v>
      </c>
      <c r="F451" s="117" t="s">
        <v>46</v>
      </c>
      <c r="G451" s="117" t="s">
        <v>47</v>
      </c>
      <c r="H451" s="118">
        <v>45585</v>
      </c>
      <c r="I451" s="135">
        <v>90</v>
      </c>
      <c r="J451" s="140">
        <v>1200</v>
      </c>
      <c r="K451" s="148">
        <v>0.08</v>
      </c>
      <c r="L451" s="166" t="s">
        <v>30</v>
      </c>
      <c r="M451" s="156">
        <v>108000</v>
      </c>
      <c r="N451" s="156">
        <v>99360</v>
      </c>
      <c r="O451" s="169" t="s">
        <v>265</v>
      </c>
    </row>
    <row r="452" spans="1:15" x14ac:dyDescent="0.3">
      <c r="A452" s="111" t="s">
        <v>1358</v>
      </c>
      <c r="B452" s="112" t="s">
        <v>38</v>
      </c>
      <c r="C452" s="113" t="s">
        <v>247</v>
      </c>
      <c r="D452" s="113" t="s">
        <v>39</v>
      </c>
      <c r="E452" s="113" t="s">
        <v>40</v>
      </c>
      <c r="F452" s="113" t="s">
        <v>34</v>
      </c>
      <c r="G452" s="113" t="s">
        <v>53</v>
      </c>
      <c r="H452" s="114">
        <v>45592</v>
      </c>
      <c r="I452" s="134">
        <v>83</v>
      </c>
      <c r="J452" s="139">
        <v>1200</v>
      </c>
      <c r="K452" s="147">
        <v>0.03</v>
      </c>
      <c r="L452" s="165" t="s">
        <v>30</v>
      </c>
      <c r="M452" s="155">
        <v>99600</v>
      </c>
      <c r="N452" s="155">
        <v>96612</v>
      </c>
      <c r="O452" s="168" t="s">
        <v>265</v>
      </c>
    </row>
    <row r="453" spans="1:15" x14ac:dyDescent="0.3">
      <c r="A453" s="115" t="s">
        <v>1359</v>
      </c>
      <c r="B453" s="116" t="s">
        <v>55</v>
      </c>
      <c r="C453" s="117" t="s">
        <v>249</v>
      </c>
      <c r="D453" s="117" t="s">
        <v>39</v>
      </c>
      <c r="E453" s="117" t="s">
        <v>40</v>
      </c>
      <c r="F453" s="117" t="s">
        <v>46</v>
      </c>
      <c r="G453" s="117" t="s">
        <v>35</v>
      </c>
      <c r="H453" s="118">
        <v>45578</v>
      </c>
      <c r="I453" s="135">
        <v>102</v>
      </c>
      <c r="J453" s="140">
        <v>650</v>
      </c>
      <c r="K453" s="148">
        <v>7.0000000000000007E-2</v>
      </c>
      <c r="L453" s="166" t="s">
        <v>36</v>
      </c>
      <c r="M453" s="156">
        <v>66300</v>
      </c>
      <c r="N453" s="156">
        <v>61659</v>
      </c>
      <c r="O453" s="169" t="s">
        <v>265</v>
      </c>
    </row>
    <row r="454" spans="1:15" x14ac:dyDescent="0.3">
      <c r="A454" s="111" t="s">
        <v>1360</v>
      </c>
      <c r="B454" s="112" t="s">
        <v>61</v>
      </c>
      <c r="C454" s="113" t="s">
        <v>244</v>
      </c>
      <c r="D454" s="113" t="s">
        <v>26</v>
      </c>
      <c r="E454" s="113" t="s">
        <v>45</v>
      </c>
      <c r="F454" s="113" t="s">
        <v>41</v>
      </c>
      <c r="G454" s="113" t="s">
        <v>42</v>
      </c>
      <c r="H454" s="114">
        <v>45592</v>
      </c>
      <c r="I454" s="134">
        <v>72</v>
      </c>
      <c r="J454" s="139">
        <v>280</v>
      </c>
      <c r="K454" s="147">
        <v>0</v>
      </c>
      <c r="L454" s="165" t="s">
        <v>36</v>
      </c>
      <c r="M454" s="155">
        <v>20160</v>
      </c>
      <c r="N454" s="155">
        <v>20160</v>
      </c>
      <c r="O454" s="168" t="s">
        <v>265</v>
      </c>
    </row>
    <row r="455" spans="1:15" x14ac:dyDescent="0.3">
      <c r="A455" s="115" t="s">
        <v>1361</v>
      </c>
      <c r="B455" s="116" t="s">
        <v>38</v>
      </c>
      <c r="C455" s="117" t="s">
        <v>247</v>
      </c>
      <c r="D455" s="117" t="s">
        <v>39</v>
      </c>
      <c r="E455" s="117" t="s">
        <v>27</v>
      </c>
      <c r="F455" s="117" t="s">
        <v>34</v>
      </c>
      <c r="G455" s="117" t="s">
        <v>42</v>
      </c>
      <c r="H455" s="118">
        <v>45570</v>
      </c>
      <c r="I455" s="135">
        <v>109</v>
      </c>
      <c r="J455" s="140">
        <v>1200</v>
      </c>
      <c r="K455" s="148">
        <v>0</v>
      </c>
      <c r="L455" s="166" t="s">
        <v>30</v>
      </c>
      <c r="M455" s="156">
        <v>130800</v>
      </c>
      <c r="N455" s="156">
        <v>130800</v>
      </c>
      <c r="O455" s="169" t="s">
        <v>267</v>
      </c>
    </row>
    <row r="456" spans="1:15" x14ac:dyDescent="0.3">
      <c r="A456" s="111" t="s">
        <v>1362</v>
      </c>
      <c r="B456" s="112" t="s">
        <v>55</v>
      </c>
      <c r="C456" s="113" t="s">
        <v>249</v>
      </c>
      <c r="D456" s="113" t="s">
        <v>39</v>
      </c>
      <c r="E456" s="113" t="s">
        <v>51</v>
      </c>
      <c r="F456" s="113" t="s">
        <v>34</v>
      </c>
      <c r="G456" s="113" t="s">
        <v>42</v>
      </c>
      <c r="H456" s="114">
        <v>45584</v>
      </c>
      <c r="I456" s="134">
        <v>187</v>
      </c>
      <c r="J456" s="139">
        <v>650</v>
      </c>
      <c r="K456" s="147">
        <v>0.08</v>
      </c>
      <c r="L456" s="165" t="s">
        <v>36</v>
      </c>
      <c r="M456" s="155">
        <v>121550</v>
      </c>
      <c r="N456" s="155">
        <v>111826</v>
      </c>
      <c r="O456" s="168" t="s">
        <v>267</v>
      </c>
    </row>
    <row r="457" spans="1:15" x14ac:dyDescent="0.3">
      <c r="A457" s="115" t="s">
        <v>1363</v>
      </c>
      <c r="B457" s="116" t="s">
        <v>38</v>
      </c>
      <c r="C457" s="117" t="s">
        <v>247</v>
      </c>
      <c r="D457" s="117" t="s">
        <v>39</v>
      </c>
      <c r="E457" s="117" t="s">
        <v>45</v>
      </c>
      <c r="F457" s="117" t="s">
        <v>52</v>
      </c>
      <c r="G457" s="117" t="s">
        <v>42</v>
      </c>
      <c r="H457" s="118">
        <v>45585</v>
      </c>
      <c r="I457" s="135">
        <v>75</v>
      </c>
      <c r="J457" s="140">
        <v>1200</v>
      </c>
      <c r="K457" s="148">
        <v>0</v>
      </c>
      <c r="L457" s="166" t="s">
        <v>36</v>
      </c>
      <c r="M457" s="156">
        <v>90000</v>
      </c>
      <c r="N457" s="156">
        <v>90000</v>
      </c>
      <c r="O457" s="169" t="s">
        <v>265</v>
      </c>
    </row>
    <row r="458" spans="1:15" x14ac:dyDescent="0.3">
      <c r="A458" s="111" t="s">
        <v>1364</v>
      </c>
      <c r="B458" s="112" t="s">
        <v>32</v>
      </c>
      <c r="C458" s="113" t="s">
        <v>246</v>
      </c>
      <c r="D458" s="113" t="s">
        <v>26</v>
      </c>
      <c r="E458" s="113" t="s">
        <v>27</v>
      </c>
      <c r="F458" s="113" t="s">
        <v>41</v>
      </c>
      <c r="G458" s="113" t="s">
        <v>29</v>
      </c>
      <c r="H458" s="114">
        <v>45590</v>
      </c>
      <c r="I458" s="134">
        <v>53</v>
      </c>
      <c r="J458" s="139">
        <v>420</v>
      </c>
      <c r="K458" s="147">
        <v>0.1</v>
      </c>
      <c r="L458" s="165" t="s">
        <v>36</v>
      </c>
      <c r="M458" s="155">
        <v>22260</v>
      </c>
      <c r="N458" s="155">
        <v>20034</v>
      </c>
      <c r="O458" s="168" t="s">
        <v>265</v>
      </c>
    </row>
    <row r="459" spans="1:15" x14ac:dyDescent="0.3">
      <c r="A459" s="115" t="s">
        <v>1365</v>
      </c>
      <c r="B459" s="116" t="s">
        <v>44</v>
      </c>
      <c r="C459" s="117" t="s">
        <v>254</v>
      </c>
      <c r="D459" s="117" t="s">
        <v>39</v>
      </c>
      <c r="E459" s="117" t="s">
        <v>51</v>
      </c>
      <c r="F459" s="117" t="s">
        <v>52</v>
      </c>
      <c r="G459" s="117" t="s">
        <v>47</v>
      </c>
      <c r="H459" s="118">
        <v>45584</v>
      </c>
      <c r="I459" s="135">
        <v>170</v>
      </c>
      <c r="J459" s="140">
        <v>200</v>
      </c>
      <c r="K459" s="148">
        <v>0</v>
      </c>
      <c r="L459" s="166" t="s">
        <v>30</v>
      </c>
      <c r="M459" s="156">
        <v>34000</v>
      </c>
      <c r="N459" s="156">
        <v>34000</v>
      </c>
      <c r="O459" s="169" t="s">
        <v>265</v>
      </c>
    </row>
    <row r="460" spans="1:15" x14ac:dyDescent="0.3">
      <c r="A460" s="111" t="s">
        <v>1366</v>
      </c>
      <c r="B460" s="112" t="s">
        <v>32</v>
      </c>
      <c r="C460" s="113" t="s">
        <v>246</v>
      </c>
      <c r="D460" s="113" t="s">
        <v>26</v>
      </c>
      <c r="E460" s="113" t="s">
        <v>45</v>
      </c>
      <c r="F460" s="113" t="s">
        <v>46</v>
      </c>
      <c r="G460" s="113" t="s">
        <v>47</v>
      </c>
      <c r="H460" s="114">
        <v>45589</v>
      </c>
      <c r="I460" s="134">
        <v>153</v>
      </c>
      <c r="J460" s="139">
        <v>420</v>
      </c>
      <c r="K460" s="147">
        <v>0.05</v>
      </c>
      <c r="L460" s="165" t="s">
        <v>36</v>
      </c>
      <c r="M460" s="155">
        <v>64260</v>
      </c>
      <c r="N460" s="155">
        <v>61047</v>
      </c>
      <c r="O460" s="168" t="s">
        <v>265</v>
      </c>
    </row>
    <row r="461" spans="1:15" x14ac:dyDescent="0.3">
      <c r="A461" s="115" t="s">
        <v>1367</v>
      </c>
      <c r="B461" s="116" t="s">
        <v>32</v>
      </c>
      <c r="C461" s="117" t="s">
        <v>246</v>
      </c>
      <c r="D461" s="117" t="s">
        <v>26</v>
      </c>
      <c r="E461" s="117" t="s">
        <v>40</v>
      </c>
      <c r="F461" s="117" t="s">
        <v>46</v>
      </c>
      <c r="G461" s="117" t="s">
        <v>53</v>
      </c>
      <c r="H461" s="118">
        <v>45591</v>
      </c>
      <c r="I461" s="135">
        <v>158</v>
      </c>
      <c r="J461" s="140">
        <v>420</v>
      </c>
      <c r="K461" s="148">
        <v>0.12</v>
      </c>
      <c r="L461" s="166" t="s">
        <v>36</v>
      </c>
      <c r="M461" s="156">
        <v>66360</v>
      </c>
      <c r="N461" s="156">
        <v>58396.800000000003</v>
      </c>
      <c r="O461" s="169" t="s">
        <v>265</v>
      </c>
    </row>
    <row r="462" spans="1:15" x14ac:dyDescent="0.3">
      <c r="A462" s="111" t="s">
        <v>1368</v>
      </c>
      <c r="B462" s="112" t="s">
        <v>49</v>
      </c>
      <c r="C462" s="113" t="s">
        <v>251</v>
      </c>
      <c r="D462" s="113" t="s">
        <v>50</v>
      </c>
      <c r="E462" s="113" t="s">
        <v>45</v>
      </c>
      <c r="F462" s="113" t="s">
        <v>52</v>
      </c>
      <c r="G462" s="113" t="s">
        <v>56</v>
      </c>
      <c r="H462" s="114">
        <v>45574</v>
      </c>
      <c r="I462" s="134">
        <v>37</v>
      </c>
      <c r="J462" s="139">
        <v>895</v>
      </c>
      <c r="K462" s="147">
        <v>0.13</v>
      </c>
      <c r="L462" s="165" t="s">
        <v>36</v>
      </c>
      <c r="M462" s="155">
        <v>33115</v>
      </c>
      <c r="N462" s="155">
        <v>28810.05</v>
      </c>
      <c r="O462" s="168" t="s">
        <v>265</v>
      </c>
    </row>
    <row r="463" spans="1:15" x14ac:dyDescent="0.3">
      <c r="A463" s="115" t="s">
        <v>1369</v>
      </c>
      <c r="B463" s="116" t="s">
        <v>38</v>
      </c>
      <c r="C463" s="117" t="s">
        <v>247</v>
      </c>
      <c r="D463" s="117" t="s">
        <v>39</v>
      </c>
      <c r="E463" s="117" t="s">
        <v>45</v>
      </c>
      <c r="F463" s="117" t="s">
        <v>46</v>
      </c>
      <c r="G463" s="117" t="s">
        <v>29</v>
      </c>
      <c r="H463" s="118">
        <v>45572</v>
      </c>
      <c r="I463" s="135">
        <v>136</v>
      </c>
      <c r="J463" s="140">
        <v>1200</v>
      </c>
      <c r="K463" s="148">
        <v>0</v>
      </c>
      <c r="L463" s="166" t="s">
        <v>36</v>
      </c>
      <c r="M463" s="156">
        <v>163200</v>
      </c>
      <c r="N463" s="156">
        <v>163200</v>
      </c>
      <c r="O463" s="169" t="s">
        <v>267</v>
      </c>
    </row>
    <row r="464" spans="1:15" x14ac:dyDescent="0.3">
      <c r="A464" s="111" t="s">
        <v>1370</v>
      </c>
      <c r="B464" s="112" t="s">
        <v>58</v>
      </c>
      <c r="C464" s="113" t="s">
        <v>255</v>
      </c>
      <c r="D464" s="113" t="s">
        <v>59</v>
      </c>
      <c r="E464" s="113" t="s">
        <v>33</v>
      </c>
      <c r="F464" s="113" t="s">
        <v>28</v>
      </c>
      <c r="G464" s="113" t="s">
        <v>53</v>
      </c>
      <c r="H464" s="114">
        <v>45594</v>
      </c>
      <c r="I464" s="134">
        <v>55</v>
      </c>
      <c r="J464" s="139">
        <v>2800</v>
      </c>
      <c r="K464" s="147">
        <v>0.1</v>
      </c>
      <c r="L464" s="165" t="s">
        <v>30</v>
      </c>
      <c r="M464" s="155">
        <v>154000</v>
      </c>
      <c r="N464" s="155">
        <v>138600</v>
      </c>
      <c r="O464" s="168" t="s">
        <v>267</v>
      </c>
    </row>
    <row r="465" spans="1:15" x14ac:dyDescent="0.3">
      <c r="A465" s="115" t="s">
        <v>1371</v>
      </c>
      <c r="B465" s="116" t="s">
        <v>32</v>
      </c>
      <c r="C465" s="117" t="s">
        <v>246</v>
      </c>
      <c r="D465" s="117" t="s">
        <v>26</v>
      </c>
      <c r="E465" s="117" t="s">
        <v>27</v>
      </c>
      <c r="F465" s="117" t="s">
        <v>28</v>
      </c>
      <c r="G465" s="117" t="s">
        <v>56</v>
      </c>
      <c r="H465" s="118">
        <v>45591</v>
      </c>
      <c r="I465" s="135">
        <v>43</v>
      </c>
      <c r="J465" s="140">
        <v>420</v>
      </c>
      <c r="K465" s="148">
        <v>0.1</v>
      </c>
      <c r="L465" s="166" t="s">
        <v>36</v>
      </c>
      <c r="M465" s="156">
        <v>18060</v>
      </c>
      <c r="N465" s="156">
        <v>16254</v>
      </c>
      <c r="O465" s="169" t="s">
        <v>265</v>
      </c>
    </row>
    <row r="466" spans="1:15" x14ac:dyDescent="0.3">
      <c r="A466" s="111" t="s">
        <v>1372</v>
      </c>
      <c r="B466" s="112" t="s">
        <v>32</v>
      </c>
      <c r="C466" s="113" t="s">
        <v>246</v>
      </c>
      <c r="D466" s="113" t="s">
        <v>26</v>
      </c>
      <c r="E466" s="113" t="s">
        <v>27</v>
      </c>
      <c r="F466" s="113" t="s">
        <v>46</v>
      </c>
      <c r="G466" s="113" t="s">
        <v>56</v>
      </c>
      <c r="H466" s="114">
        <v>45596</v>
      </c>
      <c r="I466" s="134">
        <v>178</v>
      </c>
      <c r="J466" s="139">
        <v>420</v>
      </c>
      <c r="K466" s="147">
        <v>0</v>
      </c>
      <c r="L466" s="165" t="s">
        <v>36</v>
      </c>
      <c r="M466" s="155">
        <v>74760</v>
      </c>
      <c r="N466" s="155">
        <v>74760</v>
      </c>
      <c r="O466" s="168" t="s">
        <v>265</v>
      </c>
    </row>
    <row r="467" spans="1:15" x14ac:dyDescent="0.3">
      <c r="A467" s="115" t="s">
        <v>1373</v>
      </c>
      <c r="B467" s="116" t="s">
        <v>49</v>
      </c>
      <c r="C467" s="117" t="s">
        <v>251</v>
      </c>
      <c r="D467" s="117" t="s">
        <v>50</v>
      </c>
      <c r="E467" s="117" t="s">
        <v>40</v>
      </c>
      <c r="F467" s="117" t="s">
        <v>34</v>
      </c>
      <c r="G467" s="117" t="s">
        <v>56</v>
      </c>
      <c r="H467" s="118">
        <v>45592</v>
      </c>
      <c r="I467" s="135">
        <v>143</v>
      </c>
      <c r="J467" s="140">
        <v>895</v>
      </c>
      <c r="K467" s="148">
        <v>0.13</v>
      </c>
      <c r="L467" s="166" t="s">
        <v>36</v>
      </c>
      <c r="M467" s="156">
        <v>127985</v>
      </c>
      <c r="N467" s="156">
        <v>111346.95</v>
      </c>
      <c r="O467" s="169" t="s">
        <v>267</v>
      </c>
    </row>
    <row r="468" spans="1:15" x14ac:dyDescent="0.3">
      <c r="A468" s="111" t="s">
        <v>1374</v>
      </c>
      <c r="B468" s="112" t="s">
        <v>49</v>
      </c>
      <c r="C468" s="113" t="s">
        <v>251</v>
      </c>
      <c r="D468" s="113" t="s">
        <v>50</v>
      </c>
      <c r="E468" s="113" t="s">
        <v>51</v>
      </c>
      <c r="F468" s="113" t="s">
        <v>52</v>
      </c>
      <c r="G468" s="113" t="s">
        <v>35</v>
      </c>
      <c r="H468" s="114">
        <v>45594</v>
      </c>
      <c r="I468" s="134">
        <v>150</v>
      </c>
      <c r="J468" s="139">
        <v>895</v>
      </c>
      <c r="K468" s="147">
        <v>0.15</v>
      </c>
      <c r="L468" s="165" t="s">
        <v>36</v>
      </c>
      <c r="M468" s="155">
        <v>134250</v>
      </c>
      <c r="N468" s="155">
        <v>114112.5</v>
      </c>
      <c r="O468" s="168" t="s">
        <v>267</v>
      </c>
    </row>
    <row r="469" spans="1:15" x14ac:dyDescent="0.3">
      <c r="A469" s="115" t="s">
        <v>1375</v>
      </c>
      <c r="B469" s="116" t="s">
        <v>61</v>
      </c>
      <c r="C469" s="117" t="s">
        <v>244</v>
      </c>
      <c r="D469" s="117" t="s">
        <v>26</v>
      </c>
      <c r="E469" s="117" t="s">
        <v>27</v>
      </c>
      <c r="F469" s="117" t="s">
        <v>28</v>
      </c>
      <c r="G469" s="117" t="s">
        <v>42</v>
      </c>
      <c r="H469" s="118">
        <v>45572</v>
      </c>
      <c r="I469" s="135">
        <v>96</v>
      </c>
      <c r="J469" s="140">
        <v>280</v>
      </c>
      <c r="K469" s="148">
        <v>0.14000000000000001</v>
      </c>
      <c r="L469" s="166" t="s">
        <v>30</v>
      </c>
      <c r="M469" s="156">
        <v>26880</v>
      </c>
      <c r="N469" s="156">
        <v>23116.799999999999</v>
      </c>
      <c r="O469" s="169" t="s">
        <v>265</v>
      </c>
    </row>
    <row r="470" spans="1:15" x14ac:dyDescent="0.3">
      <c r="A470" s="111" t="s">
        <v>1376</v>
      </c>
      <c r="B470" s="112" t="s">
        <v>25</v>
      </c>
      <c r="C470" s="113" t="s">
        <v>257</v>
      </c>
      <c r="D470" s="113" t="s">
        <v>26</v>
      </c>
      <c r="E470" s="113" t="s">
        <v>27</v>
      </c>
      <c r="F470" s="113" t="s">
        <v>46</v>
      </c>
      <c r="G470" s="113" t="s">
        <v>29</v>
      </c>
      <c r="H470" s="114">
        <v>45579</v>
      </c>
      <c r="I470" s="134">
        <v>103</v>
      </c>
      <c r="J470" s="139">
        <v>350</v>
      </c>
      <c r="K470" s="147">
        <v>0.14000000000000001</v>
      </c>
      <c r="L470" s="165" t="s">
        <v>36</v>
      </c>
      <c r="M470" s="155">
        <v>36050</v>
      </c>
      <c r="N470" s="155">
        <v>31003</v>
      </c>
      <c r="O470" s="168" t="s">
        <v>265</v>
      </c>
    </row>
    <row r="471" spans="1:15" x14ac:dyDescent="0.3">
      <c r="A471" s="115" t="s">
        <v>1377</v>
      </c>
      <c r="B471" s="116" t="s">
        <v>63</v>
      </c>
      <c r="C471" s="117" t="s">
        <v>253</v>
      </c>
      <c r="D471" s="117" t="s">
        <v>50</v>
      </c>
      <c r="E471" s="117" t="s">
        <v>51</v>
      </c>
      <c r="F471" s="117" t="s">
        <v>28</v>
      </c>
      <c r="G471" s="117" t="s">
        <v>35</v>
      </c>
      <c r="H471" s="118">
        <v>45579</v>
      </c>
      <c r="I471" s="135">
        <v>73</v>
      </c>
      <c r="J471" s="140">
        <v>750</v>
      </c>
      <c r="K471" s="148">
        <v>0.1</v>
      </c>
      <c r="L471" s="166" t="s">
        <v>30</v>
      </c>
      <c r="M471" s="156">
        <v>54750</v>
      </c>
      <c r="N471" s="156">
        <v>49275</v>
      </c>
      <c r="O471" s="169" t="s">
        <v>265</v>
      </c>
    </row>
    <row r="472" spans="1:15" x14ac:dyDescent="0.3">
      <c r="A472" s="111" t="s">
        <v>1378</v>
      </c>
      <c r="B472" s="112" t="s">
        <v>58</v>
      </c>
      <c r="C472" s="113" t="s">
        <v>255</v>
      </c>
      <c r="D472" s="113" t="s">
        <v>59</v>
      </c>
      <c r="E472" s="113" t="s">
        <v>45</v>
      </c>
      <c r="F472" s="113" t="s">
        <v>41</v>
      </c>
      <c r="G472" s="113" t="s">
        <v>56</v>
      </c>
      <c r="H472" s="114">
        <v>45581</v>
      </c>
      <c r="I472" s="134">
        <v>41</v>
      </c>
      <c r="J472" s="139">
        <v>2800</v>
      </c>
      <c r="K472" s="147">
        <v>0</v>
      </c>
      <c r="L472" s="165" t="s">
        <v>36</v>
      </c>
      <c r="M472" s="155">
        <v>114800</v>
      </c>
      <c r="N472" s="155">
        <v>114800</v>
      </c>
      <c r="O472" s="168" t="s">
        <v>267</v>
      </c>
    </row>
    <row r="473" spans="1:15" x14ac:dyDescent="0.3">
      <c r="A473" s="115" t="s">
        <v>1379</v>
      </c>
      <c r="B473" s="116" t="s">
        <v>32</v>
      </c>
      <c r="C473" s="117" t="s">
        <v>246</v>
      </c>
      <c r="D473" s="117" t="s">
        <v>26</v>
      </c>
      <c r="E473" s="117" t="s">
        <v>51</v>
      </c>
      <c r="F473" s="117" t="s">
        <v>34</v>
      </c>
      <c r="G473" s="117" t="s">
        <v>35</v>
      </c>
      <c r="H473" s="118">
        <v>45572</v>
      </c>
      <c r="I473" s="135">
        <v>159</v>
      </c>
      <c r="J473" s="140">
        <v>420</v>
      </c>
      <c r="K473" s="148">
        <v>0.12</v>
      </c>
      <c r="L473" s="166" t="s">
        <v>36</v>
      </c>
      <c r="M473" s="156">
        <v>66780</v>
      </c>
      <c r="N473" s="156">
        <v>58766.400000000001</v>
      </c>
      <c r="O473" s="169" t="s">
        <v>265</v>
      </c>
    </row>
    <row r="474" spans="1:15" x14ac:dyDescent="0.3">
      <c r="A474" s="111" t="s">
        <v>1380</v>
      </c>
      <c r="B474" s="112" t="s">
        <v>44</v>
      </c>
      <c r="C474" s="113" t="s">
        <v>254</v>
      </c>
      <c r="D474" s="113" t="s">
        <v>39</v>
      </c>
      <c r="E474" s="113" t="s">
        <v>40</v>
      </c>
      <c r="F474" s="113" t="s">
        <v>34</v>
      </c>
      <c r="G474" s="113" t="s">
        <v>42</v>
      </c>
      <c r="H474" s="114">
        <v>45571</v>
      </c>
      <c r="I474" s="134">
        <v>172</v>
      </c>
      <c r="J474" s="139">
        <v>200</v>
      </c>
      <c r="K474" s="147">
        <v>0.15</v>
      </c>
      <c r="L474" s="165" t="s">
        <v>36</v>
      </c>
      <c r="M474" s="155">
        <v>34400</v>
      </c>
      <c r="N474" s="155">
        <v>29240</v>
      </c>
      <c r="O474" s="168" t="s">
        <v>265</v>
      </c>
    </row>
    <row r="475" spans="1:15" x14ac:dyDescent="0.3">
      <c r="A475" s="115" t="s">
        <v>1381</v>
      </c>
      <c r="B475" s="116" t="s">
        <v>16</v>
      </c>
      <c r="C475" s="117" t="s">
        <v>250</v>
      </c>
      <c r="D475" s="117" t="s">
        <v>39</v>
      </c>
      <c r="E475" s="117" t="s">
        <v>27</v>
      </c>
      <c r="F475" s="117" t="s">
        <v>46</v>
      </c>
      <c r="G475" s="117" t="s">
        <v>35</v>
      </c>
      <c r="H475" s="118">
        <v>45566</v>
      </c>
      <c r="I475" s="135">
        <v>82</v>
      </c>
      <c r="J475" s="140">
        <v>990</v>
      </c>
      <c r="K475" s="148">
        <v>0.14000000000000001</v>
      </c>
      <c r="L475" s="166" t="s">
        <v>36</v>
      </c>
      <c r="M475" s="156">
        <v>81180</v>
      </c>
      <c r="N475" s="156">
        <v>69814.8</v>
      </c>
      <c r="O475" s="169" t="s">
        <v>265</v>
      </c>
    </row>
    <row r="476" spans="1:15" x14ac:dyDescent="0.3">
      <c r="A476" s="111" t="s">
        <v>1382</v>
      </c>
      <c r="B476" s="112" t="s">
        <v>63</v>
      </c>
      <c r="C476" s="113" t="s">
        <v>253</v>
      </c>
      <c r="D476" s="113" t="s">
        <v>50</v>
      </c>
      <c r="E476" s="113" t="s">
        <v>40</v>
      </c>
      <c r="F476" s="113" t="s">
        <v>28</v>
      </c>
      <c r="G476" s="113" t="s">
        <v>53</v>
      </c>
      <c r="H476" s="114">
        <v>45566</v>
      </c>
      <c r="I476" s="134">
        <v>135</v>
      </c>
      <c r="J476" s="139">
        <v>750</v>
      </c>
      <c r="K476" s="147">
        <v>0.1</v>
      </c>
      <c r="L476" s="165" t="s">
        <v>36</v>
      </c>
      <c r="M476" s="155">
        <v>101250</v>
      </c>
      <c r="N476" s="155">
        <v>91125</v>
      </c>
      <c r="O476" s="168" t="s">
        <v>265</v>
      </c>
    </row>
    <row r="477" spans="1:15" x14ac:dyDescent="0.3">
      <c r="A477" s="115" t="s">
        <v>1383</v>
      </c>
      <c r="B477" s="116" t="s">
        <v>49</v>
      </c>
      <c r="C477" s="117" t="s">
        <v>251</v>
      </c>
      <c r="D477" s="117" t="s">
        <v>50</v>
      </c>
      <c r="E477" s="117" t="s">
        <v>40</v>
      </c>
      <c r="F477" s="117" t="s">
        <v>28</v>
      </c>
      <c r="G477" s="117" t="s">
        <v>35</v>
      </c>
      <c r="H477" s="118">
        <v>45580</v>
      </c>
      <c r="I477" s="135">
        <v>21</v>
      </c>
      <c r="J477" s="140">
        <v>895</v>
      </c>
      <c r="K477" s="148">
        <v>0.03</v>
      </c>
      <c r="L477" s="166" t="s">
        <v>30</v>
      </c>
      <c r="M477" s="156">
        <v>18795</v>
      </c>
      <c r="N477" s="156">
        <v>18231.150000000001</v>
      </c>
      <c r="O477" s="169" t="s">
        <v>265</v>
      </c>
    </row>
    <row r="478" spans="1:15" x14ac:dyDescent="0.3">
      <c r="A478" s="111" t="s">
        <v>1384</v>
      </c>
      <c r="B478" s="112" t="s">
        <v>44</v>
      </c>
      <c r="C478" s="113" t="s">
        <v>254</v>
      </c>
      <c r="D478" s="113" t="s">
        <v>39</v>
      </c>
      <c r="E478" s="113" t="s">
        <v>33</v>
      </c>
      <c r="F478" s="113" t="s">
        <v>41</v>
      </c>
      <c r="G478" s="113" t="s">
        <v>42</v>
      </c>
      <c r="H478" s="114">
        <v>45571</v>
      </c>
      <c r="I478" s="134">
        <v>227</v>
      </c>
      <c r="J478" s="139">
        <v>200</v>
      </c>
      <c r="K478" s="147">
        <v>0.1</v>
      </c>
      <c r="L478" s="165" t="s">
        <v>30</v>
      </c>
      <c r="M478" s="155">
        <v>45400</v>
      </c>
      <c r="N478" s="155">
        <v>40860</v>
      </c>
      <c r="O478" s="168" t="s">
        <v>265</v>
      </c>
    </row>
    <row r="479" spans="1:15" x14ac:dyDescent="0.3">
      <c r="A479" s="115" t="s">
        <v>1385</v>
      </c>
      <c r="B479" s="116" t="s">
        <v>63</v>
      </c>
      <c r="C479" s="117" t="s">
        <v>253</v>
      </c>
      <c r="D479" s="117" t="s">
        <v>50</v>
      </c>
      <c r="E479" s="117" t="s">
        <v>27</v>
      </c>
      <c r="F479" s="117" t="s">
        <v>52</v>
      </c>
      <c r="G479" s="117" t="s">
        <v>47</v>
      </c>
      <c r="H479" s="118">
        <v>45591</v>
      </c>
      <c r="I479" s="135">
        <v>119</v>
      </c>
      <c r="J479" s="140">
        <v>750</v>
      </c>
      <c r="K479" s="148">
        <v>0.15</v>
      </c>
      <c r="L479" s="166" t="s">
        <v>36</v>
      </c>
      <c r="M479" s="156">
        <v>89250</v>
      </c>
      <c r="N479" s="156">
        <v>75862.5</v>
      </c>
      <c r="O479" s="169" t="s">
        <v>265</v>
      </c>
    </row>
    <row r="480" spans="1:15" x14ac:dyDescent="0.3">
      <c r="A480" s="111" t="s">
        <v>1386</v>
      </c>
      <c r="B480" s="112" t="s">
        <v>16</v>
      </c>
      <c r="C480" s="113" t="s">
        <v>250</v>
      </c>
      <c r="D480" s="113" t="s">
        <v>39</v>
      </c>
      <c r="E480" s="113" t="s">
        <v>33</v>
      </c>
      <c r="F480" s="113" t="s">
        <v>41</v>
      </c>
      <c r="G480" s="113" t="s">
        <v>53</v>
      </c>
      <c r="H480" s="114">
        <v>45590</v>
      </c>
      <c r="I480" s="134">
        <v>27</v>
      </c>
      <c r="J480" s="139">
        <v>990</v>
      </c>
      <c r="K480" s="147">
        <v>0.05</v>
      </c>
      <c r="L480" s="165" t="s">
        <v>30</v>
      </c>
      <c r="M480" s="155">
        <v>26730</v>
      </c>
      <c r="N480" s="155">
        <v>25393.5</v>
      </c>
      <c r="O480" s="168" t="s">
        <v>265</v>
      </c>
    </row>
    <row r="481" spans="1:15" x14ac:dyDescent="0.3">
      <c r="A481" s="115" t="s">
        <v>1387</v>
      </c>
      <c r="B481" s="116" t="s">
        <v>16</v>
      </c>
      <c r="C481" s="117" t="s">
        <v>250</v>
      </c>
      <c r="D481" s="117" t="s">
        <v>39</v>
      </c>
      <c r="E481" s="117" t="s">
        <v>40</v>
      </c>
      <c r="F481" s="117" t="s">
        <v>34</v>
      </c>
      <c r="G481" s="117" t="s">
        <v>47</v>
      </c>
      <c r="H481" s="118">
        <v>45578</v>
      </c>
      <c r="I481" s="135">
        <v>100</v>
      </c>
      <c r="J481" s="140">
        <v>990</v>
      </c>
      <c r="K481" s="148">
        <v>0.03</v>
      </c>
      <c r="L481" s="166" t="s">
        <v>36</v>
      </c>
      <c r="M481" s="156">
        <v>99000</v>
      </c>
      <c r="N481" s="156">
        <v>96030</v>
      </c>
      <c r="O481" s="169" t="s">
        <v>265</v>
      </c>
    </row>
    <row r="482" spans="1:15" x14ac:dyDescent="0.3">
      <c r="A482" s="111" t="s">
        <v>1388</v>
      </c>
      <c r="B482" s="112" t="s">
        <v>61</v>
      </c>
      <c r="C482" s="113" t="s">
        <v>244</v>
      </c>
      <c r="D482" s="113" t="s">
        <v>26</v>
      </c>
      <c r="E482" s="113" t="s">
        <v>51</v>
      </c>
      <c r="F482" s="113" t="s">
        <v>34</v>
      </c>
      <c r="G482" s="113" t="s">
        <v>35</v>
      </c>
      <c r="H482" s="114">
        <v>45593</v>
      </c>
      <c r="I482" s="134">
        <v>170</v>
      </c>
      <c r="J482" s="139">
        <v>280</v>
      </c>
      <c r="K482" s="147">
        <v>0.15</v>
      </c>
      <c r="L482" s="165" t="s">
        <v>30</v>
      </c>
      <c r="M482" s="155">
        <v>47600</v>
      </c>
      <c r="N482" s="155">
        <v>40460</v>
      </c>
      <c r="O482" s="168" t="s">
        <v>265</v>
      </c>
    </row>
    <row r="483" spans="1:15" x14ac:dyDescent="0.3">
      <c r="A483" s="115" t="s">
        <v>1389</v>
      </c>
      <c r="B483" s="116" t="s">
        <v>44</v>
      </c>
      <c r="C483" s="117" t="s">
        <v>254</v>
      </c>
      <c r="D483" s="117" t="s">
        <v>39</v>
      </c>
      <c r="E483" s="117" t="s">
        <v>27</v>
      </c>
      <c r="F483" s="117" t="s">
        <v>34</v>
      </c>
      <c r="G483" s="117" t="s">
        <v>35</v>
      </c>
      <c r="H483" s="118">
        <v>45567</v>
      </c>
      <c r="I483" s="135">
        <v>232</v>
      </c>
      <c r="J483" s="140">
        <v>200</v>
      </c>
      <c r="K483" s="148">
        <v>0.05</v>
      </c>
      <c r="L483" s="166" t="s">
        <v>36</v>
      </c>
      <c r="M483" s="156">
        <v>46400</v>
      </c>
      <c r="N483" s="156">
        <v>44080</v>
      </c>
      <c r="O483" s="169" t="s">
        <v>265</v>
      </c>
    </row>
    <row r="484" spans="1:15" x14ac:dyDescent="0.3">
      <c r="A484" s="111" t="s">
        <v>1390</v>
      </c>
      <c r="B484" s="112" t="s">
        <v>25</v>
      </c>
      <c r="C484" s="113" t="s">
        <v>257</v>
      </c>
      <c r="D484" s="113" t="s">
        <v>26</v>
      </c>
      <c r="E484" s="113" t="s">
        <v>40</v>
      </c>
      <c r="F484" s="113" t="s">
        <v>46</v>
      </c>
      <c r="G484" s="113" t="s">
        <v>35</v>
      </c>
      <c r="H484" s="114">
        <v>45575</v>
      </c>
      <c r="I484" s="134">
        <v>86</v>
      </c>
      <c r="J484" s="139">
        <v>350</v>
      </c>
      <c r="K484" s="147">
        <v>0.03</v>
      </c>
      <c r="L484" s="165" t="s">
        <v>30</v>
      </c>
      <c r="M484" s="155">
        <v>30100</v>
      </c>
      <c r="N484" s="155">
        <v>29197</v>
      </c>
      <c r="O484" s="168" t="s">
        <v>265</v>
      </c>
    </row>
    <row r="485" spans="1:15" x14ac:dyDescent="0.3">
      <c r="A485" s="115" t="s">
        <v>1391</v>
      </c>
      <c r="B485" s="116" t="s">
        <v>55</v>
      </c>
      <c r="C485" s="117" t="s">
        <v>249</v>
      </c>
      <c r="D485" s="117" t="s">
        <v>39</v>
      </c>
      <c r="E485" s="117" t="s">
        <v>27</v>
      </c>
      <c r="F485" s="117" t="s">
        <v>46</v>
      </c>
      <c r="G485" s="117" t="s">
        <v>53</v>
      </c>
      <c r="H485" s="118">
        <v>45586</v>
      </c>
      <c r="I485" s="135">
        <v>168</v>
      </c>
      <c r="J485" s="140">
        <v>650</v>
      </c>
      <c r="K485" s="148">
        <v>0</v>
      </c>
      <c r="L485" s="166" t="s">
        <v>36</v>
      </c>
      <c r="M485" s="156">
        <v>109200</v>
      </c>
      <c r="N485" s="156">
        <v>109200</v>
      </c>
      <c r="O485" s="169" t="s">
        <v>267</v>
      </c>
    </row>
    <row r="486" spans="1:15" x14ac:dyDescent="0.3">
      <c r="A486" s="111" t="s">
        <v>1392</v>
      </c>
      <c r="B486" s="112" t="s">
        <v>16</v>
      </c>
      <c r="C486" s="113" t="s">
        <v>250</v>
      </c>
      <c r="D486" s="113" t="s">
        <v>39</v>
      </c>
      <c r="E486" s="113" t="s">
        <v>40</v>
      </c>
      <c r="F486" s="113" t="s">
        <v>46</v>
      </c>
      <c r="G486" s="113" t="s">
        <v>53</v>
      </c>
      <c r="H486" s="114">
        <v>45590</v>
      </c>
      <c r="I486" s="134">
        <v>117</v>
      </c>
      <c r="J486" s="139">
        <v>990</v>
      </c>
      <c r="K486" s="147">
        <v>0</v>
      </c>
      <c r="L486" s="165" t="s">
        <v>30</v>
      </c>
      <c r="M486" s="155">
        <v>115830</v>
      </c>
      <c r="N486" s="155">
        <v>115830</v>
      </c>
      <c r="O486" s="168" t="s">
        <v>267</v>
      </c>
    </row>
    <row r="487" spans="1:15" x14ac:dyDescent="0.3">
      <c r="A487" s="115" t="s">
        <v>1393</v>
      </c>
      <c r="B487" s="116" t="s">
        <v>49</v>
      </c>
      <c r="C487" s="117" t="s">
        <v>251</v>
      </c>
      <c r="D487" s="117" t="s">
        <v>50</v>
      </c>
      <c r="E487" s="117" t="s">
        <v>40</v>
      </c>
      <c r="F487" s="117" t="s">
        <v>46</v>
      </c>
      <c r="G487" s="117" t="s">
        <v>42</v>
      </c>
      <c r="H487" s="118">
        <v>45596</v>
      </c>
      <c r="I487" s="135">
        <v>116</v>
      </c>
      <c r="J487" s="140">
        <v>895</v>
      </c>
      <c r="K487" s="148">
        <v>0.13</v>
      </c>
      <c r="L487" s="166" t="s">
        <v>36</v>
      </c>
      <c r="M487" s="156">
        <v>103820</v>
      </c>
      <c r="N487" s="156">
        <v>90323.4</v>
      </c>
      <c r="O487" s="169" t="s">
        <v>265</v>
      </c>
    </row>
    <row r="488" spans="1:15" x14ac:dyDescent="0.3">
      <c r="A488" s="111" t="s">
        <v>1394</v>
      </c>
      <c r="B488" s="112" t="s">
        <v>32</v>
      </c>
      <c r="C488" s="113" t="s">
        <v>246</v>
      </c>
      <c r="D488" s="113" t="s">
        <v>26</v>
      </c>
      <c r="E488" s="113" t="s">
        <v>27</v>
      </c>
      <c r="F488" s="113" t="s">
        <v>34</v>
      </c>
      <c r="G488" s="113" t="s">
        <v>35</v>
      </c>
      <c r="H488" s="114">
        <v>45571</v>
      </c>
      <c r="I488" s="134">
        <v>72</v>
      </c>
      <c r="J488" s="139">
        <v>420</v>
      </c>
      <c r="K488" s="147">
        <v>0</v>
      </c>
      <c r="L488" s="165" t="s">
        <v>36</v>
      </c>
      <c r="M488" s="155">
        <v>30240</v>
      </c>
      <c r="N488" s="155">
        <v>30240</v>
      </c>
      <c r="O488" s="168" t="s">
        <v>265</v>
      </c>
    </row>
    <row r="489" spans="1:15" x14ac:dyDescent="0.3">
      <c r="A489" s="115" t="s">
        <v>1395</v>
      </c>
      <c r="B489" s="116" t="s">
        <v>58</v>
      </c>
      <c r="C489" s="117" t="s">
        <v>255</v>
      </c>
      <c r="D489" s="117" t="s">
        <v>59</v>
      </c>
      <c r="E489" s="117" t="s">
        <v>33</v>
      </c>
      <c r="F489" s="117" t="s">
        <v>46</v>
      </c>
      <c r="G489" s="117" t="s">
        <v>56</v>
      </c>
      <c r="H489" s="118">
        <v>45584</v>
      </c>
      <c r="I489" s="135">
        <v>61</v>
      </c>
      <c r="J489" s="140">
        <v>2800</v>
      </c>
      <c r="K489" s="148">
        <v>0.05</v>
      </c>
      <c r="L489" s="166" t="s">
        <v>36</v>
      </c>
      <c r="M489" s="156">
        <v>170800</v>
      </c>
      <c r="N489" s="156">
        <v>162260</v>
      </c>
      <c r="O489" s="169" t="s">
        <v>267</v>
      </c>
    </row>
    <row r="490" spans="1:15" x14ac:dyDescent="0.3">
      <c r="A490" s="111" t="s">
        <v>1396</v>
      </c>
      <c r="B490" s="112" t="s">
        <v>61</v>
      </c>
      <c r="C490" s="113" t="s">
        <v>244</v>
      </c>
      <c r="D490" s="113" t="s">
        <v>26</v>
      </c>
      <c r="E490" s="113" t="s">
        <v>27</v>
      </c>
      <c r="F490" s="113" t="s">
        <v>52</v>
      </c>
      <c r="G490" s="113" t="s">
        <v>47</v>
      </c>
      <c r="H490" s="114">
        <v>45588</v>
      </c>
      <c r="I490" s="134">
        <v>56</v>
      </c>
      <c r="J490" s="139">
        <v>280</v>
      </c>
      <c r="K490" s="147">
        <v>0.1</v>
      </c>
      <c r="L490" s="165" t="s">
        <v>30</v>
      </c>
      <c r="M490" s="155">
        <v>15680</v>
      </c>
      <c r="N490" s="155">
        <v>14112</v>
      </c>
      <c r="O490" s="168" t="s">
        <v>265</v>
      </c>
    </row>
    <row r="491" spans="1:15" x14ac:dyDescent="0.3">
      <c r="A491" s="115" t="s">
        <v>1397</v>
      </c>
      <c r="B491" s="116" t="s">
        <v>58</v>
      </c>
      <c r="C491" s="117" t="s">
        <v>255</v>
      </c>
      <c r="D491" s="117" t="s">
        <v>59</v>
      </c>
      <c r="E491" s="117" t="s">
        <v>45</v>
      </c>
      <c r="F491" s="117" t="s">
        <v>41</v>
      </c>
      <c r="G491" s="117" t="s">
        <v>42</v>
      </c>
      <c r="H491" s="118">
        <v>45583</v>
      </c>
      <c r="I491" s="135">
        <v>21</v>
      </c>
      <c r="J491" s="140">
        <v>2800</v>
      </c>
      <c r="K491" s="148">
        <v>0.12</v>
      </c>
      <c r="L491" s="166" t="s">
        <v>36</v>
      </c>
      <c r="M491" s="156">
        <v>58800</v>
      </c>
      <c r="N491" s="156">
        <v>51744</v>
      </c>
      <c r="O491" s="169" t="s">
        <v>265</v>
      </c>
    </row>
    <row r="492" spans="1:15" x14ac:dyDescent="0.3">
      <c r="A492" s="111" t="s">
        <v>1398</v>
      </c>
      <c r="B492" s="112" t="s">
        <v>16</v>
      </c>
      <c r="C492" s="113" t="s">
        <v>250</v>
      </c>
      <c r="D492" s="113" t="s">
        <v>39</v>
      </c>
      <c r="E492" s="113" t="s">
        <v>40</v>
      </c>
      <c r="F492" s="113" t="s">
        <v>41</v>
      </c>
      <c r="G492" s="113" t="s">
        <v>47</v>
      </c>
      <c r="H492" s="114">
        <v>45575</v>
      </c>
      <c r="I492" s="134">
        <v>81</v>
      </c>
      <c r="J492" s="139">
        <v>990</v>
      </c>
      <c r="K492" s="147">
        <v>0.12</v>
      </c>
      <c r="L492" s="165" t="s">
        <v>36</v>
      </c>
      <c r="M492" s="155">
        <v>80190</v>
      </c>
      <c r="N492" s="155">
        <v>70567.199999999997</v>
      </c>
      <c r="O492" s="168" t="s">
        <v>265</v>
      </c>
    </row>
    <row r="493" spans="1:15" x14ac:dyDescent="0.3">
      <c r="A493" s="115" t="s">
        <v>1399</v>
      </c>
      <c r="B493" s="116" t="s">
        <v>44</v>
      </c>
      <c r="C493" s="117" t="s">
        <v>254</v>
      </c>
      <c r="D493" s="117" t="s">
        <v>39</v>
      </c>
      <c r="E493" s="117" t="s">
        <v>40</v>
      </c>
      <c r="F493" s="117" t="s">
        <v>28</v>
      </c>
      <c r="G493" s="117" t="s">
        <v>47</v>
      </c>
      <c r="H493" s="118">
        <v>45581</v>
      </c>
      <c r="I493" s="135">
        <v>49</v>
      </c>
      <c r="J493" s="140">
        <v>200</v>
      </c>
      <c r="K493" s="148">
        <v>0.05</v>
      </c>
      <c r="L493" s="166" t="s">
        <v>36</v>
      </c>
      <c r="M493" s="156">
        <v>9800</v>
      </c>
      <c r="N493" s="156">
        <v>9310</v>
      </c>
      <c r="O493" s="169" t="s">
        <v>265</v>
      </c>
    </row>
    <row r="494" spans="1:15" x14ac:dyDescent="0.3">
      <c r="A494" s="111" t="s">
        <v>1400</v>
      </c>
      <c r="B494" s="112" t="s">
        <v>16</v>
      </c>
      <c r="C494" s="113" t="s">
        <v>250</v>
      </c>
      <c r="D494" s="113" t="s">
        <v>39</v>
      </c>
      <c r="E494" s="113" t="s">
        <v>27</v>
      </c>
      <c r="F494" s="113" t="s">
        <v>46</v>
      </c>
      <c r="G494" s="113" t="s">
        <v>56</v>
      </c>
      <c r="H494" s="114">
        <v>45566</v>
      </c>
      <c r="I494" s="134">
        <v>122</v>
      </c>
      <c r="J494" s="139">
        <v>990</v>
      </c>
      <c r="K494" s="147">
        <v>0.05</v>
      </c>
      <c r="L494" s="165" t="s">
        <v>36</v>
      </c>
      <c r="M494" s="155">
        <v>120780</v>
      </c>
      <c r="N494" s="155">
        <v>114741</v>
      </c>
      <c r="O494" s="168" t="s">
        <v>267</v>
      </c>
    </row>
    <row r="495" spans="1:15" x14ac:dyDescent="0.3">
      <c r="A495" s="115" t="s">
        <v>1401</v>
      </c>
      <c r="B495" s="116" t="s">
        <v>55</v>
      </c>
      <c r="C495" s="117" t="s">
        <v>249</v>
      </c>
      <c r="D495" s="117" t="s">
        <v>39</v>
      </c>
      <c r="E495" s="117" t="s">
        <v>40</v>
      </c>
      <c r="F495" s="117" t="s">
        <v>28</v>
      </c>
      <c r="G495" s="117" t="s">
        <v>42</v>
      </c>
      <c r="H495" s="118">
        <v>45584</v>
      </c>
      <c r="I495" s="135">
        <v>173</v>
      </c>
      <c r="J495" s="140">
        <v>650</v>
      </c>
      <c r="K495" s="148">
        <v>0.14000000000000001</v>
      </c>
      <c r="L495" s="166" t="s">
        <v>30</v>
      </c>
      <c r="M495" s="156">
        <v>112450</v>
      </c>
      <c r="N495" s="156">
        <v>96707</v>
      </c>
      <c r="O495" s="169" t="s">
        <v>265</v>
      </c>
    </row>
    <row r="496" spans="1:15" x14ac:dyDescent="0.3">
      <c r="A496" s="111" t="s">
        <v>1402</v>
      </c>
      <c r="B496" s="112" t="s">
        <v>32</v>
      </c>
      <c r="C496" s="113" t="s">
        <v>246</v>
      </c>
      <c r="D496" s="113" t="s">
        <v>26</v>
      </c>
      <c r="E496" s="113" t="s">
        <v>33</v>
      </c>
      <c r="F496" s="113" t="s">
        <v>46</v>
      </c>
      <c r="G496" s="113" t="s">
        <v>35</v>
      </c>
      <c r="H496" s="114">
        <v>45568</v>
      </c>
      <c r="I496" s="134">
        <v>168</v>
      </c>
      <c r="J496" s="139">
        <v>420</v>
      </c>
      <c r="K496" s="147">
        <v>0.05</v>
      </c>
      <c r="L496" s="165" t="s">
        <v>36</v>
      </c>
      <c r="M496" s="155">
        <v>70560</v>
      </c>
      <c r="N496" s="155">
        <v>67032</v>
      </c>
      <c r="O496" s="168" t="s">
        <v>265</v>
      </c>
    </row>
    <row r="497" spans="1:15" x14ac:dyDescent="0.3">
      <c r="A497" s="115" t="s">
        <v>1403</v>
      </c>
      <c r="B497" s="116" t="s">
        <v>55</v>
      </c>
      <c r="C497" s="117" t="s">
        <v>249</v>
      </c>
      <c r="D497" s="117" t="s">
        <v>39</v>
      </c>
      <c r="E497" s="117" t="s">
        <v>51</v>
      </c>
      <c r="F497" s="117" t="s">
        <v>46</v>
      </c>
      <c r="G497" s="117" t="s">
        <v>47</v>
      </c>
      <c r="H497" s="118">
        <v>45585</v>
      </c>
      <c r="I497" s="135">
        <v>194</v>
      </c>
      <c r="J497" s="140">
        <v>650</v>
      </c>
      <c r="K497" s="148">
        <v>0.11</v>
      </c>
      <c r="L497" s="166" t="s">
        <v>30</v>
      </c>
      <c r="M497" s="156">
        <v>126100</v>
      </c>
      <c r="N497" s="156">
        <v>112229</v>
      </c>
      <c r="O497" s="169" t="s">
        <v>267</v>
      </c>
    </row>
    <row r="498" spans="1:15" x14ac:dyDescent="0.3">
      <c r="A498" s="111" t="s">
        <v>1404</v>
      </c>
      <c r="B498" s="112" t="s">
        <v>55</v>
      </c>
      <c r="C498" s="113" t="s">
        <v>249</v>
      </c>
      <c r="D498" s="113" t="s">
        <v>39</v>
      </c>
      <c r="E498" s="113" t="s">
        <v>45</v>
      </c>
      <c r="F498" s="113" t="s">
        <v>34</v>
      </c>
      <c r="G498" s="113" t="s">
        <v>42</v>
      </c>
      <c r="H498" s="114">
        <v>45577</v>
      </c>
      <c r="I498" s="134">
        <v>96</v>
      </c>
      <c r="J498" s="139">
        <v>650</v>
      </c>
      <c r="K498" s="147">
        <v>7.0000000000000007E-2</v>
      </c>
      <c r="L498" s="165" t="s">
        <v>30</v>
      </c>
      <c r="M498" s="155">
        <v>62400</v>
      </c>
      <c r="N498" s="155">
        <v>58032</v>
      </c>
      <c r="O498" s="168" t="s">
        <v>265</v>
      </c>
    </row>
    <row r="499" spans="1:15" x14ac:dyDescent="0.3">
      <c r="A499" s="115" t="s">
        <v>1405</v>
      </c>
      <c r="B499" s="116" t="s">
        <v>49</v>
      </c>
      <c r="C499" s="117" t="s">
        <v>251</v>
      </c>
      <c r="D499" s="117" t="s">
        <v>50</v>
      </c>
      <c r="E499" s="117" t="s">
        <v>33</v>
      </c>
      <c r="F499" s="117" t="s">
        <v>46</v>
      </c>
      <c r="G499" s="117" t="s">
        <v>47</v>
      </c>
      <c r="H499" s="118">
        <v>45578</v>
      </c>
      <c r="I499" s="135">
        <v>140</v>
      </c>
      <c r="J499" s="140">
        <v>895</v>
      </c>
      <c r="K499" s="148">
        <v>0.05</v>
      </c>
      <c r="L499" s="166" t="s">
        <v>30</v>
      </c>
      <c r="M499" s="156">
        <v>125300</v>
      </c>
      <c r="N499" s="156">
        <v>119035</v>
      </c>
      <c r="O499" s="169" t="s">
        <v>267</v>
      </c>
    </row>
    <row r="500" spans="1:15" x14ac:dyDescent="0.3">
      <c r="A500" s="111" t="s">
        <v>1406</v>
      </c>
      <c r="B500" s="112" t="s">
        <v>61</v>
      </c>
      <c r="C500" s="113" t="s">
        <v>244</v>
      </c>
      <c r="D500" s="113" t="s">
        <v>26</v>
      </c>
      <c r="E500" s="113" t="s">
        <v>33</v>
      </c>
      <c r="F500" s="113" t="s">
        <v>46</v>
      </c>
      <c r="G500" s="113" t="s">
        <v>47</v>
      </c>
      <c r="H500" s="114">
        <v>45573</v>
      </c>
      <c r="I500" s="134">
        <v>204</v>
      </c>
      <c r="J500" s="139">
        <v>280</v>
      </c>
      <c r="K500" s="147">
        <v>0.12</v>
      </c>
      <c r="L500" s="165" t="s">
        <v>36</v>
      </c>
      <c r="M500" s="155">
        <v>57120</v>
      </c>
      <c r="N500" s="155">
        <v>50265.599999999999</v>
      </c>
      <c r="O500" s="168" t="s">
        <v>265</v>
      </c>
    </row>
    <row r="501" spans="1:15" x14ac:dyDescent="0.3">
      <c r="A501" s="115" t="s">
        <v>1407</v>
      </c>
      <c r="B501" s="116" t="s">
        <v>63</v>
      </c>
      <c r="C501" s="117" t="s">
        <v>253</v>
      </c>
      <c r="D501" s="117" t="s">
        <v>50</v>
      </c>
      <c r="E501" s="117" t="s">
        <v>27</v>
      </c>
      <c r="F501" s="117" t="s">
        <v>34</v>
      </c>
      <c r="G501" s="117" t="s">
        <v>29</v>
      </c>
      <c r="H501" s="118">
        <v>45578</v>
      </c>
      <c r="I501" s="135">
        <v>93</v>
      </c>
      <c r="J501" s="140">
        <v>750</v>
      </c>
      <c r="K501" s="148">
        <v>0.15</v>
      </c>
      <c r="L501" s="166" t="s">
        <v>30</v>
      </c>
      <c r="M501" s="156">
        <v>69750</v>
      </c>
      <c r="N501" s="156">
        <v>59287.5</v>
      </c>
      <c r="O501" s="169" t="s">
        <v>265</v>
      </c>
    </row>
    <row r="502" spans="1:15" x14ac:dyDescent="0.3">
      <c r="A502" s="111" t="s">
        <v>1408</v>
      </c>
      <c r="B502" s="112" t="s">
        <v>49</v>
      </c>
      <c r="C502" s="113" t="s">
        <v>251</v>
      </c>
      <c r="D502" s="113" t="s">
        <v>50</v>
      </c>
      <c r="E502" s="113" t="s">
        <v>40</v>
      </c>
      <c r="F502" s="113" t="s">
        <v>28</v>
      </c>
      <c r="G502" s="113" t="s">
        <v>42</v>
      </c>
      <c r="H502" s="114">
        <v>45590</v>
      </c>
      <c r="I502" s="134">
        <v>54</v>
      </c>
      <c r="J502" s="139">
        <v>895</v>
      </c>
      <c r="K502" s="147">
        <v>0.08</v>
      </c>
      <c r="L502" s="165" t="s">
        <v>30</v>
      </c>
      <c r="M502" s="155">
        <v>48330</v>
      </c>
      <c r="N502" s="155">
        <v>44463.6</v>
      </c>
      <c r="O502" s="168" t="s">
        <v>265</v>
      </c>
    </row>
    <row r="503" spans="1:15" x14ac:dyDescent="0.3">
      <c r="A503" s="115" t="s">
        <v>1409</v>
      </c>
      <c r="B503" s="116" t="s">
        <v>55</v>
      </c>
      <c r="C503" s="117" t="s">
        <v>249</v>
      </c>
      <c r="D503" s="117" t="s">
        <v>39</v>
      </c>
      <c r="E503" s="117" t="s">
        <v>33</v>
      </c>
      <c r="F503" s="117" t="s">
        <v>52</v>
      </c>
      <c r="G503" s="117" t="s">
        <v>35</v>
      </c>
      <c r="H503" s="118">
        <v>45566</v>
      </c>
      <c r="I503" s="135">
        <v>92</v>
      </c>
      <c r="J503" s="140">
        <v>650</v>
      </c>
      <c r="K503" s="148">
        <v>0.12</v>
      </c>
      <c r="L503" s="166" t="s">
        <v>30</v>
      </c>
      <c r="M503" s="156">
        <v>59800</v>
      </c>
      <c r="N503" s="156">
        <v>52624</v>
      </c>
      <c r="O503" s="169" t="s">
        <v>265</v>
      </c>
    </row>
    <row r="504" spans="1:15" x14ac:dyDescent="0.3">
      <c r="A504" s="111" t="s">
        <v>1410</v>
      </c>
      <c r="B504" s="112" t="s">
        <v>58</v>
      </c>
      <c r="C504" s="113" t="s">
        <v>255</v>
      </c>
      <c r="D504" s="113" t="s">
        <v>59</v>
      </c>
      <c r="E504" s="113" t="s">
        <v>33</v>
      </c>
      <c r="F504" s="113" t="s">
        <v>46</v>
      </c>
      <c r="G504" s="113" t="s">
        <v>56</v>
      </c>
      <c r="H504" s="114">
        <v>45573</v>
      </c>
      <c r="I504" s="134">
        <v>46</v>
      </c>
      <c r="J504" s="139">
        <v>2800</v>
      </c>
      <c r="K504" s="147">
        <v>0.15</v>
      </c>
      <c r="L504" s="165" t="s">
        <v>30</v>
      </c>
      <c r="M504" s="155">
        <v>128800</v>
      </c>
      <c r="N504" s="155">
        <v>109480</v>
      </c>
      <c r="O504" s="168" t="s">
        <v>267</v>
      </c>
    </row>
    <row r="505" spans="1:15" x14ac:dyDescent="0.3">
      <c r="A505" s="115" t="s">
        <v>1411</v>
      </c>
      <c r="B505" s="116" t="s">
        <v>38</v>
      </c>
      <c r="C505" s="117" t="s">
        <v>247</v>
      </c>
      <c r="D505" s="117" t="s">
        <v>39</v>
      </c>
      <c r="E505" s="117" t="s">
        <v>45</v>
      </c>
      <c r="F505" s="117" t="s">
        <v>46</v>
      </c>
      <c r="G505" s="117" t="s">
        <v>42</v>
      </c>
      <c r="H505" s="118">
        <v>45582</v>
      </c>
      <c r="I505" s="135">
        <v>76</v>
      </c>
      <c r="J505" s="140">
        <v>1200</v>
      </c>
      <c r="K505" s="148">
        <v>0.03</v>
      </c>
      <c r="L505" s="166" t="s">
        <v>36</v>
      </c>
      <c r="M505" s="156">
        <v>91200</v>
      </c>
      <c r="N505" s="156">
        <v>88464</v>
      </c>
      <c r="O505" s="169" t="s">
        <v>265</v>
      </c>
    </row>
    <row r="506" spans="1:15" x14ac:dyDescent="0.3">
      <c r="A506" s="111" t="s">
        <v>1412</v>
      </c>
      <c r="B506" s="112" t="s">
        <v>55</v>
      </c>
      <c r="C506" s="113" t="s">
        <v>249</v>
      </c>
      <c r="D506" s="113" t="s">
        <v>39</v>
      </c>
      <c r="E506" s="113" t="s">
        <v>40</v>
      </c>
      <c r="F506" s="113" t="s">
        <v>34</v>
      </c>
      <c r="G506" s="113" t="s">
        <v>29</v>
      </c>
      <c r="H506" s="114">
        <v>45594</v>
      </c>
      <c r="I506" s="134">
        <v>37</v>
      </c>
      <c r="J506" s="139">
        <v>650</v>
      </c>
      <c r="K506" s="147">
        <v>0.13</v>
      </c>
      <c r="L506" s="165" t="s">
        <v>36</v>
      </c>
      <c r="M506" s="155">
        <v>24050</v>
      </c>
      <c r="N506" s="155">
        <v>20923.5</v>
      </c>
      <c r="O506" s="168" t="s">
        <v>265</v>
      </c>
    </row>
    <row r="507" spans="1:15" x14ac:dyDescent="0.3">
      <c r="A507" s="115" t="s">
        <v>1413</v>
      </c>
      <c r="B507" s="116" t="s">
        <v>61</v>
      </c>
      <c r="C507" s="117" t="s">
        <v>244</v>
      </c>
      <c r="D507" s="117" t="s">
        <v>26</v>
      </c>
      <c r="E507" s="117" t="s">
        <v>51</v>
      </c>
      <c r="F507" s="117" t="s">
        <v>41</v>
      </c>
      <c r="G507" s="117" t="s">
        <v>35</v>
      </c>
      <c r="H507" s="118">
        <v>45596</v>
      </c>
      <c r="I507" s="135">
        <v>46</v>
      </c>
      <c r="J507" s="140">
        <v>280</v>
      </c>
      <c r="K507" s="148">
        <v>0.13</v>
      </c>
      <c r="L507" s="166" t="s">
        <v>36</v>
      </c>
      <c r="M507" s="156">
        <v>12880</v>
      </c>
      <c r="N507" s="156">
        <v>11205.6</v>
      </c>
      <c r="O507" s="169" t="s">
        <v>265</v>
      </c>
    </row>
    <row r="508" spans="1:15" x14ac:dyDescent="0.3">
      <c r="A508" s="111" t="s">
        <v>1414</v>
      </c>
      <c r="B508" s="112" t="s">
        <v>58</v>
      </c>
      <c r="C508" s="113" t="s">
        <v>255</v>
      </c>
      <c r="D508" s="113" t="s">
        <v>59</v>
      </c>
      <c r="E508" s="113" t="s">
        <v>33</v>
      </c>
      <c r="F508" s="113" t="s">
        <v>28</v>
      </c>
      <c r="G508" s="113" t="s">
        <v>35</v>
      </c>
      <c r="H508" s="114">
        <v>45596</v>
      </c>
      <c r="I508" s="134">
        <v>12</v>
      </c>
      <c r="J508" s="139">
        <v>2800</v>
      </c>
      <c r="K508" s="147">
        <v>7.0000000000000007E-2</v>
      </c>
      <c r="L508" s="165" t="s">
        <v>30</v>
      </c>
      <c r="M508" s="155">
        <v>33600</v>
      </c>
      <c r="N508" s="155">
        <v>31248</v>
      </c>
      <c r="O508" s="168" t="s">
        <v>265</v>
      </c>
    </row>
    <row r="509" spans="1:15" x14ac:dyDescent="0.3">
      <c r="A509" s="115" t="s">
        <v>1415</v>
      </c>
      <c r="B509" s="116" t="s">
        <v>25</v>
      </c>
      <c r="C509" s="117" t="s">
        <v>257</v>
      </c>
      <c r="D509" s="117" t="s">
        <v>26</v>
      </c>
      <c r="E509" s="117" t="s">
        <v>33</v>
      </c>
      <c r="F509" s="117" t="s">
        <v>52</v>
      </c>
      <c r="G509" s="117" t="s">
        <v>56</v>
      </c>
      <c r="H509" s="118">
        <v>45571</v>
      </c>
      <c r="I509" s="135">
        <v>183</v>
      </c>
      <c r="J509" s="140">
        <v>350</v>
      </c>
      <c r="K509" s="148">
        <v>0.03</v>
      </c>
      <c r="L509" s="166" t="s">
        <v>36</v>
      </c>
      <c r="M509" s="156">
        <v>64050</v>
      </c>
      <c r="N509" s="156">
        <v>62128.5</v>
      </c>
      <c r="O509" s="169" t="s">
        <v>265</v>
      </c>
    </row>
    <row r="510" spans="1:15" x14ac:dyDescent="0.3">
      <c r="A510" s="111" t="s">
        <v>1416</v>
      </c>
      <c r="B510" s="112" t="s">
        <v>63</v>
      </c>
      <c r="C510" s="113" t="s">
        <v>253</v>
      </c>
      <c r="D510" s="113" t="s">
        <v>50</v>
      </c>
      <c r="E510" s="113" t="s">
        <v>27</v>
      </c>
      <c r="F510" s="113" t="s">
        <v>34</v>
      </c>
      <c r="G510" s="113" t="s">
        <v>56</v>
      </c>
      <c r="H510" s="114">
        <v>45568</v>
      </c>
      <c r="I510" s="134">
        <v>126</v>
      </c>
      <c r="J510" s="139">
        <v>750</v>
      </c>
      <c r="K510" s="147">
        <v>0</v>
      </c>
      <c r="L510" s="165" t="s">
        <v>36</v>
      </c>
      <c r="M510" s="155">
        <v>94500</v>
      </c>
      <c r="N510" s="155">
        <v>94500</v>
      </c>
      <c r="O510" s="168" t="s">
        <v>265</v>
      </c>
    </row>
    <row r="511" spans="1:15" x14ac:dyDescent="0.3">
      <c r="A511" s="115" t="s">
        <v>1417</v>
      </c>
      <c r="B511" s="116" t="s">
        <v>61</v>
      </c>
      <c r="C511" s="117" t="s">
        <v>244</v>
      </c>
      <c r="D511" s="117" t="s">
        <v>26</v>
      </c>
      <c r="E511" s="117" t="s">
        <v>33</v>
      </c>
      <c r="F511" s="117" t="s">
        <v>52</v>
      </c>
      <c r="G511" s="117" t="s">
        <v>35</v>
      </c>
      <c r="H511" s="118">
        <v>45575</v>
      </c>
      <c r="I511" s="135">
        <v>226</v>
      </c>
      <c r="J511" s="140">
        <v>280</v>
      </c>
      <c r="K511" s="148">
        <v>0.12</v>
      </c>
      <c r="L511" s="166" t="s">
        <v>36</v>
      </c>
      <c r="M511" s="156">
        <v>63280</v>
      </c>
      <c r="N511" s="156">
        <v>55686.400000000001</v>
      </c>
      <c r="O511" s="169" t="s">
        <v>265</v>
      </c>
    </row>
    <row r="512" spans="1:15" x14ac:dyDescent="0.3">
      <c r="A512" s="111" t="s">
        <v>1418</v>
      </c>
      <c r="B512" s="112" t="s">
        <v>49</v>
      </c>
      <c r="C512" s="113" t="s">
        <v>251</v>
      </c>
      <c r="D512" s="113" t="s">
        <v>50</v>
      </c>
      <c r="E512" s="113" t="s">
        <v>51</v>
      </c>
      <c r="F512" s="113" t="s">
        <v>34</v>
      </c>
      <c r="G512" s="113" t="s">
        <v>42</v>
      </c>
      <c r="H512" s="114">
        <v>45568</v>
      </c>
      <c r="I512" s="134">
        <v>105</v>
      </c>
      <c r="J512" s="139">
        <v>895</v>
      </c>
      <c r="K512" s="147">
        <v>0.03</v>
      </c>
      <c r="L512" s="165" t="s">
        <v>30</v>
      </c>
      <c r="M512" s="155">
        <v>93975</v>
      </c>
      <c r="N512" s="155">
        <v>91155.75</v>
      </c>
      <c r="O512" s="168" t="s">
        <v>265</v>
      </c>
    </row>
    <row r="513" spans="1:15" x14ac:dyDescent="0.3">
      <c r="A513" s="115" t="s">
        <v>1419</v>
      </c>
      <c r="B513" s="116" t="s">
        <v>58</v>
      </c>
      <c r="C513" s="117" t="s">
        <v>255</v>
      </c>
      <c r="D513" s="117" t="s">
        <v>59</v>
      </c>
      <c r="E513" s="117" t="s">
        <v>27</v>
      </c>
      <c r="F513" s="117" t="s">
        <v>41</v>
      </c>
      <c r="G513" s="117" t="s">
        <v>53</v>
      </c>
      <c r="H513" s="118">
        <v>45576</v>
      </c>
      <c r="I513" s="135">
        <v>82</v>
      </c>
      <c r="J513" s="140">
        <v>2800</v>
      </c>
      <c r="K513" s="148">
        <v>0</v>
      </c>
      <c r="L513" s="166" t="s">
        <v>30</v>
      </c>
      <c r="M513" s="156">
        <v>229600</v>
      </c>
      <c r="N513" s="156">
        <v>229600</v>
      </c>
      <c r="O513" s="169" t="s">
        <v>267</v>
      </c>
    </row>
    <row r="514" spans="1:15" x14ac:dyDescent="0.3">
      <c r="A514" s="111" t="s">
        <v>1420</v>
      </c>
      <c r="B514" s="112" t="s">
        <v>44</v>
      </c>
      <c r="C514" s="113" t="s">
        <v>254</v>
      </c>
      <c r="D514" s="113" t="s">
        <v>39</v>
      </c>
      <c r="E514" s="113" t="s">
        <v>33</v>
      </c>
      <c r="F514" s="113" t="s">
        <v>34</v>
      </c>
      <c r="G514" s="113" t="s">
        <v>35</v>
      </c>
      <c r="H514" s="114">
        <v>45568</v>
      </c>
      <c r="I514" s="134">
        <v>156</v>
      </c>
      <c r="J514" s="139">
        <v>200</v>
      </c>
      <c r="K514" s="147">
        <v>7.0000000000000007E-2</v>
      </c>
      <c r="L514" s="165" t="s">
        <v>36</v>
      </c>
      <c r="M514" s="155">
        <v>31200</v>
      </c>
      <c r="N514" s="155">
        <v>29016</v>
      </c>
      <c r="O514" s="168" t="s">
        <v>265</v>
      </c>
    </row>
    <row r="515" spans="1:15" x14ac:dyDescent="0.3">
      <c r="A515" s="115" t="s">
        <v>1421</v>
      </c>
      <c r="B515" s="116" t="s">
        <v>55</v>
      </c>
      <c r="C515" s="117" t="s">
        <v>249</v>
      </c>
      <c r="D515" s="117" t="s">
        <v>39</v>
      </c>
      <c r="E515" s="117" t="s">
        <v>33</v>
      </c>
      <c r="F515" s="117" t="s">
        <v>28</v>
      </c>
      <c r="G515" s="117" t="s">
        <v>35</v>
      </c>
      <c r="H515" s="118">
        <v>45574</v>
      </c>
      <c r="I515" s="135">
        <v>148</v>
      </c>
      <c r="J515" s="140">
        <v>650</v>
      </c>
      <c r="K515" s="148">
        <v>0</v>
      </c>
      <c r="L515" s="166" t="s">
        <v>36</v>
      </c>
      <c r="M515" s="156">
        <v>96200</v>
      </c>
      <c r="N515" s="156">
        <v>96200</v>
      </c>
      <c r="O515" s="169" t="s">
        <v>265</v>
      </c>
    </row>
    <row r="516" spans="1:15" x14ac:dyDescent="0.3">
      <c r="A516" s="111" t="s">
        <v>1422</v>
      </c>
      <c r="B516" s="112" t="s">
        <v>32</v>
      </c>
      <c r="C516" s="113" t="s">
        <v>246</v>
      </c>
      <c r="D516" s="113" t="s">
        <v>26</v>
      </c>
      <c r="E516" s="113" t="s">
        <v>33</v>
      </c>
      <c r="F516" s="113" t="s">
        <v>52</v>
      </c>
      <c r="G516" s="113" t="s">
        <v>47</v>
      </c>
      <c r="H516" s="114">
        <v>45573</v>
      </c>
      <c r="I516" s="134">
        <v>154</v>
      </c>
      <c r="J516" s="139">
        <v>420</v>
      </c>
      <c r="K516" s="147">
        <v>0.13</v>
      </c>
      <c r="L516" s="165" t="s">
        <v>36</v>
      </c>
      <c r="M516" s="155">
        <v>64680</v>
      </c>
      <c r="N516" s="155">
        <v>56271.6</v>
      </c>
      <c r="O516" s="168" t="s">
        <v>265</v>
      </c>
    </row>
    <row r="517" spans="1:15" x14ac:dyDescent="0.3">
      <c r="A517" s="115" t="s">
        <v>1423</v>
      </c>
      <c r="B517" s="116" t="s">
        <v>16</v>
      </c>
      <c r="C517" s="117" t="s">
        <v>250</v>
      </c>
      <c r="D517" s="117" t="s">
        <v>39</v>
      </c>
      <c r="E517" s="117" t="s">
        <v>27</v>
      </c>
      <c r="F517" s="117" t="s">
        <v>46</v>
      </c>
      <c r="G517" s="117" t="s">
        <v>29</v>
      </c>
      <c r="H517" s="118">
        <v>45609</v>
      </c>
      <c r="I517" s="135">
        <v>103</v>
      </c>
      <c r="J517" s="140">
        <v>990</v>
      </c>
      <c r="K517" s="148">
        <v>0.12</v>
      </c>
      <c r="L517" s="166" t="s">
        <v>36</v>
      </c>
      <c r="M517" s="156">
        <v>101970</v>
      </c>
      <c r="N517" s="156">
        <v>89733.6</v>
      </c>
      <c r="O517" s="169" t="s">
        <v>265</v>
      </c>
    </row>
    <row r="518" spans="1:15" x14ac:dyDescent="0.3">
      <c r="A518" s="111" t="s">
        <v>1424</v>
      </c>
      <c r="B518" s="112" t="s">
        <v>58</v>
      </c>
      <c r="C518" s="113" t="s">
        <v>255</v>
      </c>
      <c r="D518" s="113" t="s">
        <v>59</v>
      </c>
      <c r="E518" s="113" t="s">
        <v>40</v>
      </c>
      <c r="F518" s="113" t="s">
        <v>28</v>
      </c>
      <c r="G518" s="113" t="s">
        <v>47</v>
      </c>
      <c r="H518" s="114">
        <v>45623</v>
      </c>
      <c r="I518" s="134">
        <v>45</v>
      </c>
      <c r="J518" s="139">
        <v>2800</v>
      </c>
      <c r="K518" s="147">
        <v>0.11</v>
      </c>
      <c r="L518" s="165" t="s">
        <v>30</v>
      </c>
      <c r="M518" s="155">
        <v>126000</v>
      </c>
      <c r="N518" s="155">
        <v>112140</v>
      </c>
      <c r="O518" s="168" t="s">
        <v>267</v>
      </c>
    </row>
    <row r="519" spans="1:15" x14ac:dyDescent="0.3">
      <c r="A519" s="115" t="s">
        <v>1425</v>
      </c>
      <c r="B519" s="116" t="s">
        <v>55</v>
      </c>
      <c r="C519" s="117" t="s">
        <v>249</v>
      </c>
      <c r="D519" s="117" t="s">
        <v>39</v>
      </c>
      <c r="E519" s="117" t="s">
        <v>51</v>
      </c>
      <c r="F519" s="117" t="s">
        <v>34</v>
      </c>
      <c r="G519" s="117" t="s">
        <v>29</v>
      </c>
      <c r="H519" s="118">
        <v>45602</v>
      </c>
      <c r="I519" s="135">
        <v>94</v>
      </c>
      <c r="J519" s="140">
        <v>650</v>
      </c>
      <c r="K519" s="148">
        <v>0</v>
      </c>
      <c r="L519" s="166" t="s">
        <v>30</v>
      </c>
      <c r="M519" s="156">
        <v>61100</v>
      </c>
      <c r="N519" s="156">
        <v>61100</v>
      </c>
      <c r="O519" s="169" t="s">
        <v>265</v>
      </c>
    </row>
    <row r="520" spans="1:15" x14ac:dyDescent="0.3">
      <c r="A520" s="111" t="s">
        <v>1426</v>
      </c>
      <c r="B520" s="112" t="s">
        <v>58</v>
      </c>
      <c r="C520" s="113" t="s">
        <v>255</v>
      </c>
      <c r="D520" s="113" t="s">
        <v>59</v>
      </c>
      <c r="E520" s="113" t="s">
        <v>51</v>
      </c>
      <c r="F520" s="113" t="s">
        <v>28</v>
      </c>
      <c r="G520" s="113" t="s">
        <v>53</v>
      </c>
      <c r="H520" s="114">
        <v>45605</v>
      </c>
      <c r="I520" s="134">
        <v>66</v>
      </c>
      <c r="J520" s="139">
        <v>2800</v>
      </c>
      <c r="K520" s="147">
        <v>0.11</v>
      </c>
      <c r="L520" s="165" t="s">
        <v>36</v>
      </c>
      <c r="M520" s="155">
        <v>184800</v>
      </c>
      <c r="N520" s="155">
        <v>164472</v>
      </c>
      <c r="O520" s="168" t="s">
        <v>267</v>
      </c>
    </row>
    <row r="521" spans="1:15" x14ac:dyDescent="0.3">
      <c r="A521" s="115" t="s">
        <v>1427</v>
      </c>
      <c r="B521" s="116" t="s">
        <v>25</v>
      </c>
      <c r="C521" s="117" t="s">
        <v>257</v>
      </c>
      <c r="D521" s="117" t="s">
        <v>26</v>
      </c>
      <c r="E521" s="117" t="s">
        <v>27</v>
      </c>
      <c r="F521" s="117" t="s">
        <v>34</v>
      </c>
      <c r="G521" s="117" t="s">
        <v>53</v>
      </c>
      <c r="H521" s="118">
        <v>45597</v>
      </c>
      <c r="I521" s="135">
        <v>138</v>
      </c>
      <c r="J521" s="140">
        <v>350</v>
      </c>
      <c r="K521" s="148">
        <v>0.11</v>
      </c>
      <c r="L521" s="166" t="s">
        <v>36</v>
      </c>
      <c r="M521" s="156">
        <v>48300</v>
      </c>
      <c r="N521" s="156">
        <v>42987</v>
      </c>
      <c r="O521" s="169" t="s">
        <v>265</v>
      </c>
    </row>
    <row r="522" spans="1:15" x14ac:dyDescent="0.3">
      <c r="A522" s="111" t="s">
        <v>1428</v>
      </c>
      <c r="B522" s="112" t="s">
        <v>44</v>
      </c>
      <c r="C522" s="113" t="s">
        <v>254</v>
      </c>
      <c r="D522" s="113" t="s">
        <v>39</v>
      </c>
      <c r="E522" s="113" t="s">
        <v>51</v>
      </c>
      <c r="F522" s="113" t="s">
        <v>41</v>
      </c>
      <c r="G522" s="113" t="s">
        <v>47</v>
      </c>
      <c r="H522" s="114">
        <v>45599</v>
      </c>
      <c r="I522" s="134">
        <v>129</v>
      </c>
      <c r="J522" s="139">
        <v>200</v>
      </c>
      <c r="K522" s="147">
        <v>0</v>
      </c>
      <c r="L522" s="165" t="s">
        <v>30</v>
      </c>
      <c r="M522" s="155">
        <v>25800</v>
      </c>
      <c r="N522" s="155">
        <v>25800</v>
      </c>
      <c r="O522" s="168" t="s">
        <v>265</v>
      </c>
    </row>
    <row r="523" spans="1:15" x14ac:dyDescent="0.3">
      <c r="A523" s="115" t="s">
        <v>1429</v>
      </c>
      <c r="B523" s="116" t="s">
        <v>38</v>
      </c>
      <c r="C523" s="117" t="s">
        <v>247</v>
      </c>
      <c r="D523" s="117" t="s">
        <v>39</v>
      </c>
      <c r="E523" s="117" t="s">
        <v>51</v>
      </c>
      <c r="F523" s="117" t="s">
        <v>52</v>
      </c>
      <c r="G523" s="117" t="s">
        <v>35</v>
      </c>
      <c r="H523" s="118">
        <v>45600</v>
      </c>
      <c r="I523" s="135">
        <v>59</v>
      </c>
      <c r="J523" s="140">
        <v>1200</v>
      </c>
      <c r="K523" s="148">
        <v>0.13</v>
      </c>
      <c r="L523" s="166" t="s">
        <v>36</v>
      </c>
      <c r="M523" s="156">
        <v>70800</v>
      </c>
      <c r="N523" s="156">
        <v>61596</v>
      </c>
      <c r="O523" s="169" t="s">
        <v>265</v>
      </c>
    </row>
    <row r="524" spans="1:15" x14ac:dyDescent="0.3">
      <c r="A524" s="111" t="s">
        <v>1430</v>
      </c>
      <c r="B524" s="112" t="s">
        <v>55</v>
      </c>
      <c r="C524" s="113" t="s">
        <v>249</v>
      </c>
      <c r="D524" s="113" t="s">
        <v>39</v>
      </c>
      <c r="E524" s="113" t="s">
        <v>27</v>
      </c>
      <c r="F524" s="113" t="s">
        <v>46</v>
      </c>
      <c r="G524" s="113" t="s">
        <v>29</v>
      </c>
      <c r="H524" s="114">
        <v>45601</v>
      </c>
      <c r="I524" s="134">
        <v>172</v>
      </c>
      <c r="J524" s="139">
        <v>650</v>
      </c>
      <c r="K524" s="147">
        <v>0</v>
      </c>
      <c r="L524" s="165" t="s">
        <v>36</v>
      </c>
      <c r="M524" s="155">
        <v>111800</v>
      </c>
      <c r="N524" s="155">
        <v>111800</v>
      </c>
      <c r="O524" s="168" t="s">
        <v>267</v>
      </c>
    </row>
    <row r="525" spans="1:15" x14ac:dyDescent="0.3">
      <c r="A525" s="115" t="s">
        <v>1431</v>
      </c>
      <c r="B525" s="116" t="s">
        <v>32</v>
      </c>
      <c r="C525" s="117" t="s">
        <v>246</v>
      </c>
      <c r="D525" s="117" t="s">
        <v>26</v>
      </c>
      <c r="E525" s="117" t="s">
        <v>45</v>
      </c>
      <c r="F525" s="117" t="s">
        <v>52</v>
      </c>
      <c r="G525" s="117" t="s">
        <v>53</v>
      </c>
      <c r="H525" s="118">
        <v>45598</v>
      </c>
      <c r="I525" s="135">
        <v>57</v>
      </c>
      <c r="J525" s="140">
        <v>420</v>
      </c>
      <c r="K525" s="148">
        <v>0.12</v>
      </c>
      <c r="L525" s="166" t="s">
        <v>30</v>
      </c>
      <c r="M525" s="156">
        <v>23940</v>
      </c>
      <c r="N525" s="156">
        <v>21067.200000000001</v>
      </c>
      <c r="O525" s="169" t="s">
        <v>265</v>
      </c>
    </row>
    <row r="526" spans="1:15" x14ac:dyDescent="0.3">
      <c r="A526" s="111" t="s">
        <v>1432</v>
      </c>
      <c r="B526" s="112" t="s">
        <v>63</v>
      </c>
      <c r="C526" s="113" t="s">
        <v>253</v>
      </c>
      <c r="D526" s="113" t="s">
        <v>50</v>
      </c>
      <c r="E526" s="113" t="s">
        <v>51</v>
      </c>
      <c r="F526" s="113" t="s">
        <v>52</v>
      </c>
      <c r="G526" s="113" t="s">
        <v>53</v>
      </c>
      <c r="H526" s="114">
        <v>45599</v>
      </c>
      <c r="I526" s="134">
        <v>38</v>
      </c>
      <c r="J526" s="139">
        <v>750</v>
      </c>
      <c r="K526" s="147">
        <v>0.13</v>
      </c>
      <c r="L526" s="165" t="s">
        <v>36</v>
      </c>
      <c r="M526" s="155">
        <v>28500</v>
      </c>
      <c r="N526" s="155">
        <v>24795</v>
      </c>
      <c r="O526" s="168" t="s">
        <v>265</v>
      </c>
    </row>
    <row r="527" spans="1:15" x14ac:dyDescent="0.3">
      <c r="A527" s="115" t="s">
        <v>1433</v>
      </c>
      <c r="B527" s="116" t="s">
        <v>44</v>
      </c>
      <c r="C527" s="117" t="s">
        <v>254</v>
      </c>
      <c r="D527" s="117" t="s">
        <v>39</v>
      </c>
      <c r="E527" s="117" t="s">
        <v>27</v>
      </c>
      <c r="F527" s="117" t="s">
        <v>34</v>
      </c>
      <c r="G527" s="117" t="s">
        <v>29</v>
      </c>
      <c r="H527" s="118">
        <v>45603</v>
      </c>
      <c r="I527" s="135">
        <v>162</v>
      </c>
      <c r="J527" s="140">
        <v>200</v>
      </c>
      <c r="K527" s="148">
        <v>0.13</v>
      </c>
      <c r="L527" s="166" t="s">
        <v>30</v>
      </c>
      <c r="M527" s="156">
        <v>32400</v>
      </c>
      <c r="N527" s="156">
        <v>28188</v>
      </c>
      <c r="O527" s="169" t="s">
        <v>265</v>
      </c>
    </row>
    <row r="528" spans="1:15" x14ac:dyDescent="0.3">
      <c r="A528" s="111" t="s">
        <v>1434</v>
      </c>
      <c r="B528" s="112" t="s">
        <v>55</v>
      </c>
      <c r="C528" s="113" t="s">
        <v>249</v>
      </c>
      <c r="D528" s="113" t="s">
        <v>39</v>
      </c>
      <c r="E528" s="113" t="s">
        <v>33</v>
      </c>
      <c r="F528" s="113" t="s">
        <v>41</v>
      </c>
      <c r="G528" s="113" t="s">
        <v>53</v>
      </c>
      <c r="H528" s="114">
        <v>45606</v>
      </c>
      <c r="I528" s="134">
        <v>51</v>
      </c>
      <c r="J528" s="139">
        <v>650</v>
      </c>
      <c r="K528" s="147">
        <v>0</v>
      </c>
      <c r="L528" s="165" t="s">
        <v>36</v>
      </c>
      <c r="M528" s="155">
        <v>33150</v>
      </c>
      <c r="N528" s="155">
        <v>33150</v>
      </c>
      <c r="O528" s="168" t="s">
        <v>265</v>
      </c>
    </row>
    <row r="529" spans="1:15" x14ac:dyDescent="0.3">
      <c r="A529" s="115" t="s">
        <v>1435</v>
      </c>
      <c r="B529" s="116" t="s">
        <v>38</v>
      </c>
      <c r="C529" s="117" t="s">
        <v>247</v>
      </c>
      <c r="D529" s="117" t="s">
        <v>39</v>
      </c>
      <c r="E529" s="117" t="s">
        <v>51</v>
      </c>
      <c r="F529" s="117" t="s">
        <v>34</v>
      </c>
      <c r="G529" s="117" t="s">
        <v>29</v>
      </c>
      <c r="H529" s="118">
        <v>45611</v>
      </c>
      <c r="I529" s="135">
        <v>28</v>
      </c>
      <c r="J529" s="140">
        <v>1200</v>
      </c>
      <c r="K529" s="148">
        <v>0.11</v>
      </c>
      <c r="L529" s="166" t="s">
        <v>36</v>
      </c>
      <c r="M529" s="156">
        <v>33600</v>
      </c>
      <c r="N529" s="156">
        <v>29904</v>
      </c>
      <c r="O529" s="169" t="s">
        <v>265</v>
      </c>
    </row>
    <row r="530" spans="1:15" x14ac:dyDescent="0.3">
      <c r="A530" s="111" t="s">
        <v>1436</v>
      </c>
      <c r="B530" s="112" t="s">
        <v>44</v>
      </c>
      <c r="C530" s="113" t="s">
        <v>254</v>
      </c>
      <c r="D530" s="113" t="s">
        <v>39</v>
      </c>
      <c r="E530" s="113" t="s">
        <v>33</v>
      </c>
      <c r="F530" s="113" t="s">
        <v>46</v>
      </c>
      <c r="G530" s="113" t="s">
        <v>42</v>
      </c>
      <c r="H530" s="114">
        <v>45598</v>
      </c>
      <c r="I530" s="134">
        <v>145</v>
      </c>
      <c r="J530" s="139">
        <v>200</v>
      </c>
      <c r="K530" s="147">
        <v>0.15</v>
      </c>
      <c r="L530" s="165" t="s">
        <v>30</v>
      </c>
      <c r="M530" s="155">
        <v>29000</v>
      </c>
      <c r="N530" s="155">
        <v>24650</v>
      </c>
      <c r="O530" s="168" t="s">
        <v>265</v>
      </c>
    </row>
    <row r="531" spans="1:15" x14ac:dyDescent="0.3">
      <c r="A531" s="115" t="s">
        <v>1437</v>
      </c>
      <c r="B531" s="116" t="s">
        <v>63</v>
      </c>
      <c r="C531" s="117" t="s">
        <v>253</v>
      </c>
      <c r="D531" s="117" t="s">
        <v>50</v>
      </c>
      <c r="E531" s="117" t="s">
        <v>33</v>
      </c>
      <c r="F531" s="117" t="s">
        <v>28</v>
      </c>
      <c r="G531" s="117" t="s">
        <v>47</v>
      </c>
      <c r="H531" s="118">
        <v>45617</v>
      </c>
      <c r="I531" s="135">
        <v>84</v>
      </c>
      <c r="J531" s="140">
        <v>750</v>
      </c>
      <c r="K531" s="148">
        <v>0</v>
      </c>
      <c r="L531" s="166" t="s">
        <v>36</v>
      </c>
      <c r="M531" s="156">
        <v>63000</v>
      </c>
      <c r="N531" s="156">
        <v>63000</v>
      </c>
      <c r="O531" s="169" t="s">
        <v>265</v>
      </c>
    </row>
    <row r="532" spans="1:15" x14ac:dyDescent="0.3">
      <c r="A532" s="111" t="s">
        <v>1438</v>
      </c>
      <c r="B532" s="112" t="s">
        <v>32</v>
      </c>
      <c r="C532" s="113" t="s">
        <v>246</v>
      </c>
      <c r="D532" s="113" t="s">
        <v>26</v>
      </c>
      <c r="E532" s="113" t="s">
        <v>27</v>
      </c>
      <c r="F532" s="113" t="s">
        <v>52</v>
      </c>
      <c r="G532" s="113" t="s">
        <v>47</v>
      </c>
      <c r="H532" s="114">
        <v>45605</v>
      </c>
      <c r="I532" s="134">
        <v>79</v>
      </c>
      <c r="J532" s="139">
        <v>420</v>
      </c>
      <c r="K532" s="147">
        <v>0</v>
      </c>
      <c r="L532" s="165" t="s">
        <v>30</v>
      </c>
      <c r="M532" s="155">
        <v>33180</v>
      </c>
      <c r="N532" s="155">
        <v>33180</v>
      </c>
      <c r="O532" s="168" t="s">
        <v>265</v>
      </c>
    </row>
    <row r="533" spans="1:15" x14ac:dyDescent="0.3">
      <c r="A533" s="115" t="s">
        <v>1439</v>
      </c>
      <c r="B533" s="116" t="s">
        <v>38</v>
      </c>
      <c r="C533" s="117" t="s">
        <v>247</v>
      </c>
      <c r="D533" s="117" t="s">
        <v>39</v>
      </c>
      <c r="E533" s="117" t="s">
        <v>27</v>
      </c>
      <c r="F533" s="117" t="s">
        <v>28</v>
      </c>
      <c r="G533" s="117" t="s">
        <v>29</v>
      </c>
      <c r="H533" s="118">
        <v>45610</v>
      </c>
      <c r="I533" s="135">
        <v>56</v>
      </c>
      <c r="J533" s="140">
        <v>1200</v>
      </c>
      <c r="K533" s="148">
        <v>0.14000000000000001</v>
      </c>
      <c r="L533" s="166" t="s">
        <v>30</v>
      </c>
      <c r="M533" s="156">
        <v>67200</v>
      </c>
      <c r="N533" s="156">
        <v>57792</v>
      </c>
      <c r="O533" s="169" t="s">
        <v>265</v>
      </c>
    </row>
    <row r="534" spans="1:15" x14ac:dyDescent="0.3">
      <c r="A534" s="111" t="s">
        <v>1440</v>
      </c>
      <c r="B534" s="112" t="s">
        <v>58</v>
      </c>
      <c r="C534" s="113" t="s">
        <v>255</v>
      </c>
      <c r="D534" s="113" t="s">
        <v>59</v>
      </c>
      <c r="E534" s="113" t="s">
        <v>45</v>
      </c>
      <c r="F534" s="113" t="s">
        <v>52</v>
      </c>
      <c r="G534" s="113" t="s">
        <v>35</v>
      </c>
      <c r="H534" s="114">
        <v>45601</v>
      </c>
      <c r="I534" s="134">
        <v>62</v>
      </c>
      <c r="J534" s="139">
        <v>2800</v>
      </c>
      <c r="K534" s="147">
        <v>0.1</v>
      </c>
      <c r="L534" s="165" t="s">
        <v>36</v>
      </c>
      <c r="M534" s="155">
        <v>173600</v>
      </c>
      <c r="N534" s="155">
        <v>156240</v>
      </c>
      <c r="O534" s="168" t="s">
        <v>267</v>
      </c>
    </row>
    <row r="535" spans="1:15" x14ac:dyDescent="0.3">
      <c r="A535" s="115" t="s">
        <v>1441</v>
      </c>
      <c r="B535" s="116" t="s">
        <v>32</v>
      </c>
      <c r="C535" s="117" t="s">
        <v>246</v>
      </c>
      <c r="D535" s="117" t="s">
        <v>26</v>
      </c>
      <c r="E535" s="117" t="s">
        <v>33</v>
      </c>
      <c r="F535" s="117" t="s">
        <v>46</v>
      </c>
      <c r="G535" s="117" t="s">
        <v>47</v>
      </c>
      <c r="H535" s="118">
        <v>45607</v>
      </c>
      <c r="I535" s="135">
        <v>190</v>
      </c>
      <c r="J535" s="140">
        <v>420</v>
      </c>
      <c r="K535" s="148">
        <v>0.11</v>
      </c>
      <c r="L535" s="166" t="s">
        <v>36</v>
      </c>
      <c r="M535" s="156">
        <v>79800</v>
      </c>
      <c r="N535" s="156">
        <v>71022</v>
      </c>
      <c r="O535" s="169" t="s">
        <v>265</v>
      </c>
    </row>
    <row r="536" spans="1:15" x14ac:dyDescent="0.3">
      <c r="A536" s="111" t="s">
        <v>1442</v>
      </c>
      <c r="B536" s="112" t="s">
        <v>55</v>
      </c>
      <c r="C536" s="113" t="s">
        <v>249</v>
      </c>
      <c r="D536" s="113" t="s">
        <v>39</v>
      </c>
      <c r="E536" s="113" t="s">
        <v>45</v>
      </c>
      <c r="F536" s="113" t="s">
        <v>34</v>
      </c>
      <c r="G536" s="113" t="s">
        <v>53</v>
      </c>
      <c r="H536" s="114">
        <v>45609</v>
      </c>
      <c r="I536" s="134">
        <v>102</v>
      </c>
      <c r="J536" s="139">
        <v>650</v>
      </c>
      <c r="K536" s="147">
        <v>0.05</v>
      </c>
      <c r="L536" s="165" t="s">
        <v>36</v>
      </c>
      <c r="M536" s="155">
        <v>66300</v>
      </c>
      <c r="N536" s="155">
        <v>62985</v>
      </c>
      <c r="O536" s="168" t="s">
        <v>265</v>
      </c>
    </row>
    <row r="537" spans="1:15" x14ac:dyDescent="0.3">
      <c r="A537" s="115" t="s">
        <v>1443</v>
      </c>
      <c r="B537" s="116" t="s">
        <v>38</v>
      </c>
      <c r="C537" s="117" t="s">
        <v>247</v>
      </c>
      <c r="D537" s="117" t="s">
        <v>39</v>
      </c>
      <c r="E537" s="117" t="s">
        <v>40</v>
      </c>
      <c r="F537" s="117" t="s">
        <v>46</v>
      </c>
      <c r="G537" s="117" t="s">
        <v>56</v>
      </c>
      <c r="H537" s="118">
        <v>45624</v>
      </c>
      <c r="I537" s="135">
        <v>53</v>
      </c>
      <c r="J537" s="140">
        <v>1200</v>
      </c>
      <c r="K537" s="148">
        <v>0.13</v>
      </c>
      <c r="L537" s="166" t="s">
        <v>30</v>
      </c>
      <c r="M537" s="156">
        <v>63600</v>
      </c>
      <c r="N537" s="156">
        <v>55332</v>
      </c>
      <c r="O537" s="169" t="s">
        <v>265</v>
      </c>
    </row>
    <row r="538" spans="1:15" x14ac:dyDescent="0.3">
      <c r="A538" s="111" t="s">
        <v>1444</v>
      </c>
      <c r="B538" s="112" t="s">
        <v>58</v>
      </c>
      <c r="C538" s="113" t="s">
        <v>255</v>
      </c>
      <c r="D538" s="113" t="s">
        <v>59</v>
      </c>
      <c r="E538" s="113" t="s">
        <v>33</v>
      </c>
      <c r="F538" s="113" t="s">
        <v>28</v>
      </c>
      <c r="G538" s="113" t="s">
        <v>47</v>
      </c>
      <c r="H538" s="114">
        <v>45624</v>
      </c>
      <c r="I538" s="134">
        <v>91</v>
      </c>
      <c r="J538" s="139">
        <v>2800</v>
      </c>
      <c r="K538" s="147">
        <v>0.1</v>
      </c>
      <c r="L538" s="165" t="s">
        <v>36</v>
      </c>
      <c r="M538" s="155">
        <v>254800</v>
      </c>
      <c r="N538" s="155">
        <v>229320</v>
      </c>
      <c r="O538" s="168" t="s">
        <v>267</v>
      </c>
    </row>
    <row r="539" spans="1:15" x14ac:dyDescent="0.3">
      <c r="A539" s="115" t="s">
        <v>1445</v>
      </c>
      <c r="B539" s="116" t="s">
        <v>49</v>
      </c>
      <c r="C539" s="117" t="s">
        <v>251</v>
      </c>
      <c r="D539" s="117" t="s">
        <v>50</v>
      </c>
      <c r="E539" s="117" t="s">
        <v>27</v>
      </c>
      <c r="F539" s="117" t="s">
        <v>46</v>
      </c>
      <c r="G539" s="117" t="s">
        <v>42</v>
      </c>
      <c r="H539" s="118">
        <v>45607</v>
      </c>
      <c r="I539" s="135">
        <v>134</v>
      </c>
      <c r="J539" s="140">
        <v>895</v>
      </c>
      <c r="K539" s="148">
        <v>0.1</v>
      </c>
      <c r="L539" s="166" t="s">
        <v>36</v>
      </c>
      <c r="M539" s="156">
        <v>119930</v>
      </c>
      <c r="N539" s="156">
        <v>107937</v>
      </c>
      <c r="O539" s="169" t="s">
        <v>267</v>
      </c>
    </row>
    <row r="540" spans="1:15" x14ac:dyDescent="0.3">
      <c r="A540" s="111" t="s">
        <v>1446</v>
      </c>
      <c r="B540" s="112" t="s">
        <v>44</v>
      </c>
      <c r="C540" s="113" t="s">
        <v>254</v>
      </c>
      <c r="D540" s="113" t="s">
        <v>39</v>
      </c>
      <c r="E540" s="113" t="s">
        <v>45</v>
      </c>
      <c r="F540" s="113" t="s">
        <v>41</v>
      </c>
      <c r="G540" s="113" t="s">
        <v>29</v>
      </c>
      <c r="H540" s="114">
        <v>45598</v>
      </c>
      <c r="I540" s="134">
        <v>74</v>
      </c>
      <c r="J540" s="139">
        <v>200</v>
      </c>
      <c r="K540" s="147">
        <v>0.03</v>
      </c>
      <c r="L540" s="165" t="s">
        <v>30</v>
      </c>
      <c r="M540" s="155">
        <v>14800</v>
      </c>
      <c r="N540" s="155">
        <v>14356</v>
      </c>
      <c r="O540" s="168" t="s">
        <v>265</v>
      </c>
    </row>
    <row r="541" spans="1:15" x14ac:dyDescent="0.3">
      <c r="A541" s="115" t="s">
        <v>1447</v>
      </c>
      <c r="B541" s="116" t="s">
        <v>16</v>
      </c>
      <c r="C541" s="117" t="s">
        <v>250</v>
      </c>
      <c r="D541" s="117" t="s">
        <v>39</v>
      </c>
      <c r="E541" s="117" t="s">
        <v>51</v>
      </c>
      <c r="F541" s="117" t="s">
        <v>52</v>
      </c>
      <c r="G541" s="117" t="s">
        <v>35</v>
      </c>
      <c r="H541" s="118">
        <v>45600</v>
      </c>
      <c r="I541" s="135">
        <v>20</v>
      </c>
      <c r="J541" s="140">
        <v>990</v>
      </c>
      <c r="K541" s="148">
        <v>7.0000000000000007E-2</v>
      </c>
      <c r="L541" s="166" t="s">
        <v>36</v>
      </c>
      <c r="M541" s="156">
        <v>19800</v>
      </c>
      <c r="N541" s="156">
        <v>18414</v>
      </c>
      <c r="O541" s="169" t="s">
        <v>265</v>
      </c>
    </row>
    <row r="542" spans="1:15" x14ac:dyDescent="0.3">
      <c r="A542" s="111" t="s">
        <v>1448</v>
      </c>
      <c r="B542" s="112" t="s">
        <v>63</v>
      </c>
      <c r="C542" s="113" t="s">
        <v>253</v>
      </c>
      <c r="D542" s="113" t="s">
        <v>50</v>
      </c>
      <c r="E542" s="113" t="s">
        <v>40</v>
      </c>
      <c r="F542" s="113" t="s">
        <v>28</v>
      </c>
      <c r="G542" s="113" t="s">
        <v>53</v>
      </c>
      <c r="H542" s="114">
        <v>45609</v>
      </c>
      <c r="I542" s="134">
        <v>82</v>
      </c>
      <c r="J542" s="139">
        <v>750</v>
      </c>
      <c r="K542" s="147">
        <v>0.15</v>
      </c>
      <c r="L542" s="165" t="s">
        <v>36</v>
      </c>
      <c r="M542" s="155">
        <v>61500</v>
      </c>
      <c r="N542" s="155">
        <v>52275</v>
      </c>
      <c r="O542" s="168" t="s">
        <v>265</v>
      </c>
    </row>
    <row r="543" spans="1:15" x14ac:dyDescent="0.3">
      <c r="A543" s="115" t="s">
        <v>1449</v>
      </c>
      <c r="B543" s="116" t="s">
        <v>32</v>
      </c>
      <c r="C543" s="117" t="s">
        <v>246</v>
      </c>
      <c r="D543" s="117" t="s">
        <v>26</v>
      </c>
      <c r="E543" s="117" t="s">
        <v>51</v>
      </c>
      <c r="F543" s="117" t="s">
        <v>34</v>
      </c>
      <c r="G543" s="117" t="s">
        <v>53</v>
      </c>
      <c r="H543" s="118">
        <v>45619</v>
      </c>
      <c r="I543" s="135">
        <v>138</v>
      </c>
      <c r="J543" s="140">
        <v>420</v>
      </c>
      <c r="K543" s="148">
        <v>0.12</v>
      </c>
      <c r="L543" s="166" t="s">
        <v>30</v>
      </c>
      <c r="M543" s="156">
        <v>57960</v>
      </c>
      <c r="N543" s="156">
        <v>51004.800000000003</v>
      </c>
      <c r="O543" s="169" t="s">
        <v>265</v>
      </c>
    </row>
    <row r="544" spans="1:15" x14ac:dyDescent="0.3">
      <c r="A544" s="111" t="s">
        <v>1450</v>
      </c>
      <c r="B544" s="112" t="s">
        <v>44</v>
      </c>
      <c r="C544" s="113" t="s">
        <v>254</v>
      </c>
      <c r="D544" s="113" t="s">
        <v>39</v>
      </c>
      <c r="E544" s="113" t="s">
        <v>51</v>
      </c>
      <c r="F544" s="113" t="s">
        <v>34</v>
      </c>
      <c r="G544" s="113" t="s">
        <v>56</v>
      </c>
      <c r="H544" s="114">
        <v>45609</v>
      </c>
      <c r="I544" s="134">
        <v>174</v>
      </c>
      <c r="J544" s="139">
        <v>200</v>
      </c>
      <c r="K544" s="147">
        <v>0.03</v>
      </c>
      <c r="L544" s="165" t="s">
        <v>30</v>
      </c>
      <c r="M544" s="155">
        <v>34800</v>
      </c>
      <c r="N544" s="155">
        <v>33756</v>
      </c>
      <c r="O544" s="168" t="s">
        <v>265</v>
      </c>
    </row>
    <row r="545" spans="1:15" x14ac:dyDescent="0.3">
      <c r="A545" s="115" t="s">
        <v>1451</v>
      </c>
      <c r="B545" s="116" t="s">
        <v>32</v>
      </c>
      <c r="C545" s="117" t="s">
        <v>246</v>
      </c>
      <c r="D545" s="117" t="s">
        <v>26</v>
      </c>
      <c r="E545" s="117" t="s">
        <v>51</v>
      </c>
      <c r="F545" s="117" t="s">
        <v>28</v>
      </c>
      <c r="G545" s="117" t="s">
        <v>53</v>
      </c>
      <c r="H545" s="118">
        <v>45617</v>
      </c>
      <c r="I545" s="135">
        <v>52</v>
      </c>
      <c r="J545" s="140">
        <v>420</v>
      </c>
      <c r="K545" s="148">
        <v>0</v>
      </c>
      <c r="L545" s="166" t="s">
        <v>36</v>
      </c>
      <c r="M545" s="156">
        <v>21840</v>
      </c>
      <c r="N545" s="156">
        <v>21840</v>
      </c>
      <c r="O545" s="169" t="s">
        <v>265</v>
      </c>
    </row>
    <row r="546" spans="1:15" x14ac:dyDescent="0.3">
      <c r="A546" s="111" t="s">
        <v>1452</v>
      </c>
      <c r="B546" s="112" t="s">
        <v>58</v>
      </c>
      <c r="C546" s="113" t="s">
        <v>255</v>
      </c>
      <c r="D546" s="113" t="s">
        <v>59</v>
      </c>
      <c r="E546" s="113" t="s">
        <v>33</v>
      </c>
      <c r="F546" s="113" t="s">
        <v>46</v>
      </c>
      <c r="G546" s="113" t="s">
        <v>42</v>
      </c>
      <c r="H546" s="114">
        <v>45608</v>
      </c>
      <c r="I546" s="134">
        <v>10</v>
      </c>
      <c r="J546" s="139">
        <v>2800</v>
      </c>
      <c r="K546" s="147">
        <v>0</v>
      </c>
      <c r="L546" s="165" t="s">
        <v>36</v>
      </c>
      <c r="M546" s="155">
        <v>28000</v>
      </c>
      <c r="N546" s="155">
        <v>28000</v>
      </c>
      <c r="O546" s="168" t="s">
        <v>265</v>
      </c>
    </row>
    <row r="547" spans="1:15" x14ac:dyDescent="0.3">
      <c r="A547" s="115" t="s">
        <v>1453</v>
      </c>
      <c r="B547" s="116" t="s">
        <v>25</v>
      </c>
      <c r="C547" s="117" t="s">
        <v>257</v>
      </c>
      <c r="D547" s="117" t="s">
        <v>26</v>
      </c>
      <c r="E547" s="117" t="s">
        <v>33</v>
      </c>
      <c r="F547" s="117" t="s">
        <v>28</v>
      </c>
      <c r="G547" s="117" t="s">
        <v>47</v>
      </c>
      <c r="H547" s="118">
        <v>45609</v>
      </c>
      <c r="I547" s="135">
        <v>95</v>
      </c>
      <c r="J547" s="140">
        <v>350</v>
      </c>
      <c r="K547" s="148">
        <v>0</v>
      </c>
      <c r="L547" s="166" t="s">
        <v>36</v>
      </c>
      <c r="M547" s="156">
        <v>33250</v>
      </c>
      <c r="N547" s="156">
        <v>33250</v>
      </c>
      <c r="O547" s="169" t="s">
        <v>265</v>
      </c>
    </row>
    <row r="548" spans="1:15" x14ac:dyDescent="0.3">
      <c r="A548" s="111" t="s">
        <v>1454</v>
      </c>
      <c r="B548" s="112" t="s">
        <v>25</v>
      </c>
      <c r="C548" s="113" t="s">
        <v>257</v>
      </c>
      <c r="D548" s="113" t="s">
        <v>26</v>
      </c>
      <c r="E548" s="113" t="s">
        <v>27</v>
      </c>
      <c r="F548" s="113" t="s">
        <v>34</v>
      </c>
      <c r="G548" s="113" t="s">
        <v>29</v>
      </c>
      <c r="H548" s="114">
        <v>45613</v>
      </c>
      <c r="I548" s="134">
        <v>120</v>
      </c>
      <c r="J548" s="139">
        <v>350</v>
      </c>
      <c r="K548" s="147">
        <v>0</v>
      </c>
      <c r="L548" s="165" t="s">
        <v>30</v>
      </c>
      <c r="M548" s="155">
        <v>42000</v>
      </c>
      <c r="N548" s="155">
        <v>42000</v>
      </c>
      <c r="O548" s="168" t="s">
        <v>265</v>
      </c>
    </row>
    <row r="549" spans="1:15" x14ac:dyDescent="0.3">
      <c r="A549" s="115" t="s">
        <v>1455</v>
      </c>
      <c r="B549" s="116" t="s">
        <v>32</v>
      </c>
      <c r="C549" s="117" t="s">
        <v>246</v>
      </c>
      <c r="D549" s="117" t="s">
        <v>26</v>
      </c>
      <c r="E549" s="117" t="s">
        <v>40</v>
      </c>
      <c r="F549" s="117" t="s">
        <v>34</v>
      </c>
      <c r="G549" s="117" t="s">
        <v>53</v>
      </c>
      <c r="H549" s="118">
        <v>45609</v>
      </c>
      <c r="I549" s="135">
        <v>91</v>
      </c>
      <c r="J549" s="140">
        <v>420</v>
      </c>
      <c r="K549" s="148">
        <v>0</v>
      </c>
      <c r="L549" s="166" t="s">
        <v>30</v>
      </c>
      <c r="M549" s="156">
        <v>38220</v>
      </c>
      <c r="N549" s="156">
        <v>38220</v>
      </c>
      <c r="O549" s="169" t="s">
        <v>265</v>
      </c>
    </row>
    <row r="550" spans="1:15" x14ac:dyDescent="0.3">
      <c r="A550" s="111" t="s">
        <v>1456</v>
      </c>
      <c r="B550" s="112" t="s">
        <v>32</v>
      </c>
      <c r="C550" s="113" t="s">
        <v>246</v>
      </c>
      <c r="D550" s="113" t="s">
        <v>26</v>
      </c>
      <c r="E550" s="113" t="s">
        <v>51</v>
      </c>
      <c r="F550" s="113" t="s">
        <v>46</v>
      </c>
      <c r="G550" s="113" t="s">
        <v>47</v>
      </c>
      <c r="H550" s="114">
        <v>45601</v>
      </c>
      <c r="I550" s="134">
        <v>177</v>
      </c>
      <c r="J550" s="139">
        <v>420</v>
      </c>
      <c r="K550" s="147">
        <v>0.1</v>
      </c>
      <c r="L550" s="165" t="s">
        <v>30</v>
      </c>
      <c r="M550" s="155">
        <v>74340</v>
      </c>
      <c r="N550" s="155">
        <v>66906</v>
      </c>
      <c r="O550" s="168" t="s">
        <v>265</v>
      </c>
    </row>
    <row r="551" spans="1:15" x14ac:dyDescent="0.3">
      <c r="A551" s="115" t="s">
        <v>1457</v>
      </c>
      <c r="B551" s="116" t="s">
        <v>16</v>
      </c>
      <c r="C551" s="117" t="s">
        <v>250</v>
      </c>
      <c r="D551" s="117" t="s">
        <v>39</v>
      </c>
      <c r="E551" s="117" t="s">
        <v>40</v>
      </c>
      <c r="F551" s="117" t="s">
        <v>41</v>
      </c>
      <c r="G551" s="117" t="s">
        <v>53</v>
      </c>
      <c r="H551" s="118">
        <v>45623</v>
      </c>
      <c r="I551" s="135">
        <v>118</v>
      </c>
      <c r="J551" s="140">
        <v>990</v>
      </c>
      <c r="K551" s="148">
        <v>0.14000000000000001</v>
      </c>
      <c r="L551" s="166" t="s">
        <v>36</v>
      </c>
      <c r="M551" s="156">
        <v>116820</v>
      </c>
      <c r="N551" s="156">
        <v>100465.2</v>
      </c>
      <c r="O551" s="169" t="s">
        <v>267</v>
      </c>
    </row>
    <row r="552" spans="1:15" x14ac:dyDescent="0.3">
      <c r="A552" s="111" t="s">
        <v>1458</v>
      </c>
      <c r="B552" s="112" t="s">
        <v>44</v>
      </c>
      <c r="C552" s="113" t="s">
        <v>254</v>
      </c>
      <c r="D552" s="113" t="s">
        <v>39</v>
      </c>
      <c r="E552" s="113" t="s">
        <v>40</v>
      </c>
      <c r="F552" s="113" t="s">
        <v>52</v>
      </c>
      <c r="G552" s="113" t="s">
        <v>42</v>
      </c>
      <c r="H552" s="114">
        <v>45603</v>
      </c>
      <c r="I552" s="134">
        <v>215</v>
      </c>
      <c r="J552" s="139">
        <v>200</v>
      </c>
      <c r="K552" s="147">
        <v>7.0000000000000007E-2</v>
      </c>
      <c r="L552" s="165" t="s">
        <v>30</v>
      </c>
      <c r="M552" s="155">
        <v>43000</v>
      </c>
      <c r="N552" s="155">
        <v>39990</v>
      </c>
      <c r="O552" s="168" t="s">
        <v>265</v>
      </c>
    </row>
    <row r="553" spans="1:15" x14ac:dyDescent="0.3">
      <c r="A553" s="115" t="s">
        <v>1459</v>
      </c>
      <c r="B553" s="116" t="s">
        <v>49</v>
      </c>
      <c r="C553" s="117" t="s">
        <v>251</v>
      </c>
      <c r="D553" s="117" t="s">
        <v>50</v>
      </c>
      <c r="E553" s="117" t="s">
        <v>33</v>
      </c>
      <c r="F553" s="117" t="s">
        <v>46</v>
      </c>
      <c r="G553" s="117" t="s">
        <v>42</v>
      </c>
      <c r="H553" s="118">
        <v>45623</v>
      </c>
      <c r="I553" s="135">
        <v>41</v>
      </c>
      <c r="J553" s="140">
        <v>895</v>
      </c>
      <c r="K553" s="148">
        <v>0.12</v>
      </c>
      <c r="L553" s="166" t="s">
        <v>30</v>
      </c>
      <c r="M553" s="156">
        <v>36695</v>
      </c>
      <c r="N553" s="156">
        <v>32291.599999999999</v>
      </c>
      <c r="O553" s="169" t="s">
        <v>265</v>
      </c>
    </row>
    <row r="554" spans="1:15" x14ac:dyDescent="0.3">
      <c r="A554" s="111" t="s">
        <v>1460</v>
      </c>
      <c r="B554" s="112" t="s">
        <v>38</v>
      </c>
      <c r="C554" s="113" t="s">
        <v>247</v>
      </c>
      <c r="D554" s="113" t="s">
        <v>39</v>
      </c>
      <c r="E554" s="113" t="s">
        <v>45</v>
      </c>
      <c r="F554" s="113" t="s">
        <v>52</v>
      </c>
      <c r="G554" s="113" t="s">
        <v>35</v>
      </c>
      <c r="H554" s="114">
        <v>45606</v>
      </c>
      <c r="I554" s="134">
        <v>87</v>
      </c>
      <c r="J554" s="139">
        <v>1200</v>
      </c>
      <c r="K554" s="147">
        <v>0</v>
      </c>
      <c r="L554" s="165" t="s">
        <v>36</v>
      </c>
      <c r="M554" s="155">
        <v>104400</v>
      </c>
      <c r="N554" s="155">
        <v>104400</v>
      </c>
      <c r="O554" s="168" t="s">
        <v>267</v>
      </c>
    </row>
    <row r="555" spans="1:15" x14ac:dyDescent="0.3">
      <c r="A555" s="115" t="s">
        <v>1461</v>
      </c>
      <c r="B555" s="116" t="s">
        <v>49</v>
      </c>
      <c r="C555" s="117" t="s">
        <v>251</v>
      </c>
      <c r="D555" s="117" t="s">
        <v>50</v>
      </c>
      <c r="E555" s="117" t="s">
        <v>27</v>
      </c>
      <c r="F555" s="117" t="s">
        <v>34</v>
      </c>
      <c r="G555" s="117" t="s">
        <v>29</v>
      </c>
      <c r="H555" s="118">
        <v>45599</v>
      </c>
      <c r="I555" s="135">
        <v>75</v>
      </c>
      <c r="J555" s="140">
        <v>895</v>
      </c>
      <c r="K555" s="148">
        <v>0.15</v>
      </c>
      <c r="L555" s="166" t="s">
        <v>36</v>
      </c>
      <c r="M555" s="156">
        <v>67125</v>
      </c>
      <c r="N555" s="156">
        <v>57056.25</v>
      </c>
      <c r="O555" s="169" t="s">
        <v>265</v>
      </c>
    </row>
    <row r="556" spans="1:15" x14ac:dyDescent="0.3">
      <c r="A556" s="111" t="s">
        <v>1462</v>
      </c>
      <c r="B556" s="112" t="s">
        <v>49</v>
      </c>
      <c r="C556" s="113" t="s">
        <v>251</v>
      </c>
      <c r="D556" s="113" t="s">
        <v>50</v>
      </c>
      <c r="E556" s="113" t="s">
        <v>40</v>
      </c>
      <c r="F556" s="113" t="s">
        <v>41</v>
      </c>
      <c r="G556" s="113" t="s">
        <v>35</v>
      </c>
      <c r="H556" s="114">
        <v>45624</v>
      </c>
      <c r="I556" s="134">
        <v>33</v>
      </c>
      <c r="J556" s="139">
        <v>895</v>
      </c>
      <c r="K556" s="147">
        <v>0.11</v>
      </c>
      <c r="L556" s="165" t="s">
        <v>36</v>
      </c>
      <c r="M556" s="155">
        <v>29535</v>
      </c>
      <c r="N556" s="155">
        <v>26286.15</v>
      </c>
      <c r="O556" s="168" t="s">
        <v>265</v>
      </c>
    </row>
    <row r="557" spans="1:15" x14ac:dyDescent="0.3">
      <c r="A557" s="115" t="s">
        <v>1463</v>
      </c>
      <c r="B557" s="116" t="s">
        <v>63</v>
      </c>
      <c r="C557" s="117" t="s">
        <v>253</v>
      </c>
      <c r="D557" s="117" t="s">
        <v>50</v>
      </c>
      <c r="E557" s="117" t="s">
        <v>27</v>
      </c>
      <c r="F557" s="117" t="s">
        <v>28</v>
      </c>
      <c r="G557" s="117" t="s">
        <v>42</v>
      </c>
      <c r="H557" s="118">
        <v>45597</v>
      </c>
      <c r="I557" s="135">
        <v>112</v>
      </c>
      <c r="J557" s="140">
        <v>750</v>
      </c>
      <c r="K557" s="148">
        <v>0.12</v>
      </c>
      <c r="L557" s="166" t="s">
        <v>30</v>
      </c>
      <c r="M557" s="156">
        <v>84000</v>
      </c>
      <c r="N557" s="156">
        <v>73920</v>
      </c>
      <c r="O557" s="169" t="s">
        <v>265</v>
      </c>
    </row>
    <row r="558" spans="1:15" x14ac:dyDescent="0.3">
      <c r="A558" s="111" t="s">
        <v>1464</v>
      </c>
      <c r="B558" s="112" t="s">
        <v>58</v>
      </c>
      <c r="C558" s="113" t="s">
        <v>255</v>
      </c>
      <c r="D558" s="113" t="s">
        <v>59</v>
      </c>
      <c r="E558" s="113" t="s">
        <v>33</v>
      </c>
      <c r="F558" s="113" t="s">
        <v>34</v>
      </c>
      <c r="G558" s="113" t="s">
        <v>56</v>
      </c>
      <c r="H558" s="114">
        <v>45606</v>
      </c>
      <c r="I558" s="134">
        <v>26</v>
      </c>
      <c r="J558" s="139">
        <v>2800</v>
      </c>
      <c r="K558" s="147">
        <v>0.13</v>
      </c>
      <c r="L558" s="165" t="s">
        <v>30</v>
      </c>
      <c r="M558" s="155">
        <v>72800</v>
      </c>
      <c r="N558" s="155">
        <v>63336</v>
      </c>
      <c r="O558" s="168" t="s">
        <v>265</v>
      </c>
    </row>
    <row r="559" spans="1:15" x14ac:dyDescent="0.3">
      <c r="A559" s="115" t="s">
        <v>1465</v>
      </c>
      <c r="B559" s="116" t="s">
        <v>16</v>
      </c>
      <c r="C559" s="117" t="s">
        <v>250</v>
      </c>
      <c r="D559" s="117" t="s">
        <v>39</v>
      </c>
      <c r="E559" s="117" t="s">
        <v>27</v>
      </c>
      <c r="F559" s="117" t="s">
        <v>34</v>
      </c>
      <c r="G559" s="117" t="s">
        <v>29</v>
      </c>
      <c r="H559" s="118">
        <v>45605</v>
      </c>
      <c r="I559" s="135">
        <v>98</v>
      </c>
      <c r="J559" s="140">
        <v>990</v>
      </c>
      <c r="K559" s="148">
        <v>0.13</v>
      </c>
      <c r="L559" s="166" t="s">
        <v>36</v>
      </c>
      <c r="M559" s="156">
        <v>97020</v>
      </c>
      <c r="N559" s="156">
        <v>84407.4</v>
      </c>
      <c r="O559" s="169" t="s">
        <v>265</v>
      </c>
    </row>
    <row r="560" spans="1:15" x14ac:dyDescent="0.3">
      <c r="A560" s="111" t="s">
        <v>1466</v>
      </c>
      <c r="B560" s="112" t="s">
        <v>61</v>
      </c>
      <c r="C560" s="113" t="s">
        <v>244</v>
      </c>
      <c r="D560" s="113" t="s">
        <v>26</v>
      </c>
      <c r="E560" s="113" t="s">
        <v>40</v>
      </c>
      <c r="F560" s="113" t="s">
        <v>41</v>
      </c>
      <c r="G560" s="113" t="s">
        <v>35</v>
      </c>
      <c r="H560" s="114">
        <v>45622</v>
      </c>
      <c r="I560" s="134">
        <v>166</v>
      </c>
      <c r="J560" s="139">
        <v>280</v>
      </c>
      <c r="K560" s="147">
        <v>0.08</v>
      </c>
      <c r="L560" s="165" t="s">
        <v>30</v>
      </c>
      <c r="M560" s="155">
        <v>46480</v>
      </c>
      <c r="N560" s="155">
        <v>42761.599999999999</v>
      </c>
      <c r="O560" s="168" t="s">
        <v>265</v>
      </c>
    </row>
    <row r="561" spans="1:15" x14ac:dyDescent="0.3">
      <c r="A561" s="115" t="s">
        <v>1467</v>
      </c>
      <c r="B561" s="116" t="s">
        <v>63</v>
      </c>
      <c r="C561" s="117" t="s">
        <v>253</v>
      </c>
      <c r="D561" s="117" t="s">
        <v>50</v>
      </c>
      <c r="E561" s="117" t="s">
        <v>33</v>
      </c>
      <c r="F561" s="117" t="s">
        <v>52</v>
      </c>
      <c r="G561" s="117" t="s">
        <v>47</v>
      </c>
      <c r="H561" s="118">
        <v>45603</v>
      </c>
      <c r="I561" s="135">
        <v>105</v>
      </c>
      <c r="J561" s="140">
        <v>750</v>
      </c>
      <c r="K561" s="148">
        <v>0.1</v>
      </c>
      <c r="L561" s="166" t="s">
        <v>36</v>
      </c>
      <c r="M561" s="156">
        <v>78750</v>
      </c>
      <c r="N561" s="156">
        <v>70875</v>
      </c>
      <c r="O561" s="169" t="s">
        <v>265</v>
      </c>
    </row>
    <row r="562" spans="1:15" x14ac:dyDescent="0.3">
      <c r="A562" s="111" t="s">
        <v>1468</v>
      </c>
      <c r="B562" s="112" t="s">
        <v>16</v>
      </c>
      <c r="C562" s="113" t="s">
        <v>250</v>
      </c>
      <c r="D562" s="113" t="s">
        <v>39</v>
      </c>
      <c r="E562" s="113" t="s">
        <v>45</v>
      </c>
      <c r="F562" s="113" t="s">
        <v>34</v>
      </c>
      <c r="G562" s="113" t="s">
        <v>42</v>
      </c>
      <c r="H562" s="114">
        <v>45617</v>
      </c>
      <c r="I562" s="134">
        <v>20</v>
      </c>
      <c r="J562" s="139">
        <v>990</v>
      </c>
      <c r="K562" s="147">
        <v>0</v>
      </c>
      <c r="L562" s="165" t="s">
        <v>36</v>
      </c>
      <c r="M562" s="155">
        <v>19800</v>
      </c>
      <c r="N562" s="155">
        <v>19800</v>
      </c>
      <c r="O562" s="168" t="s">
        <v>265</v>
      </c>
    </row>
    <row r="563" spans="1:15" x14ac:dyDescent="0.3">
      <c r="A563" s="115" t="s">
        <v>1469</v>
      </c>
      <c r="B563" s="116" t="s">
        <v>16</v>
      </c>
      <c r="C563" s="117" t="s">
        <v>250</v>
      </c>
      <c r="D563" s="117" t="s">
        <v>39</v>
      </c>
      <c r="E563" s="117" t="s">
        <v>45</v>
      </c>
      <c r="F563" s="117" t="s">
        <v>41</v>
      </c>
      <c r="G563" s="117" t="s">
        <v>56</v>
      </c>
      <c r="H563" s="118">
        <v>45624</v>
      </c>
      <c r="I563" s="135">
        <v>30</v>
      </c>
      <c r="J563" s="140">
        <v>990</v>
      </c>
      <c r="K563" s="148">
        <v>0.05</v>
      </c>
      <c r="L563" s="166" t="s">
        <v>30</v>
      </c>
      <c r="M563" s="156">
        <v>29700</v>
      </c>
      <c r="N563" s="156">
        <v>28215</v>
      </c>
      <c r="O563" s="169" t="s">
        <v>265</v>
      </c>
    </row>
    <row r="564" spans="1:15" x14ac:dyDescent="0.3">
      <c r="A564" s="111" t="s">
        <v>1470</v>
      </c>
      <c r="B564" s="112" t="s">
        <v>49</v>
      </c>
      <c r="C564" s="113" t="s">
        <v>251</v>
      </c>
      <c r="D564" s="113" t="s">
        <v>50</v>
      </c>
      <c r="E564" s="113" t="s">
        <v>33</v>
      </c>
      <c r="F564" s="113" t="s">
        <v>41</v>
      </c>
      <c r="G564" s="113" t="s">
        <v>56</v>
      </c>
      <c r="H564" s="114">
        <v>45625</v>
      </c>
      <c r="I564" s="134">
        <v>129</v>
      </c>
      <c r="J564" s="139">
        <v>895</v>
      </c>
      <c r="K564" s="147">
        <v>0.13</v>
      </c>
      <c r="L564" s="165" t="s">
        <v>36</v>
      </c>
      <c r="M564" s="155">
        <v>115455</v>
      </c>
      <c r="N564" s="155">
        <v>100445.85</v>
      </c>
      <c r="O564" s="168" t="s">
        <v>267</v>
      </c>
    </row>
    <row r="565" spans="1:15" x14ac:dyDescent="0.3">
      <c r="A565" s="115" t="s">
        <v>1471</v>
      </c>
      <c r="B565" s="116" t="s">
        <v>16</v>
      </c>
      <c r="C565" s="117" t="s">
        <v>250</v>
      </c>
      <c r="D565" s="117" t="s">
        <v>39</v>
      </c>
      <c r="E565" s="117" t="s">
        <v>40</v>
      </c>
      <c r="F565" s="117" t="s">
        <v>28</v>
      </c>
      <c r="G565" s="117" t="s">
        <v>56</v>
      </c>
      <c r="H565" s="118">
        <v>45605</v>
      </c>
      <c r="I565" s="135">
        <v>37</v>
      </c>
      <c r="J565" s="140">
        <v>990</v>
      </c>
      <c r="K565" s="148">
        <v>0</v>
      </c>
      <c r="L565" s="166" t="s">
        <v>30</v>
      </c>
      <c r="M565" s="156">
        <v>36630</v>
      </c>
      <c r="N565" s="156">
        <v>36630</v>
      </c>
      <c r="O565" s="169" t="s">
        <v>265</v>
      </c>
    </row>
    <row r="566" spans="1:15" x14ac:dyDescent="0.3">
      <c r="A566" s="111" t="s">
        <v>1472</v>
      </c>
      <c r="B566" s="112" t="s">
        <v>49</v>
      </c>
      <c r="C566" s="113" t="s">
        <v>251</v>
      </c>
      <c r="D566" s="113" t="s">
        <v>50</v>
      </c>
      <c r="E566" s="113" t="s">
        <v>51</v>
      </c>
      <c r="F566" s="113" t="s">
        <v>52</v>
      </c>
      <c r="G566" s="113" t="s">
        <v>47</v>
      </c>
      <c r="H566" s="114">
        <v>45609</v>
      </c>
      <c r="I566" s="134">
        <v>111</v>
      </c>
      <c r="J566" s="139">
        <v>895</v>
      </c>
      <c r="K566" s="147">
        <v>0.14000000000000001</v>
      </c>
      <c r="L566" s="165" t="s">
        <v>36</v>
      </c>
      <c r="M566" s="155">
        <v>99345</v>
      </c>
      <c r="N566" s="155">
        <v>85436.7</v>
      </c>
      <c r="O566" s="168" t="s">
        <v>265</v>
      </c>
    </row>
    <row r="567" spans="1:15" x14ac:dyDescent="0.3">
      <c r="A567" s="115" t="s">
        <v>1473</v>
      </c>
      <c r="B567" s="116" t="s">
        <v>49</v>
      </c>
      <c r="C567" s="117" t="s">
        <v>251</v>
      </c>
      <c r="D567" s="117" t="s">
        <v>50</v>
      </c>
      <c r="E567" s="117" t="s">
        <v>51</v>
      </c>
      <c r="F567" s="117" t="s">
        <v>41</v>
      </c>
      <c r="G567" s="117" t="s">
        <v>53</v>
      </c>
      <c r="H567" s="118">
        <v>45611</v>
      </c>
      <c r="I567" s="135">
        <v>65</v>
      </c>
      <c r="J567" s="140">
        <v>895</v>
      </c>
      <c r="K567" s="148">
        <v>0</v>
      </c>
      <c r="L567" s="166" t="s">
        <v>30</v>
      </c>
      <c r="M567" s="156">
        <v>58175</v>
      </c>
      <c r="N567" s="156">
        <v>58175</v>
      </c>
      <c r="O567" s="169" t="s">
        <v>265</v>
      </c>
    </row>
    <row r="568" spans="1:15" x14ac:dyDescent="0.3">
      <c r="A568" s="111" t="s">
        <v>1474</v>
      </c>
      <c r="B568" s="112" t="s">
        <v>32</v>
      </c>
      <c r="C568" s="113" t="s">
        <v>246</v>
      </c>
      <c r="D568" s="113" t="s">
        <v>26</v>
      </c>
      <c r="E568" s="113" t="s">
        <v>33</v>
      </c>
      <c r="F568" s="113" t="s">
        <v>52</v>
      </c>
      <c r="G568" s="113" t="s">
        <v>47</v>
      </c>
      <c r="H568" s="114">
        <v>45607</v>
      </c>
      <c r="I568" s="134">
        <v>157</v>
      </c>
      <c r="J568" s="139">
        <v>420</v>
      </c>
      <c r="K568" s="147">
        <v>0.11</v>
      </c>
      <c r="L568" s="165" t="s">
        <v>36</v>
      </c>
      <c r="M568" s="155">
        <v>65940</v>
      </c>
      <c r="N568" s="155">
        <v>58686.6</v>
      </c>
      <c r="O568" s="168" t="s">
        <v>265</v>
      </c>
    </row>
    <row r="569" spans="1:15" x14ac:dyDescent="0.3">
      <c r="A569" s="115" t="s">
        <v>1475</v>
      </c>
      <c r="B569" s="116" t="s">
        <v>49</v>
      </c>
      <c r="C569" s="117" t="s">
        <v>251</v>
      </c>
      <c r="D569" s="117" t="s">
        <v>50</v>
      </c>
      <c r="E569" s="117" t="s">
        <v>27</v>
      </c>
      <c r="F569" s="117" t="s">
        <v>52</v>
      </c>
      <c r="G569" s="117" t="s">
        <v>56</v>
      </c>
      <c r="H569" s="118">
        <v>45598</v>
      </c>
      <c r="I569" s="135">
        <v>147</v>
      </c>
      <c r="J569" s="140">
        <v>895</v>
      </c>
      <c r="K569" s="148">
        <v>7.0000000000000007E-2</v>
      </c>
      <c r="L569" s="166" t="s">
        <v>36</v>
      </c>
      <c r="M569" s="156">
        <v>131565</v>
      </c>
      <c r="N569" s="156">
        <v>122355.45</v>
      </c>
      <c r="O569" s="169" t="s">
        <v>267</v>
      </c>
    </row>
    <row r="570" spans="1:15" x14ac:dyDescent="0.3">
      <c r="A570" s="111" t="s">
        <v>1476</v>
      </c>
      <c r="B570" s="112" t="s">
        <v>32</v>
      </c>
      <c r="C570" s="113" t="s">
        <v>246</v>
      </c>
      <c r="D570" s="113" t="s">
        <v>26</v>
      </c>
      <c r="E570" s="113" t="s">
        <v>33</v>
      </c>
      <c r="F570" s="113" t="s">
        <v>46</v>
      </c>
      <c r="G570" s="113" t="s">
        <v>29</v>
      </c>
      <c r="H570" s="114">
        <v>45615</v>
      </c>
      <c r="I570" s="134">
        <v>80</v>
      </c>
      <c r="J570" s="139">
        <v>420</v>
      </c>
      <c r="K570" s="147">
        <v>0.14000000000000001</v>
      </c>
      <c r="L570" s="165" t="s">
        <v>36</v>
      </c>
      <c r="M570" s="155">
        <v>33600</v>
      </c>
      <c r="N570" s="155">
        <v>28896</v>
      </c>
      <c r="O570" s="168" t="s">
        <v>265</v>
      </c>
    </row>
    <row r="571" spans="1:15" x14ac:dyDescent="0.3">
      <c r="A571" s="115" t="s">
        <v>1477</v>
      </c>
      <c r="B571" s="116" t="s">
        <v>55</v>
      </c>
      <c r="C571" s="117" t="s">
        <v>249</v>
      </c>
      <c r="D571" s="117" t="s">
        <v>39</v>
      </c>
      <c r="E571" s="117" t="s">
        <v>33</v>
      </c>
      <c r="F571" s="117" t="s">
        <v>52</v>
      </c>
      <c r="G571" s="117" t="s">
        <v>53</v>
      </c>
      <c r="H571" s="118">
        <v>45609</v>
      </c>
      <c r="I571" s="135">
        <v>60</v>
      </c>
      <c r="J571" s="140">
        <v>650</v>
      </c>
      <c r="K571" s="148">
        <v>0.05</v>
      </c>
      <c r="L571" s="166" t="s">
        <v>36</v>
      </c>
      <c r="M571" s="156">
        <v>39000</v>
      </c>
      <c r="N571" s="156">
        <v>37050</v>
      </c>
      <c r="O571" s="169" t="s">
        <v>265</v>
      </c>
    </row>
    <row r="572" spans="1:15" x14ac:dyDescent="0.3">
      <c r="A572" s="111" t="s">
        <v>1478</v>
      </c>
      <c r="B572" s="112" t="s">
        <v>61</v>
      </c>
      <c r="C572" s="113" t="s">
        <v>244</v>
      </c>
      <c r="D572" s="113" t="s">
        <v>26</v>
      </c>
      <c r="E572" s="113" t="s">
        <v>45</v>
      </c>
      <c r="F572" s="113" t="s">
        <v>34</v>
      </c>
      <c r="G572" s="113" t="s">
        <v>29</v>
      </c>
      <c r="H572" s="114">
        <v>45602</v>
      </c>
      <c r="I572" s="134">
        <v>177</v>
      </c>
      <c r="J572" s="139">
        <v>280</v>
      </c>
      <c r="K572" s="147">
        <v>0.13</v>
      </c>
      <c r="L572" s="165" t="s">
        <v>36</v>
      </c>
      <c r="M572" s="155">
        <v>49560</v>
      </c>
      <c r="N572" s="155">
        <v>43117.2</v>
      </c>
      <c r="O572" s="168" t="s">
        <v>265</v>
      </c>
    </row>
    <row r="573" spans="1:15" x14ac:dyDescent="0.3">
      <c r="A573" s="115" t="s">
        <v>1479</v>
      </c>
      <c r="B573" s="116" t="s">
        <v>61</v>
      </c>
      <c r="C573" s="117" t="s">
        <v>244</v>
      </c>
      <c r="D573" s="117" t="s">
        <v>26</v>
      </c>
      <c r="E573" s="117" t="s">
        <v>33</v>
      </c>
      <c r="F573" s="117" t="s">
        <v>41</v>
      </c>
      <c r="G573" s="117" t="s">
        <v>56</v>
      </c>
      <c r="H573" s="118">
        <v>45600</v>
      </c>
      <c r="I573" s="135">
        <v>92</v>
      </c>
      <c r="J573" s="140">
        <v>280</v>
      </c>
      <c r="K573" s="148">
        <v>0</v>
      </c>
      <c r="L573" s="166" t="s">
        <v>30</v>
      </c>
      <c r="M573" s="156">
        <v>25760</v>
      </c>
      <c r="N573" s="156">
        <v>25760</v>
      </c>
      <c r="O573" s="169" t="s">
        <v>265</v>
      </c>
    </row>
    <row r="574" spans="1:15" x14ac:dyDescent="0.3">
      <c r="A574" s="111" t="s">
        <v>1480</v>
      </c>
      <c r="B574" s="112" t="s">
        <v>63</v>
      </c>
      <c r="C574" s="113" t="s">
        <v>253</v>
      </c>
      <c r="D574" s="113" t="s">
        <v>50</v>
      </c>
      <c r="E574" s="113" t="s">
        <v>40</v>
      </c>
      <c r="F574" s="113" t="s">
        <v>41</v>
      </c>
      <c r="G574" s="113" t="s">
        <v>29</v>
      </c>
      <c r="H574" s="114">
        <v>45604</v>
      </c>
      <c r="I574" s="134">
        <v>64</v>
      </c>
      <c r="J574" s="139">
        <v>750</v>
      </c>
      <c r="K574" s="147">
        <v>0</v>
      </c>
      <c r="L574" s="165" t="s">
        <v>36</v>
      </c>
      <c r="M574" s="155">
        <v>48000</v>
      </c>
      <c r="N574" s="155">
        <v>48000</v>
      </c>
      <c r="O574" s="168" t="s">
        <v>265</v>
      </c>
    </row>
    <row r="575" spans="1:15" x14ac:dyDescent="0.3">
      <c r="A575" s="115" t="s">
        <v>1481</v>
      </c>
      <c r="B575" s="116" t="s">
        <v>58</v>
      </c>
      <c r="C575" s="117" t="s">
        <v>255</v>
      </c>
      <c r="D575" s="117" t="s">
        <v>59</v>
      </c>
      <c r="E575" s="117" t="s">
        <v>33</v>
      </c>
      <c r="F575" s="117" t="s">
        <v>46</v>
      </c>
      <c r="G575" s="117" t="s">
        <v>53</v>
      </c>
      <c r="H575" s="118">
        <v>45626</v>
      </c>
      <c r="I575" s="135">
        <v>26</v>
      </c>
      <c r="J575" s="140">
        <v>2800</v>
      </c>
      <c r="K575" s="148">
        <v>0.08</v>
      </c>
      <c r="L575" s="166" t="s">
        <v>36</v>
      </c>
      <c r="M575" s="156">
        <v>72800</v>
      </c>
      <c r="N575" s="156">
        <v>66976</v>
      </c>
      <c r="O575" s="169" t="s">
        <v>265</v>
      </c>
    </row>
    <row r="576" spans="1:15" x14ac:dyDescent="0.3">
      <c r="A576" s="111" t="s">
        <v>1482</v>
      </c>
      <c r="B576" s="112" t="s">
        <v>63</v>
      </c>
      <c r="C576" s="113" t="s">
        <v>253</v>
      </c>
      <c r="D576" s="113" t="s">
        <v>50</v>
      </c>
      <c r="E576" s="113" t="s">
        <v>51</v>
      </c>
      <c r="F576" s="113" t="s">
        <v>46</v>
      </c>
      <c r="G576" s="113" t="s">
        <v>35</v>
      </c>
      <c r="H576" s="114">
        <v>45597</v>
      </c>
      <c r="I576" s="134">
        <v>145</v>
      </c>
      <c r="J576" s="139">
        <v>750</v>
      </c>
      <c r="K576" s="147">
        <v>0.11</v>
      </c>
      <c r="L576" s="165" t="s">
        <v>36</v>
      </c>
      <c r="M576" s="155">
        <v>108750</v>
      </c>
      <c r="N576" s="155">
        <v>96787.5</v>
      </c>
      <c r="O576" s="168" t="s">
        <v>265</v>
      </c>
    </row>
    <row r="577" spans="1:15" x14ac:dyDescent="0.3">
      <c r="A577" s="115" t="s">
        <v>1483</v>
      </c>
      <c r="B577" s="116" t="s">
        <v>32</v>
      </c>
      <c r="C577" s="117" t="s">
        <v>246</v>
      </c>
      <c r="D577" s="117" t="s">
        <v>26</v>
      </c>
      <c r="E577" s="117" t="s">
        <v>51</v>
      </c>
      <c r="F577" s="117" t="s">
        <v>41</v>
      </c>
      <c r="G577" s="117" t="s">
        <v>56</v>
      </c>
      <c r="H577" s="118">
        <v>45598</v>
      </c>
      <c r="I577" s="135">
        <v>129</v>
      </c>
      <c r="J577" s="140">
        <v>420</v>
      </c>
      <c r="K577" s="148">
        <v>0</v>
      </c>
      <c r="L577" s="166" t="s">
        <v>36</v>
      </c>
      <c r="M577" s="156">
        <v>54180</v>
      </c>
      <c r="N577" s="156">
        <v>54180</v>
      </c>
      <c r="O577" s="169" t="s">
        <v>265</v>
      </c>
    </row>
    <row r="578" spans="1:15" x14ac:dyDescent="0.3">
      <c r="A578" s="111" t="s">
        <v>1484</v>
      </c>
      <c r="B578" s="112" t="s">
        <v>58</v>
      </c>
      <c r="C578" s="113" t="s">
        <v>255</v>
      </c>
      <c r="D578" s="113" t="s">
        <v>59</v>
      </c>
      <c r="E578" s="113" t="s">
        <v>51</v>
      </c>
      <c r="F578" s="113" t="s">
        <v>52</v>
      </c>
      <c r="G578" s="113" t="s">
        <v>42</v>
      </c>
      <c r="H578" s="114">
        <v>45608</v>
      </c>
      <c r="I578" s="134">
        <v>65</v>
      </c>
      <c r="J578" s="139">
        <v>2800</v>
      </c>
      <c r="K578" s="147">
        <v>0</v>
      </c>
      <c r="L578" s="165" t="s">
        <v>36</v>
      </c>
      <c r="M578" s="155">
        <v>182000</v>
      </c>
      <c r="N578" s="155">
        <v>182000</v>
      </c>
      <c r="O578" s="168" t="s">
        <v>267</v>
      </c>
    </row>
    <row r="579" spans="1:15" x14ac:dyDescent="0.3">
      <c r="A579" s="115" t="s">
        <v>1485</v>
      </c>
      <c r="B579" s="116" t="s">
        <v>25</v>
      </c>
      <c r="C579" s="117" t="s">
        <v>257</v>
      </c>
      <c r="D579" s="117" t="s">
        <v>26</v>
      </c>
      <c r="E579" s="117" t="s">
        <v>33</v>
      </c>
      <c r="F579" s="117" t="s">
        <v>41</v>
      </c>
      <c r="G579" s="117" t="s">
        <v>42</v>
      </c>
      <c r="H579" s="118">
        <v>45614</v>
      </c>
      <c r="I579" s="135">
        <v>31</v>
      </c>
      <c r="J579" s="140">
        <v>350</v>
      </c>
      <c r="K579" s="148">
        <v>7.0000000000000007E-2</v>
      </c>
      <c r="L579" s="166" t="s">
        <v>36</v>
      </c>
      <c r="M579" s="156">
        <v>10850</v>
      </c>
      <c r="N579" s="156">
        <v>10090.5</v>
      </c>
      <c r="O579" s="169" t="s">
        <v>265</v>
      </c>
    </row>
    <row r="580" spans="1:15" x14ac:dyDescent="0.3">
      <c r="A580" s="111" t="s">
        <v>1486</v>
      </c>
      <c r="B580" s="112" t="s">
        <v>49</v>
      </c>
      <c r="C580" s="113" t="s">
        <v>251</v>
      </c>
      <c r="D580" s="113" t="s">
        <v>50</v>
      </c>
      <c r="E580" s="113" t="s">
        <v>51</v>
      </c>
      <c r="F580" s="113" t="s">
        <v>28</v>
      </c>
      <c r="G580" s="113" t="s">
        <v>35</v>
      </c>
      <c r="H580" s="114">
        <v>45597</v>
      </c>
      <c r="I580" s="134">
        <v>132</v>
      </c>
      <c r="J580" s="139">
        <v>895</v>
      </c>
      <c r="K580" s="147">
        <v>7.0000000000000007E-2</v>
      </c>
      <c r="L580" s="165" t="s">
        <v>36</v>
      </c>
      <c r="M580" s="155">
        <v>118140</v>
      </c>
      <c r="N580" s="155">
        <v>109870.2</v>
      </c>
      <c r="O580" s="168" t="s">
        <v>267</v>
      </c>
    </row>
    <row r="581" spans="1:15" x14ac:dyDescent="0.3">
      <c r="A581" s="115" t="s">
        <v>1487</v>
      </c>
      <c r="B581" s="116" t="s">
        <v>49</v>
      </c>
      <c r="C581" s="117" t="s">
        <v>251</v>
      </c>
      <c r="D581" s="117" t="s">
        <v>50</v>
      </c>
      <c r="E581" s="117" t="s">
        <v>51</v>
      </c>
      <c r="F581" s="117" t="s">
        <v>28</v>
      </c>
      <c r="G581" s="117" t="s">
        <v>56</v>
      </c>
      <c r="H581" s="118">
        <v>45637</v>
      </c>
      <c r="I581" s="135">
        <v>20</v>
      </c>
      <c r="J581" s="140">
        <v>895</v>
      </c>
      <c r="K581" s="148">
        <v>0.12</v>
      </c>
      <c r="L581" s="166" t="s">
        <v>30</v>
      </c>
      <c r="M581" s="156">
        <v>17900</v>
      </c>
      <c r="N581" s="156">
        <v>15752</v>
      </c>
      <c r="O581" s="169" t="s">
        <v>265</v>
      </c>
    </row>
    <row r="582" spans="1:15" x14ac:dyDescent="0.3">
      <c r="A582" s="111" t="s">
        <v>1488</v>
      </c>
      <c r="B582" s="112" t="s">
        <v>38</v>
      </c>
      <c r="C582" s="113" t="s">
        <v>247</v>
      </c>
      <c r="D582" s="113" t="s">
        <v>39</v>
      </c>
      <c r="E582" s="113" t="s">
        <v>51</v>
      </c>
      <c r="F582" s="113" t="s">
        <v>52</v>
      </c>
      <c r="G582" s="113" t="s">
        <v>56</v>
      </c>
      <c r="H582" s="114">
        <v>45652</v>
      </c>
      <c r="I582" s="134">
        <v>6</v>
      </c>
      <c r="J582" s="139">
        <v>1200</v>
      </c>
      <c r="K582" s="147">
        <v>0</v>
      </c>
      <c r="L582" s="165" t="s">
        <v>30</v>
      </c>
      <c r="M582" s="155">
        <v>7200</v>
      </c>
      <c r="N582" s="155">
        <v>7200</v>
      </c>
      <c r="O582" s="168" t="s">
        <v>265</v>
      </c>
    </row>
    <row r="583" spans="1:15" x14ac:dyDescent="0.3">
      <c r="A583" s="115" t="s">
        <v>1489</v>
      </c>
      <c r="B583" s="116" t="s">
        <v>55</v>
      </c>
      <c r="C583" s="117" t="s">
        <v>249</v>
      </c>
      <c r="D583" s="117" t="s">
        <v>39</v>
      </c>
      <c r="E583" s="117" t="s">
        <v>33</v>
      </c>
      <c r="F583" s="117" t="s">
        <v>41</v>
      </c>
      <c r="G583" s="117" t="s">
        <v>56</v>
      </c>
      <c r="H583" s="118">
        <v>45640</v>
      </c>
      <c r="I583" s="135">
        <v>29</v>
      </c>
      <c r="J583" s="140">
        <v>650</v>
      </c>
      <c r="K583" s="148">
        <v>0.08</v>
      </c>
      <c r="L583" s="166" t="s">
        <v>36</v>
      </c>
      <c r="M583" s="156">
        <v>18850</v>
      </c>
      <c r="N583" s="156">
        <v>17342</v>
      </c>
      <c r="O583" s="169" t="s">
        <v>265</v>
      </c>
    </row>
    <row r="584" spans="1:15" x14ac:dyDescent="0.3">
      <c r="A584" s="111" t="s">
        <v>1490</v>
      </c>
      <c r="B584" s="112" t="s">
        <v>16</v>
      </c>
      <c r="C584" s="113" t="s">
        <v>250</v>
      </c>
      <c r="D584" s="113" t="s">
        <v>39</v>
      </c>
      <c r="E584" s="113" t="s">
        <v>27</v>
      </c>
      <c r="F584" s="113" t="s">
        <v>46</v>
      </c>
      <c r="G584" s="113" t="s">
        <v>35</v>
      </c>
      <c r="H584" s="114">
        <v>45641</v>
      </c>
      <c r="I584" s="134">
        <v>28</v>
      </c>
      <c r="J584" s="139">
        <v>990</v>
      </c>
      <c r="K584" s="147">
        <v>0.03</v>
      </c>
      <c r="L584" s="165" t="s">
        <v>36</v>
      </c>
      <c r="M584" s="155">
        <v>27720</v>
      </c>
      <c r="N584" s="155">
        <v>26888.400000000001</v>
      </c>
      <c r="O584" s="168" t="s">
        <v>265</v>
      </c>
    </row>
    <row r="585" spans="1:15" x14ac:dyDescent="0.3">
      <c r="A585" s="115" t="s">
        <v>1491</v>
      </c>
      <c r="B585" s="116" t="s">
        <v>25</v>
      </c>
      <c r="C585" s="117" t="s">
        <v>257</v>
      </c>
      <c r="D585" s="117" t="s">
        <v>26</v>
      </c>
      <c r="E585" s="117" t="s">
        <v>40</v>
      </c>
      <c r="F585" s="117" t="s">
        <v>28</v>
      </c>
      <c r="G585" s="117" t="s">
        <v>53</v>
      </c>
      <c r="H585" s="118">
        <v>45639</v>
      </c>
      <c r="I585" s="135">
        <v>47</v>
      </c>
      <c r="J585" s="140">
        <v>350</v>
      </c>
      <c r="K585" s="148">
        <v>0</v>
      </c>
      <c r="L585" s="166" t="s">
        <v>36</v>
      </c>
      <c r="M585" s="156">
        <v>16450</v>
      </c>
      <c r="N585" s="156">
        <v>16450</v>
      </c>
      <c r="O585" s="169" t="s">
        <v>265</v>
      </c>
    </row>
    <row r="586" spans="1:15" x14ac:dyDescent="0.3">
      <c r="A586" s="111" t="s">
        <v>1492</v>
      </c>
      <c r="B586" s="112" t="s">
        <v>25</v>
      </c>
      <c r="C586" s="113" t="s">
        <v>257</v>
      </c>
      <c r="D586" s="113" t="s">
        <v>26</v>
      </c>
      <c r="E586" s="113" t="s">
        <v>51</v>
      </c>
      <c r="F586" s="113" t="s">
        <v>46</v>
      </c>
      <c r="G586" s="113" t="s">
        <v>35</v>
      </c>
      <c r="H586" s="114">
        <v>45638</v>
      </c>
      <c r="I586" s="134">
        <v>13</v>
      </c>
      <c r="J586" s="139">
        <v>350</v>
      </c>
      <c r="K586" s="147">
        <v>7.0000000000000007E-2</v>
      </c>
      <c r="L586" s="165" t="s">
        <v>36</v>
      </c>
      <c r="M586" s="155">
        <v>4550</v>
      </c>
      <c r="N586" s="155">
        <v>4231.5</v>
      </c>
      <c r="O586" s="168" t="s">
        <v>265</v>
      </c>
    </row>
    <row r="587" spans="1:15" x14ac:dyDescent="0.3">
      <c r="A587" s="115" t="s">
        <v>1493</v>
      </c>
      <c r="B587" s="116" t="s">
        <v>49</v>
      </c>
      <c r="C587" s="117" t="s">
        <v>251</v>
      </c>
      <c r="D587" s="117" t="s">
        <v>50</v>
      </c>
      <c r="E587" s="117" t="s">
        <v>33</v>
      </c>
      <c r="F587" s="117" t="s">
        <v>34</v>
      </c>
      <c r="G587" s="117" t="s">
        <v>35</v>
      </c>
      <c r="H587" s="118">
        <v>45647</v>
      </c>
      <c r="I587" s="135">
        <v>37</v>
      </c>
      <c r="J587" s="140">
        <v>895</v>
      </c>
      <c r="K587" s="148">
        <v>7.0000000000000007E-2</v>
      </c>
      <c r="L587" s="166" t="s">
        <v>36</v>
      </c>
      <c r="M587" s="156">
        <v>33115</v>
      </c>
      <c r="N587" s="156">
        <v>30796.95</v>
      </c>
      <c r="O587" s="169" t="s">
        <v>265</v>
      </c>
    </row>
    <row r="588" spans="1:15" x14ac:dyDescent="0.3">
      <c r="A588" s="111" t="s">
        <v>1494</v>
      </c>
      <c r="B588" s="112" t="s">
        <v>58</v>
      </c>
      <c r="C588" s="113" t="s">
        <v>255</v>
      </c>
      <c r="D588" s="113" t="s">
        <v>59</v>
      </c>
      <c r="E588" s="113" t="s">
        <v>33</v>
      </c>
      <c r="F588" s="113" t="s">
        <v>52</v>
      </c>
      <c r="G588" s="113" t="s">
        <v>53</v>
      </c>
      <c r="H588" s="114">
        <v>45633</v>
      </c>
      <c r="I588" s="134">
        <v>30</v>
      </c>
      <c r="J588" s="139">
        <v>2800</v>
      </c>
      <c r="K588" s="147">
        <v>0</v>
      </c>
      <c r="L588" s="165" t="s">
        <v>36</v>
      </c>
      <c r="M588" s="155">
        <v>84000</v>
      </c>
      <c r="N588" s="155">
        <v>84000</v>
      </c>
      <c r="O588" s="168" t="s">
        <v>265</v>
      </c>
    </row>
    <row r="589" spans="1:15" x14ac:dyDescent="0.3">
      <c r="A589" s="115" t="s">
        <v>1495</v>
      </c>
      <c r="B589" s="116" t="s">
        <v>16</v>
      </c>
      <c r="C589" s="117" t="s">
        <v>250</v>
      </c>
      <c r="D589" s="117" t="s">
        <v>39</v>
      </c>
      <c r="E589" s="117" t="s">
        <v>45</v>
      </c>
      <c r="F589" s="117" t="s">
        <v>46</v>
      </c>
      <c r="G589" s="117" t="s">
        <v>56</v>
      </c>
      <c r="H589" s="118">
        <v>45657</v>
      </c>
      <c r="I589" s="135">
        <v>40</v>
      </c>
      <c r="J589" s="140">
        <v>990</v>
      </c>
      <c r="K589" s="148">
        <v>0.14000000000000001</v>
      </c>
      <c r="L589" s="166" t="s">
        <v>36</v>
      </c>
      <c r="M589" s="156">
        <v>39600</v>
      </c>
      <c r="N589" s="156">
        <v>34056</v>
      </c>
      <c r="O589" s="169" t="s">
        <v>265</v>
      </c>
    </row>
    <row r="590" spans="1:15" x14ac:dyDescent="0.3">
      <c r="A590" s="111" t="s">
        <v>1496</v>
      </c>
      <c r="B590" s="112" t="s">
        <v>61</v>
      </c>
      <c r="C590" s="113" t="s">
        <v>244</v>
      </c>
      <c r="D590" s="113" t="s">
        <v>26</v>
      </c>
      <c r="E590" s="113" t="s">
        <v>33</v>
      </c>
      <c r="F590" s="113" t="s">
        <v>46</v>
      </c>
      <c r="G590" s="113" t="s">
        <v>56</v>
      </c>
      <c r="H590" s="114">
        <v>45627</v>
      </c>
      <c r="I590" s="134">
        <v>64</v>
      </c>
      <c r="J590" s="139">
        <v>280</v>
      </c>
      <c r="K590" s="147">
        <v>0.12</v>
      </c>
      <c r="L590" s="165" t="s">
        <v>30</v>
      </c>
      <c r="M590" s="155">
        <v>17920</v>
      </c>
      <c r="N590" s="155">
        <v>15769.6</v>
      </c>
      <c r="O590" s="168" t="s">
        <v>265</v>
      </c>
    </row>
    <row r="591" spans="1:15" x14ac:dyDescent="0.3">
      <c r="A591" s="115" t="s">
        <v>1497</v>
      </c>
      <c r="B591" s="116" t="s">
        <v>16</v>
      </c>
      <c r="C591" s="117" t="s">
        <v>250</v>
      </c>
      <c r="D591" s="117" t="s">
        <v>39</v>
      </c>
      <c r="E591" s="117" t="s">
        <v>33</v>
      </c>
      <c r="F591" s="117" t="s">
        <v>46</v>
      </c>
      <c r="G591" s="117" t="s">
        <v>53</v>
      </c>
      <c r="H591" s="118">
        <v>45647</v>
      </c>
      <c r="I591" s="135">
        <v>20</v>
      </c>
      <c r="J591" s="140">
        <v>990</v>
      </c>
      <c r="K591" s="148">
        <v>0.14000000000000001</v>
      </c>
      <c r="L591" s="166" t="s">
        <v>30</v>
      </c>
      <c r="M591" s="156">
        <v>19800</v>
      </c>
      <c r="N591" s="156">
        <v>17028</v>
      </c>
      <c r="O591" s="169" t="s">
        <v>265</v>
      </c>
    </row>
    <row r="592" spans="1:15" x14ac:dyDescent="0.3">
      <c r="A592" s="111" t="s">
        <v>1498</v>
      </c>
      <c r="B592" s="112" t="s">
        <v>38</v>
      </c>
      <c r="C592" s="113" t="s">
        <v>247</v>
      </c>
      <c r="D592" s="113" t="s">
        <v>39</v>
      </c>
      <c r="E592" s="113" t="s">
        <v>45</v>
      </c>
      <c r="F592" s="113" t="s">
        <v>34</v>
      </c>
      <c r="G592" s="113" t="s">
        <v>42</v>
      </c>
      <c r="H592" s="114">
        <v>45646</v>
      </c>
      <c r="I592" s="134">
        <v>21</v>
      </c>
      <c r="J592" s="139">
        <v>1200</v>
      </c>
      <c r="K592" s="147">
        <v>0.08</v>
      </c>
      <c r="L592" s="165" t="s">
        <v>36</v>
      </c>
      <c r="M592" s="155">
        <v>25200</v>
      </c>
      <c r="N592" s="155">
        <v>23184</v>
      </c>
      <c r="O592" s="168" t="s">
        <v>265</v>
      </c>
    </row>
    <row r="593" spans="1:15" x14ac:dyDescent="0.3">
      <c r="A593" s="115" t="s">
        <v>1499</v>
      </c>
      <c r="B593" s="116" t="s">
        <v>58</v>
      </c>
      <c r="C593" s="117" t="s">
        <v>255</v>
      </c>
      <c r="D593" s="117" t="s">
        <v>59</v>
      </c>
      <c r="E593" s="117" t="s">
        <v>40</v>
      </c>
      <c r="F593" s="117" t="s">
        <v>41</v>
      </c>
      <c r="G593" s="117" t="s">
        <v>35</v>
      </c>
      <c r="H593" s="118">
        <v>45645</v>
      </c>
      <c r="I593" s="135">
        <v>30</v>
      </c>
      <c r="J593" s="140">
        <v>2800</v>
      </c>
      <c r="K593" s="148">
        <v>0.12</v>
      </c>
      <c r="L593" s="166" t="s">
        <v>30</v>
      </c>
      <c r="M593" s="156">
        <v>84000</v>
      </c>
      <c r="N593" s="156">
        <v>73920</v>
      </c>
      <c r="O593" s="169" t="s">
        <v>265</v>
      </c>
    </row>
    <row r="594" spans="1:15" x14ac:dyDescent="0.3">
      <c r="A594" s="111" t="s">
        <v>1500</v>
      </c>
      <c r="B594" s="112" t="s">
        <v>63</v>
      </c>
      <c r="C594" s="113" t="s">
        <v>253</v>
      </c>
      <c r="D594" s="113" t="s">
        <v>50</v>
      </c>
      <c r="E594" s="113" t="s">
        <v>51</v>
      </c>
      <c r="F594" s="113" t="s">
        <v>52</v>
      </c>
      <c r="G594" s="113" t="s">
        <v>47</v>
      </c>
      <c r="H594" s="114">
        <v>45652</v>
      </c>
      <c r="I594" s="134">
        <v>13</v>
      </c>
      <c r="J594" s="139">
        <v>750</v>
      </c>
      <c r="K594" s="147">
        <v>0.11</v>
      </c>
      <c r="L594" s="165" t="s">
        <v>30</v>
      </c>
      <c r="M594" s="155">
        <v>9750</v>
      </c>
      <c r="N594" s="155">
        <v>8677.5</v>
      </c>
      <c r="O594" s="168" t="s">
        <v>265</v>
      </c>
    </row>
    <row r="595" spans="1:15" x14ac:dyDescent="0.3">
      <c r="A595" s="115" t="s">
        <v>1501</v>
      </c>
      <c r="B595" s="116" t="s">
        <v>61</v>
      </c>
      <c r="C595" s="117" t="s">
        <v>244</v>
      </c>
      <c r="D595" s="117" t="s">
        <v>26</v>
      </c>
      <c r="E595" s="117" t="s">
        <v>51</v>
      </c>
      <c r="F595" s="117" t="s">
        <v>46</v>
      </c>
      <c r="G595" s="117" t="s">
        <v>56</v>
      </c>
      <c r="H595" s="118">
        <v>45643</v>
      </c>
      <c r="I595" s="135">
        <v>41</v>
      </c>
      <c r="J595" s="140">
        <v>280</v>
      </c>
      <c r="K595" s="148">
        <v>0.1</v>
      </c>
      <c r="L595" s="166" t="s">
        <v>36</v>
      </c>
      <c r="M595" s="156">
        <v>11480</v>
      </c>
      <c r="N595" s="156">
        <v>10332</v>
      </c>
      <c r="O595" s="169" t="s">
        <v>265</v>
      </c>
    </row>
    <row r="596" spans="1:15" x14ac:dyDescent="0.3">
      <c r="A596" s="111" t="s">
        <v>1502</v>
      </c>
      <c r="B596" s="112" t="s">
        <v>16</v>
      </c>
      <c r="C596" s="113" t="s">
        <v>250</v>
      </c>
      <c r="D596" s="113" t="s">
        <v>39</v>
      </c>
      <c r="E596" s="113" t="s">
        <v>45</v>
      </c>
      <c r="F596" s="113" t="s">
        <v>28</v>
      </c>
      <c r="G596" s="113" t="s">
        <v>35</v>
      </c>
      <c r="H596" s="114">
        <v>45642</v>
      </c>
      <c r="I596" s="134">
        <v>25</v>
      </c>
      <c r="J596" s="139">
        <v>990</v>
      </c>
      <c r="K596" s="147">
        <v>0.11</v>
      </c>
      <c r="L596" s="165" t="s">
        <v>36</v>
      </c>
      <c r="M596" s="155">
        <v>24750</v>
      </c>
      <c r="N596" s="155">
        <v>22027.5</v>
      </c>
      <c r="O596" s="168" t="s">
        <v>265</v>
      </c>
    </row>
    <row r="597" spans="1:15" x14ac:dyDescent="0.3">
      <c r="A597" s="115" t="s">
        <v>1503</v>
      </c>
      <c r="B597" s="116" t="s">
        <v>38</v>
      </c>
      <c r="C597" s="117" t="s">
        <v>247</v>
      </c>
      <c r="D597" s="117" t="s">
        <v>39</v>
      </c>
      <c r="E597" s="117" t="s">
        <v>51</v>
      </c>
      <c r="F597" s="117" t="s">
        <v>34</v>
      </c>
      <c r="G597" s="117" t="s">
        <v>47</v>
      </c>
      <c r="H597" s="118">
        <v>45642</v>
      </c>
      <c r="I597" s="135">
        <v>43</v>
      </c>
      <c r="J597" s="140">
        <v>1200</v>
      </c>
      <c r="K597" s="148">
        <v>0</v>
      </c>
      <c r="L597" s="166" t="s">
        <v>30</v>
      </c>
      <c r="M597" s="156">
        <v>51600</v>
      </c>
      <c r="N597" s="156">
        <v>51600</v>
      </c>
      <c r="O597" s="169" t="s">
        <v>265</v>
      </c>
    </row>
    <row r="598" spans="1:15" x14ac:dyDescent="0.3">
      <c r="A598" s="111" t="s">
        <v>1504</v>
      </c>
      <c r="B598" s="112" t="s">
        <v>63</v>
      </c>
      <c r="C598" s="113" t="s">
        <v>253</v>
      </c>
      <c r="D598" s="113" t="s">
        <v>50</v>
      </c>
      <c r="E598" s="113" t="s">
        <v>51</v>
      </c>
      <c r="F598" s="113" t="s">
        <v>41</v>
      </c>
      <c r="G598" s="113" t="s">
        <v>53</v>
      </c>
      <c r="H598" s="114">
        <v>45636</v>
      </c>
      <c r="I598" s="134">
        <v>28</v>
      </c>
      <c r="J598" s="139">
        <v>750</v>
      </c>
      <c r="K598" s="147">
        <v>0.12</v>
      </c>
      <c r="L598" s="165" t="s">
        <v>30</v>
      </c>
      <c r="M598" s="155">
        <v>21000</v>
      </c>
      <c r="N598" s="155">
        <v>18480</v>
      </c>
      <c r="O598" s="168" t="s">
        <v>265</v>
      </c>
    </row>
    <row r="599" spans="1:15" x14ac:dyDescent="0.3">
      <c r="A599" s="115" t="s">
        <v>1505</v>
      </c>
      <c r="B599" s="116" t="s">
        <v>16</v>
      </c>
      <c r="C599" s="117" t="s">
        <v>250</v>
      </c>
      <c r="D599" s="117" t="s">
        <v>39</v>
      </c>
      <c r="E599" s="117" t="s">
        <v>40</v>
      </c>
      <c r="F599" s="117" t="s">
        <v>34</v>
      </c>
      <c r="G599" s="117" t="s">
        <v>42</v>
      </c>
      <c r="H599" s="118">
        <v>45634</v>
      </c>
      <c r="I599" s="135">
        <v>14</v>
      </c>
      <c r="J599" s="140">
        <v>990</v>
      </c>
      <c r="K599" s="148">
        <v>0.12</v>
      </c>
      <c r="L599" s="166" t="s">
        <v>30</v>
      </c>
      <c r="M599" s="156">
        <v>13860</v>
      </c>
      <c r="N599" s="156">
        <v>12196.8</v>
      </c>
      <c r="O599" s="169" t="s">
        <v>265</v>
      </c>
    </row>
    <row r="600" spans="1:15" x14ac:dyDescent="0.3">
      <c r="A600" s="111" t="s">
        <v>1506</v>
      </c>
      <c r="B600" s="112" t="s">
        <v>61</v>
      </c>
      <c r="C600" s="113" t="s">
        <v>244</v>
      </c>
      <c r="D600" s="113" t="s">
        <v>26</v>
      </c>
      <c r="E600" s="113" t="s">
        <v>33</v>
      </c>
      <c r="F600" s="113" t="s">
        <v>52</v>
      </c>
      <c r="G600" s="113" t="s">
        <v>53</v>
      </c>
      <c r="H600" s="114">
        <v>45642</v>
      </c>
      <c r="I600" s="134">
        <v>42</v>
      </c>
      <c r="J600" s="139">
        <v>280</v>
      </c>
      <c r="K600" s="147">
        <v>0.08</v>
      </c>
      <c r="L600" s="165" t="s">
        <v>36</v>
      </c>
      <c r="M600" s="155">
        <v>11760</v>
      </c>
      <c r="N600" s="155">
        <v>10819.2</v>
      </c>
      <c r="O600" s="168" t="s">
        <v>265</v>
      </c>
    </row>
    <row r="601" spans="1:15" x14ac:dyDescent="0.3">
      <c r="A601" s="115" t="s">
        <v>1507</v>
      </c>
      <c r="B601" s="116" t="s">
        <v>16</v>
      </c>
      <c r="C601" s="117" t="s">
        <v>250</v>
      </c>
      <c r="D601" s="117" t="s">
        <v>39</v>
      </c>
      <c r="E601" s="117" t="s">
        <v>51</v>
      </c>
      <c r="F601" s="117" t="s">
        <v>34</v>
      </c>
      <c r="G601" s="117" t="s">
        <v>53</v>
      </c>
      <c r="H601" s="118">
        <v>45642</v>
      </c>
      <c r="I601" s="135">
        <v>32</v>
      </c>
      <c r="J601" s="140">
        <v>990</v>
      </c>
      <c r="K601" s="148">
        <v>0</v>
      </c>
      <c r="L601" s="166" t="s">
        <v>30</v>
      </c>
      <c r="M601" s="156">
        <v>31680</v>
      </c>
      <c r="N601" s="156">
        <v>31680</v>
      </c>
      <c r="O601" s="169" t="s">
        <v>265</v>
      </c>
    </row>
    <row r="602" spans="1:15" x14ac:dyDescent="0.3">
      <c r="A602" s="111" t="s">
        <v>1508</v>
      </c>
      <c r="B602" s="112" t="s">
        <v>25</v>
      </c>
      <c r="C602" s="113" t="s">
        <v>257</v>
      </c>
      <c r="D602" s="113" t="s">
        <v>26</v>
      </c>
      <c r="E602" s="113" t="s">
        <v>27</v>
      </c>
      <c r="F602" s="113" t="s">
        <v>34</v>
      </c>
      <c r="G602" s="113" t="s">
        <v>47</v>
      </c>
      <c r="H602" s="114">
        <v>45627</v>
      </c>
      <c r="I602" s="134">
        <v>63</v>
      </c>
      <c r="J602" s="139">
        <v>350</v>
      </c>
      <c r="K602" s="147">
        <v>0.15</v>
      </c>
      <c r="L602" s="165" t="s">
        <v>30</v>
      </c>
      <c r="M602" s="155">
        <v>22050</v>
      </c>
      <c r="N602" s="155">
        <v>18742.5</v>
      </c>
      <c r="O602" s="168" t="s">
        <v>265</v>
      </c>
    </row>
    <row r="603" spans="1:15" x14ac:dyDescent="0.3">
      <c r="A603" s="115" t="s">
        <v>1509</v>
      </c>
      <c r="B603" s="116" t="s">
        <v>49</v>
      </c>
      <c r="C603" s="117" t="s">
        <v>251</v>
      </c>
      <c r="D603" s="117" t="s">
        <v>50</v>
      </c>
      <c r="E603" s="117" t="s">
        <v>27</v>
      </c>
      <c r="F603" s="117" t="s">
        <v>34</v>
      </c>
      <c r="G603" s="117" t="s">
        <v>35</v>
      </c>
      <c r="H603" s="118">
        <v>45645</v>
      </c>
      <c r="I603" s="135">
        <v>48</v>
      </c>
      <c r="J603" s="140">
        <v>895</v>
      </c>
      <c r="K603" s="148">
        <v>0.1</v>
      </c>
      <c r="L603" s="166" t="s">
        <v>36</v>
      </c>
      <c r="M603" s="156">
        <v>42960</v>
      </c>
      <c r="N603" s="156">
        <v>38664</v>
      </c>
      <c r="O603" s="169" t="s">
        <v>265</v>
      </c>
    </row>
    <row r="604" spans="1:15" x14ac:dyDescent="0.3">
      <c r="A604" s="111" t="s">
        <v>1510</v>
      </c>
      <c r="B604" s="112" t="s">
        <v>49</v>
      </c>
      <c r="C604" s="113" t="s">
        <v>251</v>
      </c>
      <c r="D604" s="113" t="s">
        <v>50</v>
      </c>
      <c r="E604" s="113" t="s">
        <v>33</v>
      </c>
      <c r="F604" s="113" t="s">
        <v>28</v>
      </c>
      <c r="G604" s="113" t="s">
        <v>29</v>
      </c>
      <c r="H604" s="114">
        <v>45639</v>
      </c>
      <c r="I604" s="134">
        <v>14</v>
      </c>
      <c r="J604" s="139">
        <v>895</v>
      </c>
      <c r="K604" s="147">
        <v>0</v>
      </c>
      <c r="L604" s="165" t="s">
        <v>36</v>
      </c>
      <c r="M604" s="155">
        <v>12530</v>
      </c>
      <c r="N604" s="155">
        <v>12530</v>
      </c>
      <c r="O604" s="168" t="s">
        <v>265</v>
      </c>
    </row>
    <row r="605" spans="1:15" x14ac:dyDescent="0.3">
      <c r="A605" s="115" t="s">
        <v>1511</v>
      </c>
      <c r="B605" s="116" t="s">
        <v>38</v>
      </c>
      <c r="C605" s="117" t="s">
        <v>247</v>
      </c>
      <c r="D605" s="117" t="s">
        <v>39</v>
      </c>
      <c r="E605" s="117" t="s">
        <v>27</v>
      </c>
      <c r="F605" s="117" t="s">
        <v>52</v>
      </c>
      <c r="G605" s="117" t="s">
        <v>56</v>
      </c>
      <c r="H605" s="118">
        <v>45655</v>
      </c>
      <c r="I605" s="135">
        <v>19</v>
      </c>
      <c r="J605" s="140">
        <v>1200</v>
      </c>
      <c r="K605" s="148">
        <v>0.12</v>
      </c>
      <c r="L605" s="166" t="s">
        <v>36</v>
      </c>
      <c r="M605" s="156">
        <v>22800</v>
      </c>
      <c r="N605" s="156">
        <v>20064</v>
      </c>
      <c r="O605" s="169" t="s">
        <v>265</v>
      </c>
    </row>
    <row r="606" spans="1:15" x14ac:dyDescent="0.3">
      <c r="A606" s="111" t="s">
        <v>1512</v>
      </c>
      <c r="B606" s="112" t="s">
        <v>38</v>
      </c>
      <c r="C606" s="113" t="s">
        <v>247</v>
      </c>
      <c r="D606" s="113" t="s">
        <v>39</v>
      </c>
      <c r="E606" s="113" t="s">
        <v>51</v>
      </c>
      <c r="F606" s="113" t="s">
        <v>46</v>
      </c>
      <c r="G606" s="113" t="s">
        <v>47</v>
      </c>
      <c r="H606" s="114">
        <v>45650</v>
      </c>
      <c r="I606" s="134">
        <v>30</v>
      </c>
      <c r="J606" s="139">
        <v>1200</v>
      </c>
      <c r="K606" s="147">
        <v>7.0000000000000007E-2</v>
      </c>
      <c r="L606" s="165" t="s">
        <v>36</v>
      </c>
      <c r="M606" s="155">
        <v>36000</v>
      </c>
      <c r="N606" s="155">
        <v>33480</v>
      </c>
      <c r="O606" s="168" t="s">
        <v>265</v>
      </c>
    </row>
    <row r="607" spans="1:15" x14ac:dyDescent="0.3">
      <c r="A607" s="115" t="s">
        <v>1513</v>
      </c>
      <c r="B607" s="116" t="s">
        <v>32</v>
      </c>
      <c r="C607" s="117" t="s">
        <v>246</v>
      </c>
      <c r="D607" s="117" t="s">
        <v>26</v>
      </c>
      <c r="E607" s="117" t="s">
        <v>27</v>
      </c>
      <c r="F607" s="117" t="s">
        <v>52</v>
      </c>
      <c r="G607" s="117" t="s">
        <v>47</v>
      </c>
      <c r="H607" s="118">
        <v>45639</v>
      </c>
      <c r="I607" s="135">
        <v>63</v>
      </c>
      <c r="J607" s="140">
        <v>420</v>
      </c>
      <c r="K607" s="148">
        <v>0.11</v>
      </c>
      <c r="L607" s="166" t="s">
        <v>36</v>
      </c>
      <c r="M607" s="156">
        <v>26460</v>
      </c>
      <c r="N607" s="156">
        <v>23549.4</v>
      </c>
      <c r="O607" s="169" t="s">
        <v>265</v>
      </c>
    </row>
    <row r="608" spans="1:15" x14ac:dyDescent="0.3">
      <c r="A608" s="111" t="s">
        <v>1514</v>
      </c>
      <c r="B608" s="112" t="s">
        <v>38</v>
      </c>
      <c r="C608" s="113" t="s">
        <v>247</v>
      </c>
      <c r="D608" s="113" t="s">
        <v>39</v>
      </c>
      <c r="E608" s="113" t="s">
        <v>45</v>
      </c>
      <c r="F608" s="113" t="s">
        <v>41</v>
      </c>
      <c r="G608" s="113" t="s">
        <v>53</v>
      </c>
      <c r="H608" s="114">
        <v>45654</v>
      </c>
      <c r="I608" s="134">
        <v>15</v>
      </c>
      <c r="J608" s="139">
        <v>1200</v>
      </c>
      <c r="K608" s="147">
        <v>0</v>
      </c>
      <c r="L608" s="165" t="s">
        <v>30</v>
      </c>
      <c r="M608" s="155">
        <v>18000</v>
      </c>
      <c r="N608" s="155">
        <v>18000</v>
      </c>
      <c r="O608" s="168" t="s">
        <v>265</v>
      </c>
    </row>
    <row r="609" spans="1:15" x14ac:dyDescent="0.3">
      <c r="A609" s="115" t="s">
        <v>1515</v>
      </c>
      <c r="B609" s="116" t="s">
        <v>58</v>
      </c>
      <c r="C609" s="117" t="s">
        <v>255</v>
      </c>
      <c r="D609" s="117" t="s">
        <v>59</v>
      </c>
      <c r="E609" s="117" t="s">
        <v>33</v>
      </c>
      <c r="F609" s="117" t="s">
        <v>41</v>
      </c>
      <c r="G609" s="117" t="s">
        <v>53</v>
      </c>
      <c r="H609" s="118">
        <v>45635</v>
      </c>
      <c r="I609" s="135">
        <v>9</v>
      </c>
      <c r="J609" s="140">
        <v>2800</v>
      </c>
      <c r="K609" s="148">
        <v>0.13</v>
      </c>
      <c r="L609" s="166" t="s">
        <v>36</v>
      </c>
      <c r="M609" s="156">
        <v>25200</v>
      </c>
      <c r="N609" s="156">
        <v>21924</v>
      </c>
      <c r="O609" s="169" t="s">
        <v>265</v>
      </c>
    </row>
    <row r="610" spans="1:15" x14ac:dyDescent="0.3">
      <c r="A610" s="111" t="s">
        <v>1516</v>
      </c>
      <c r="B610" s="112" t="s">
        <v>55</v>
      </c>
      <c r="C610" s="113" t="s">
        <v>249</v>
      </c>
      <c r="D610" s="113" t="s">
        <v>39</v>
      </c>
      <c r="E610" s="113" t="s">
        <v>40</v>
      </c>
      <c r="F610" s="113" t="s">
        <v>46</v>
      </c>
      <c r="G610" s="113" t="s">
        <v>29</v>
      </c>
      <c r="H610" s="114">
        <v>45644</v>
      </c>
      <c r="I610" s="134">
        <v>66</v>
      </c>
      <c r="J610" s="139">
        <v>650</v>
      </c>
      <c r="K610" s="147">
        <v>0.15</v>
      </c>
      <c r="L610" s="165" t="s">
        <v>36</v>
      </c>
      <c r="M610" s="155">
        <v>42900</v>
      </c>
      <c r="N610" s="155">
        <v>36465</v>
      </c>
      <c r="O610" s="168" t="s">
        <v>265</v>
      </c>
    </row>
    <row r="611" spans="1:15" x14ac:dyDescent="0.3">
      <c r="A611" s="115" t="s">
        <v>1517</v>
      </c>
      <c r="B611" s="116" t="s">
        <v>58</v>
      </c>
      <c r="C611" s="117" t="s">
        <v>255</v>
      </c>
      <c r="D611" s="117" t="s">
        <v>59</v>
      </c>
      <c r="E611" s="117" t="s">
        <v>33</v>
      </c>
      <c r="F611" s="117" t="s">
        <v>28</v>
      </c>
      <c r="G611" s="117" t="s">
        <v>35</v>
      </c>
      <c r="H611" s="118">
        <v>45655</v>
      </c>
      <c r="I611" s="135">
        <v>20</v>
      </c>
      <c r="J611" s="140">
        <v>2800</v>
      </c>
      <c r="K611" s="148">
        <v>7.0000000000000007E-2</v>
      </c>
      <c r="L611" s="166" t="s">
        <v>30</v>
      </c>
      <c r="M611" s="156">
        <v>56000</v>
      </c>
      <c r="N611" s="156">
        <v>52080</v>
      </c>
      <c r="O611" s="169" t="s">
        <v>265</v>
      </c>
    </row>
    <row r="612" spans="1:15" x14ac:dyDescent="0.3">
      <c r="A612" s="111" t="s">
        <v>1518</v>
      </c>
      <c r="B612" s="112" t="s">
        <v>63</v>
      </c>
      <c r="C612" s="113" t="s">
        <v>253</v>
      </c>
      <c r="D612" s="113" t="s">
        <v>50</v>
      </c>
      <c r="E612" s="113" t="s">
        <v>33</v>
      </c>
      <c r="F612" s="113" t="s">
        <v>28</v>
      </c>
      <c r="G612" s="113" t="s">
        <v>47</v>
      </c>
      <c r="H612" s="114">
        <v>45628</v>
      </c>
      <c r="I612" s="134">
        <v>35</v>
      </c>
      <c r="J612" s="139">
        <v>750</v>
      </c>
      <c r="K612" s="147">
        <v>0</v>
      </c>
      <c r="L612" s="165" t="s">
        <v>30</v>
      </c>
      <c r="M612" s="155">
        <v>26250</v>
      </c>
      <c r="N612" s="155">
        <v>26250</v>
      </c>
      <c r="O612" s="168" t="s">
        <v>265</v>
      </c>
    </row>
    <row r="613" spans="1:15" x14ac:dyDescent="0.3">
      <c r="A613" s="115" t="s">
        <v>1519</v>
      </c>
      <c r="B613" s="116" t="s">
        <v>61</v>
      </c>
      <c r="C613" s="117" t="s">
        <v>244</v>
      </c>
      <c r="D613" s="117" t="s">
        <v>26</v>
      </c>
      <c r="E613" s="117" t="s">
        <v>33</v>
      </c>
      <c r="F613" s="117" t="s">
        <v>28</v>
      </c>
      <c r="G613" s="117" t="s">
        <v>42</v>
      </c>
      <c r="H613" s="118">
        <v>45642</v>
      </c>
      <c r="I613" s="135">
        <v>70</v>
      </c>
      <c r="J613" s="140">
        <v>280</v>
      </c>
      <c r="K613" s="148">
        <v>7.0000000000000007E-2</v>
      </c>
      <c r="L613" s="166" t="s">
        <v>36</v>
      </c>
      <c r="M613" s="156">
        <v>19600</v>
      </c>
      <c r="N613" s="156">
        <v>18228</v>
      </c>
      <c r="O613" s="169" t="s">
        <v>265</v>
      </c>
    </row>
    <row r="614" spans="1:15" x14ac:dyDescent="0.3">
      <c r="A614" s="111" t="s">
        <v>1520</v>
      </c>
      <c r="B614" s="112" t="s">
        <v>32</v>
      </c>
      <c r="C614" s="113" t="s">
        <v>246</v>
      </c>
      <c r="D614" s="113" t="s">
        <v>26</v>
      </c>
      <c r="E614" s="113" t="s">
        <v>51</v>
      </c>
      <c r="F614" s="113" t="s">
        <v>52</v>
      </c>
      <c r="G614" s="113" t="s">
        <v>29</v>
      </c>
      <c r="H614" s="114">
        <v>45643</v>
      </c>
      <c r="I614" s="134">
        <v>57</v>
      </c>
      <c r="J614" s="139">
        <v>420</v>
      </c>
      <c r="K614" s="147">
        <v>0.11</v>
      </c>
      <c r="L614" s="165" t="s">
        <v>36</v>
      </c>
      <c r="M614" s="155">
        <v>23940</v>
      </c>
      <c r="N614" s="155">
        <v>21306.6</v>
      </c>
      <c r="O614" s="168" t="s">
        <v>265</v>
      </c>
    </row>
    <row r="615" spans="1:15" x14ac:dyDescent="0.3">
      <c r="A615" s="115" t="s">
        <v>1521</v>
      </c>
      <c r="B615" s="116" t="s">
        <v>61</v>
      </c>
      <c r="C615" s="117" t="s">
        <v>244</v>
      </c>
      <c r="D615" s="117" t="s">
        <v>26</v>
      </c>
      <c r="E615" s="117" t="s">
        <v>27</v>
      </c>
      <c r="F615" s="117" t="s">
        <v>46</v>
      </c>
      <c r="G615" s="117" t="s">
        <v>42</v>
      </c>
      <c r="H615" s="118">
        <v>45644</v>
      </c>
      <c r="I615" s="135">
        <v>45</v>
      </c>
      <c r="J615" s="140">
        <v>280</v>
      </c>
      <c r="K615" s="148">
        <v>0.03</v>
      </c>
      <c r="L615" s="166" t="s">
        <v>36</v>
      </c>
      <c r="M615" s="156">
        <v>12600</v>
      </c>
      <c r="N615" s="156">
        <v>12222</v>
      </c>
      <c r="O615" s="169" t="s">
        <v>265</v>
      </c>
    </row>
    <row r="616" spans="1:15" x14ac:dyDescent="0.3">
      <c r="A616" s="111" t="s">
        <v>1522</v>
      </c>
      <c r="B616" s="112" t="s">
        <v>63</v>
      </c>
      <c r="C616" s="113" t="s">
        <v>253</v>
      </c>
      <c r="D616" s="113" t="s">
        <v>50</v>
      </c>
      <c r="E616" s="113" t="s">
        <v>27</v>
      </c>
      <c r="F616" s="113" t="s">
        <v>52</v>
      </c>
      <c r="G616" s="113" t="s">
        <v>53</v>
      </c>
      <c r="H616" s="114">
        <v>45628</v>
      </c>
      <c r="I616" s="134">
        <v>39</v>
      </c>
      <c r="J616" s="139">
        <v>750</v>
      </c>
      <c r="K616" s="147">
        <v>0.12</v>
      </c>
      <c r="L616" s="165" t="s">
        <v>36</v>
      </c>
      <c r="M616" s="155">
        <v>29250</v>
      </c>
      <c r="N616" s="155">
        <v>25740</v>
      </c>
      <c r="O616" s="168" t="s">
        <v>265</v>
      </c>
    </row>
    <row r="617" spans="1:15" x14ac:dyDescent="0.3">
      <c r="A617" s="115" t="s">
        <v>1523</v>
      </c>
      <c r="B617" s="116" t="s">
        <v>44</v>
      </c>
      <c r="C617" s="117" t="s">
        <v>254</v>
      </c>
      <c r="D617" s="117" t="s">
        <v>39</v>
      </c>
      <c r="E617" s="117" t="s">
        <v>51</v>
      </c>
      <c r="F617" s="117" t="s">
        <v>41</v>
      </c>
      <c r="G617" s="117" t="s">
        <v>42</v>
      </c>
      <c r="H617" s="118">
        <v>45628</v>
      </c>
      <c r="I617" s="135">
        <v>38</v>
      </c>
      <c r="J617" s="140">
        <v>200</v>
      </c>
      <c r="K617" s="148">
        <v>0.13</v>
      </c>
      <c r="L617" s="166" t="s">
        <v>36</v>
      </c>
      <c r="M617" s="156">
        <v>7600</v>
      </c>
      <c r="N617" s="156">
        <v>6612</v>
      </c>
      <c r="O617" s="169" t="s">
        <v>265</v>
      </c>
    </row>
    <row r="618" spans="1:15" x14ac:dyDescent="0.3">
      <c r="A618" s="111" t="s">
        <v>1524</v>
      </c>
      <c r="B618" s="112" t="s">
        <v>63</v>
      </c>
      <c r="C618" s="113" t="s">
        <v>253</v>
      </c>
      <c r="D618" s="113" t="s">
        <v>50</v>
      </c>
      <c r="E618" s="113" t="s">
        <v>33</v>
      </c>
      <c r="F618" s="113" t="s">
        <v>52</v>
      </c>
      <c r="G618" s="113" t="s">
        <v>56</v>
      </c>
      <c r="H618" s="114">
        <v>45628</v>
      </c>
      <c r="I618" s="134">
        <v>21</v>
      </c>
      <c r="J618" s="139">
        <v>750</v>
      </c>
      <c r="K618" s="147">
        <v>0.15</v>
      </c>
      <c r="L618" s="165" t="s">
        <v>30</v>
      </c>
      <c r="M618" s="155">
        <v>15750</v>
      </c>
      <c r="N618" s="155">
        <v>13387.5</v>
      </c>
      <c r="O618" s="168" t="s">
        <v>265</v>
      </c>
    </row>
    <row r="619" spans="1:15" x14ac:dyDescent="0.3">
      <c r="A619" s="115" t="s">
        <v>1525</v>
      </c>
      <c r="B619" s="116" t="s">
        <v>63</v>
      </c>
      <c r="C619" s="117" t="s">
        <v>253</v>
      </c>
      <c r="D619" s="117" t="s">
        <v>50</v>
      </c>
      <c r="E619" s="117" t="s">
        <v>45</v>
      </c>
      <c r="F619" s="117" t="s">
        <v>46</v>
      </c>
      <c r="G619" s="117" t="s">
        <v>35</v>
      </c>
      <c r="H619" s="118">
        <v>45651</v>
      </c>
      <c r="I619" s="135">
        <v>32</v>
      </c>
      <c r="J619" s="140">
        <v>750</v>
      </c>
      <c r="K619" s="148">
        <v>0.14000000000000001</v>
      </c>
      <c r="L619" s="166" t="s">
        <v>36</v>
      </c>
      <c r="M619" s="156">
        <v>24000</v>
      </c>
      <c r="N619" s="156">
        <v>20640</v>
      </c>
      <c r="O619" s="169" t="s">
        <v>265</v>
      </c>
    </row>
    <row r="620" spans="1:15" x14ac:dyDescent="0.3">
      <c r="A620" s="111" t="s">
        <v>1526</v>
      </c>
      <c r="B620" s="112" t="s">
        <v>58</v>
      </c>
      <c r="C620" s="113" t="s">
        <v>255</v>
      </c>
      <c r="D620" s="113" t="s">
        <v>59</v>
      </c>
      <c r="E620" s="113" t="s">
        <v>51</v>
      </c>
      <c r="F620" s="113" t="s">
        <v>34</v>
      </c>
      <c r="G620" s="113" t="s">
        <v>29</v>
      </c>
      <c r="H620" s="114">
        <v>45636</v>
      </c>
      <c r="I620" s="134">
        <v>12</v>
      </c>
      <c r="J620" s="139">
        <v>2800</v>
      </c>
      <c r="K620" s="147">
        <v>7.0000000000000007E-2</v>
      </c>
      <c r="L620" s="165" t="s">
        <v>30</v>
      </c>
      <c r="M620" s="155">
        <v>33600</v>
      </c>
      <c r="N620" s="155">
        <v>31248</v>
      </c>
      <c r="O620" s="168" t="s">
        <v>265</v>
      </c>
    </row>
    <row r="621" spans="1:15" x14ac:dyDescent="0.3">
      <c r="A621" s="115" t="s">
        <v>1527</v>
      </c>
      <c r="B621" s="116" t="s">
        <v>25</v>
      </c>
      <c r="C621" s="117" t="s">
        <v>257</v>
      </c>
      <c r="D621" s="117" t="s">
        <v>26</v>
      </c>
      <c r="E621" s="117" t="s">
        <v>51</v>
      </c>
      <c r="F621" s="117" t="s">
        <v>28</v>
      </c>
      <c r="G621" s="117" t="s">
        <v>29</v>
      </c>
      <c r="H621" s="118">
        <v>45639</v>
      </c>
      <c r="I621" s="135">
        <v>24</v>
      </c>
      <c r="J621" s="140">
        <v>350</v>
      </c>
      <c r="K621" s="148">
        <v>0</v>
      </c>
      <c r="L621" s="166" t="s">
        <v>36</v>
      </c>
      <c r="M621" s="156">
        <v>8400</v>
      </c>
      <c r="N621" s="156">
        <v>8400</v>
      </c>
      <c r="O621" s="169" t="s">
        <v>265</v>
      </c>
    </row>
    <row r="622" spans="1:15" x14ac:dyDescent="0.3">
      <c r="A622" s="111" t="s">
        <v>1528</v>
      </c>
      <c r="B622" s="112" t="s">
        <v>63</v>
      </c>
      <c r="C622" s="113" t="s">
        <v>253</v>
      </c>
      <c r="D622" s="113" t="s">
        <v>50</v>
      </c>
      <c r="E622" s="113" t="s">
        <v>33</v>
      </c>
      <c r="F622" s="113" t="s">
        <v>46</v>
      </c>
      <c r="G622" s="113" t="s">
        <v>42</v>
      </c>
      <c r="H622" s="114">
        <v>45635</v>
      </c>
      <c r="I622" s="134">
        <v>27</v>
      </c>
      <c r="J622" s="139">
        <v>750</v>
      </c>
      <c r="K622" s="147">
        <v>0.11</v>
      </c>
      <c r="L622" s="165" t="s">
        <v>30</v>
      </c>
      <c r="M622" s="155">
        <v>20250</v>
      </c>
      <c r="N622" s="155">
        <v>18022.5</v>
      </c>
      <c r="O622" s="168" t="s">
        <v>265</v>
      </c>
    </row>
    <row r="623" spans="1:15" x14ac:dyDescent="0.3">
      <c r="A623" s="115" t="s">
        <v>264</v>
      </c>
      <c r="B623" s="116" t="s">
        <v>16</v>
      </c>
      <c r="C623" s="117" t="s">
        <v>250</v>
      </c>
      <c r="D623" s="117" t="s">
        <v>39</v>
      </c>
      <c r="E623" s="117" t="s">
        <v>45</v>
      </c>
      <c r="F623" s="117" t="s">
        <v>52</v>
      </c>
      <c r="G623" s="117" t="s">
        <v>56</v>
      </c>
      <c r="H623" s="118">
        <v>45634</v>
      </c>
      <c r="I623" s="135">
        <v>19</v>
      </c>
      <c r="J623" s="140">
        <v>990</v>
      </c>
      <c r="K623" s="148">
        <v>0.05</v>
      </c>
      <c r="L623" s="166" t="s">
        <v>30</v>
      </c>
      <c r="M623" s="156">
        <v>18810</v>
      </c>
      <c r="N623" s="156">
        <v>17869.5</v>
      </c>
      <c r="O623" s="169" t="s">
        <v>265</v>
      </c>
    </row>
    <row r="624" spans="1:15" x14ac:dyDescent="0.3">
      <c r="A624" s="115" t="s">
        <v>266</v>
      </c>
      <c r="B624" s="119" t="s">
        <v>32</v>
      </c>
      <c r="C624" s="120" t="s">
        <v>246</v>
      </c>
      <c r="D624" s="120" t="s">
        <v>26</v>
      </c>
      <c r="E624" s="120" t="s">
        <v>27</v>
      </c>
      <c r="F624" s="120" t="s">
        <v>28</v>
      </c>
      <c r="G624" s="120" t="s">
        <v>29</v>
      </c>
      <c r="H624" s="121">
        <v>45658</v>
      </c>
      <c r="I624" s="136">
        <v>118</v>
      </c>
      <c r="J624" s="141">
        <v>420</v>
      </c>
      <c r="K624" s="149">
        <v>0.15</v>
      </c>
      <c r="L624" s="120" t="s">
        <v>30</v>
      </c>
      <c r="M624" s="157">
        <v>49560</v>
      </c>
      <c r="N624" s="157">
        <v>42126</v>
      </c>
      <c r="O624" s="170" t="s">
        <v>265</v>
      </c>
    </row>
    <row r="625" spans="1:15" x14ac:dyDescent="0.3">
      <c r="A625" s="115" t="s">
        <v>268</v>
      </c>
      <c r="B625" s="112" t="s">
        <v>38</v>
      </c>
      <c r="C625" s="113" t="s">
        <v>247</v>
      </c>
      <c r="D625" s="113" t="s">
        <v>39</v>
      </c>
      <c r="E625" s="113" t="s">
        <v>45</v>
      </c>
      <c r="F625" s="113" t="s">
        <v>46</v>
      </c>
      <c r="G625" s="113" t="s">
        <v>47</v>
      </c>
      <c r="H625" s="114">
        <v>45634</v>
      </c>
      <c r="I625" s="134">
        <v>36</v>
      </c>
      <c r="J625" s="139">
        <v>1200</v>
      </c>
      <c r="K625" s="147">
        <v>0.12</v>
      </c>
      <c r="L625" s="165" t="s">
        <v>36</v>
      </c>
      <c r="M625" s="155">
        <v>43200</v>
      </c>
      <c r="N625" s="155">
        <v>38016</v>
      </c>
      <c r="O625" s="168" t="s">
        <v>265</v>
      </c>
    </row>
    <row r="626" spans="1:15" x14ac:dyDescent="0.3">
      <c r="A626" s="115" t="s">
        <v>269</v>
      </c>
      <c r="B626" s="122" t="s">
        <v>49</v>
      </c>
      <c r="C626" s="123" t="s">
        <v>251</v>
      </c>
      <c r="D626" s="123" t="s">
        <v>50</v>
      </c>
      <c r="E626" s="123" t="s">
        <v>45</v>
      </c>
      <c r="F626" s="123" t="s">
        <v>52</v>
      </c>
      <c r="G626" s="123" t="s">
        <v>47</v>
      </c>
      <c r="H626" s="124">
        <v>45659</v>
      </c>
      <c r="I626" s="137">
        <v>280</v>
      </c>
      <c r="J626" s="142">
        <v>895</v>
      </c>
      <c r="K626" s="150">
        <v>0.03</v>
      </c>
      <c r="L626" s="123" t="s">
        <v>36</v>
      </c>
      <c r="M626" s="158">
        <v>250600</v>
      </c>
      <c r="N626" s="158">
        <v>243082</v>
      </c>
      <c r="O626" s="171" t="s">
        <v>267</v>
      </c>
    </row>
    <row r="627" spans="1:15" x14ac:dyDescent="0.3">
      <c r="A627" s="115" t="s">
        <v>270</v>
      </c>
      <c r="B627" s="116" t="s">
        <v>38</v>
      </c>
      <c r="C627" s="117" t="s">
        <v>247</v>
      </c>
      <c r="D627" s="117" t="s">
        <v>39</v>
      </c>
      <c r="E627" s="117" t="s">
        <v>27</v>
      </c>
      <c r="F627" s="117" t="s">
        <v>34</v>
      </c>
      <c r="G627" s="117" t="s">
        <v>42</v>
      </c>
      <c r="H627" s="118">
        <v>45634</v>
      </c>
      <c r="I627" s="135">
        <v>27</v>
      </c>
      <c r="J627" s="140">
        <v>1200</v>
      </c>
      <c r="K627" s="148">
        <v>0.15</v>
      </c>
      <c r="L627" s="166" t="s">
        <v>30</v>
      </c>
      <c r="M627" s="156">
        <v>32400</v>
      </c>
      <c r="N627" s="156">
        <v>27540</v>
      </c>
      <c r="O627" s="169" t="s">
        <v>265</v>
      </c>
    </row>
    <row r="628" spans="1:15" x14ac:dyDescent="0.3">
      <c r="A628" s="115" t="s">
        <v>271</v>
      </c>
      <c r="B628" s="119" t="s">
        <v>55</v>
      </c>
      <c r="C628" s="120" t="s">
        <v>249</v>
      </c>
      <c r="D628" s="120" t="s">
        <v>39</v>
      </c>
      <c r="E628" s="120" t="s">
        <v>27</v>
      </c>
      <c r="F628" s="120" t="s">
        <v>34</v>
      </c>
      <c r="G628" s="120" t="s">
        <v>42</v>
      </c>
      <c r="H628" s="121">
        <v>45659</v>
      </c>
      <c r="I628" s="136">
        <v>399</v>
      </c>
      <c r="J628" s="141">
        <v>650</v>
      </c>
      <c r="K628" s="149">
        <v>0.03</v>
      </c>
      <c r="L628" s="120" t="s">
        <v>30</v>
      </c>
      <c r="M628" s="157">
        <v>259350</v>
      </c>
      <c r="N628" s="157">
        <v>251569.5</v>
      </c>
      <c r="O628" s="170" t="s">
        <v>267</v>
      </c>
    </row>
    <row r="629" spans="1:15" x14ac:dyDescent="0.3">
      <c r="A629" s="115" t="s">
        <v>272</v>
      </c>
      <c r="B629" s="112" t="s">
        <v>38</v>
      </c>
      <c r="C629" s="113" t="s">
        <v>247</v>
      </c>
      <c r="D629" s="113" t="s">
        <v>39</v>
      </c>
      <c r="E629" s="113" t="s">
        <v>33</v>
      </c>
      <c r="F629" s="113" t="s">
        <v>34</v>
      </c>
      <c r="G629" s="113" t="s">
        <v>35</v>
      </c>
      <c r="H629" s="114">
        <v>45651</v>
      </c>
      <c r="I629" s="134">
        <v>9</v>
      </c>
      <c r="J629" s="139">
        <v>1200</v>
      </c>
      <c r="K629" s="147">
        <v>0.03</v>
      </c>
      <c r="L629" s="165" t="s">
        <v>30</v>
      </c>
      <c r="M629" s="155">
        <v>10800</v>
      </c>
      <c r="N629" s="155">
        <v>10476</v>
      </c>
      <c r="O629" s="168" t="s">
        <v>265</v>
      </c>
    </row>
    <row r="630" spans="1:15" x14ac:dyDescent="0.3">
      <c r="A630" s="115" t="s">
        <v>273</v>
      </c>
      <c r="B630" s="122" t="s">
        <v>55</v>
      </c>
      <c r="C630" s="123" t="s">
        <v>249</v>
      </c>
      <c r="D630" s="123" t="s">
        <v>39</v>
      </c>
      <c r="E630" s="123" t="s">
        <v>45</v>
      </c>
      <c r="F630" s="123" t="s">
        <v>34</v>
      </c>
      <c r="G630" s="123" t="s">
        <v>56</v>
      </c>
      <c r="H630" s="124">
        <v>45659</v>
      </c>
      <c r="I630" s="137">
        <v>416</v>
      </c>
      <c r="J630" s="142">
        <v>650</v>
      </c>
      <c r="K630" s="150">
        <v>0.11</v>
      </c>
      <c r="L630" s="123" t="s">
        <v>36</v>
      </c>
      <c r="M630" s="158">
        <v>270400</v>
      </c>
      <c r="N630" s="158">
        <v>240656</v>
      </c>
      <c r="O630" s="171" t="s">
        <v>267</v>
      </c>
    </row>
    <row r="631" spans="1:15" x14ac:dyDescent="0.3">
      <c r="A631" s="115" t="s">
        <v>274</v>
      </c>
      <c r="B631" s="116" t="s">
        <v>61</v>
      </c>
      <c r="C631" s="117" t="s">
        <v>244</v>
      </c>
      <c r="D631" s="117" t="s">
        <v>26</v>
      </c>
      <c r="E631" s="117" t="s">
        <v>40</v>
      </c>
      <c r="F631" s="117" t="s">
        <v>28</v>
      </c>
      <c r="G631" s="117" t="s">
        <v>42</v>
      </c>
      <c r="H631" s="118">
        <v>45648</v>
      </c>
      <c r="I631" s="135">
        <v>16</v>
      </c>
      <c r="J631" s="140">
        <v>280</v>
      </c>
      <c r="K631" s="148">
        <v>0.14000000000000001</v>
      </c>
      <c r="L631" s="166" t="s">
        <v>36</v>
      </c>
      <c r="M631" s="156">
        <v>4480</v>
      </c>
      <c r="N631" s="156">
        <v>3852.8</v>
      </c>
      <c r="O631" s="169" t="s">
        <v>265</v>
      </c>
    </row>
    <row r="632" spans="1:15" x14ac:dyDescent="0.3">
      <c r="A632" s="115" t="s">
        <v>275</v>
      </c>
      <c r="B632" s="119" t="s">
        <v>16</v>
      </c>
      <c r="C632" s="120" t="s">
        <v>250</v>
      </c>
      <c r="D632" s="120" t="s">
        <v>39</v>
      </c>
      <c r="E632" s="120" t="s">
        <v>45</v>
      </c>
      <c r="F632" s="120" t="s">
        <v>52</v>
      </c>
      <c r="G632" s="120" t="s">
        <v>42</v>
      </c>
      <c r="H632" s="121">
        <v>45661</v>
      </c>
      <c r="I632" s="136">
        <v>134</v>
      </c>
      <c r="J632" s="141">
        <v>990</v>
      </c>
      <c r="K632" s="149">
        <v>7.0000000000000007E-2</v>
      </c>
      <c r="L632" s="120" t="s">
        <v>36</v>
      </c>
      <c r="M632" s="157">
        <v>132660</v>
      </c>
      <c r="N632" s="157">
        <v>123373.8</v>
      </c>
      <c r="O632" s="170" t="s">
        <v>267</v>
      </c>
    </row>
    <row r="633" spans="1:15" x14ac:dyDescent="0.3">
      <c r="A633" s="115" t="s">
        <v>276</v>
      </c>
      <c r="B633" s="112" t="s">
        <v>32</v>
      </c>
      <c r="C633" s="113" t="s">
        <v>246</v>
      </c>
      <c r="D633" s="113" t="s">
        <v>26</v>
      </c>
      <c r="E633" s="113" t="s">
        <v>45</v>
      </c>
      <c r="F633" s="113" t="s">
        <v>41</v>
      </c>
      <c r="G633" s="113" t="s">
        <v>35</v>
      </c>
      <c r="H633" s="114">
        <v>45630</v>
      </c>
      <c r="I633" s="134">
        <v>64</v>
      </c>
      <c r="J633" s="139">
        <v>420</v>
      </c>
      <c r="K633" s="147">
        <v>0.1</v>
      </c>
      <c r="L633" s="165" t="s">
        <v>36</v>
      </c>
      <c r="M633" s="155">
        <v>26880</v>
      </c>
      <c r="N633" s="155">
        <v>24192</v>
      </c>
      <c r="O633" s="168" t="s">
        <v>265</v>
      </c>
    </row>
    <row r="634" spans="1:15" x14ac:dyDescent="0.3">
      <c r="A634" s="115" t="s">
        <v>278</v>
      </c>
      <c r="B634" s="122" t="s">
        <v>49</v>
      </c>
      <c r="C634" s="123" t="s">
        <v>251</v>
      </c>
      <c r="D634" s="123" t="s">
        <v>50</v>
      </c>
      <c r="E634" s="123" t="s">
        <v>40</v>
      </c>
      <c r="F634" s="123" t="s">
        <v>46</v>
      </c>
      <c r="G634" s="123" t="s">
        <v>29</v>
      </c>
      <c r="H634" s="124">
        <v>45661</v>
      </c>
      <c r="I634" s="137">
        <v>340</v>
      </c>
      <c r="J634" s="142">
        <v>895</v>
      </c>
      <c r="K634" s="150">
        <v>0.1</v>
      </c>
      <c r="L634" s="123" t="s">
        <v>36</v>
      </c>
      <c r="M634" s="158">
        <v>304300</v>
      </c>
      <c r="N634" s="158">
        <v>273870</v>
      </c>
      <c r="O634" s="171" t="s">
        <v>267</v>
      </c>
    </row>
    <row r="635" spans="1:15" x14ac:dyDescent="0.3">
      <c r="A635" s="115" t="s">
        <v>279</v>
      </c>
      <c r="B635" s="116" t="s">
        <v>38</v>
      </c>
      <c r="C635" s="117" t="s">
        <v>247</v>
      </c>
      <c r="D635" s="117" t="s">
        <v>39</v>
      </c>
      <c r="E635" s="117" t="s">
        <v>27</v>
      </c>
      <c r="F635" s="117" t="s">
        <v>46</v>
      </c>
      <c r="G635" s="117" t="s">
        <v>35</v>
      </c>
      <c r="H635" s="118">
        <v>45630</v>
      </c>
      <c r="I635" s="135">
        <v>22</v>
      </c>
      <c r="J635" s="140">
        <v>1200</v>
      </c>
      <c r="K635" s="148">
        <v>0.14000000000000001</v>
      </c>
      <c r="L635" s="166" t="s">
        <v>36</v>
      </c>
      <c r="M635" s="156">
        <v>26400</v>
      </c>
      <c r="N635" s="156">
        <v>22704</v>
      </c>
      <c r="O635" s="169" t="s">
        <v>265</v>
      </c>
    </row>
    <row r="636" spans="1:15" x14ac:dyDescent="0.3">
      <c r="A636" s="115" t="s">
        <v>280</v>
      </c>
      <c r="B636" s="119" t="s">
        <v>32</v>
      </c>
      <c r="C636" s="120" t="s">
        <v>246</v>
      </c>
      <c r="D636" s="120" t="s">
        <v>26</v>
      </c>
      <c r="E636" s="120" t="s">
        <v>27</v>
      </c>
      <c r="F636" s="120" t="s">
        <v>41</v>
      </c>
      <c r="G636" s="120" t="s">
        <v>47</v>
      </c>
      <c r="H636" s="121">
        <v>45662</v>
      </c>
      <c r="I636" s="136">
        <v>140</v>
      </c>
      <c r="J636" s="141">
        <v>420</v>
      </c>
      <c r="K636" s="149">
        <v>0.11</v>
      </c>
      <c r="L636" s="120" t="s">
        <v>36</v>
      </c>
      <c r="M636" s="157">
        <v>58800</v>
      </c>
      <c r="N636" s="157">
        <v>52332</v>
      </c>
      <c r="O636" s="170" t="s">
        <v>265</v>
      </c>
    </row>
    <row r="637" spans="1:15" x14ac:dyDescent="0.3">
      <c r="A637" s="115" t="s">
        <v>281</v>
      </c>
      <c r="B637" s="112" t="s">
        <v>58</v>
      </c>
      <c r="C637" s="113" t="s">
        <v>255</v>
      </c>
      <c r="D637" s="113" t="s">
        <v>59</v>
      </c>
      <c r="E637" s="113" t="s">
        <v>33</v>
      </c>
      <c r="F637" s="113" t="s">
        <v>28</v>
      </c>
      <c r="G637" s="113" t="s">
        <v>29</v>
      </c>
      <c r="H637" s="114">
        <v>45657</v>
      </c>
      <c r="I637" s="134">
        <v>10</v>
      </c>
      <c r="J637" s="139">
        <v>2800</v>
      </c>
      <c r="K637" s="147">
        <v>0</v>
      </c>
      <c r="L637" s="165" t="s">
        <v>36</v>
      </c>
      <c r="M637" s="155">
        <v>28000</v>
      </c>
      <c r="N637" s="155">
        <v>28000</v>
      </c>
      <c r="O637" s="168" t="s">
        <v>265</v>
      </c>
    </row>
    <row r="638" spans="1:15" x14ac:dyDescent="0.3">
      <c r="A638" s="115" t="s">
        <v>282</v>
      </c>
      <c r="B638" s="122" t="s">
        <v>16</v>
      </c>
      <c r="C638" s="123" t="s">
        <v>250</v>
      </c>
      <c r="D638" s="123" t="s">
        <v>39</v>
      </c>
      <c r="E638" s="123" t="s">
        <v>51</v>
      </c>
      <c r="F638" s="123" t="s">
        <v>28</v>
      </c>
      <c r="G638" s="123" t="s">
        <v>42</v>
      </c>
      <c r="H638" s="124">
        <v>45662</v>
      </c>
      <c r="I638" s="137">
        <v>380</v>
      </c>
      <c r="J638" s="142">
        <v>990</v>
      </c>
      <c r="K638" s="150">
        <v>0.08</v>
      </c>
      <c r="L638" s="123" t="s">
        <v>30</v>
      </c>
      <c r="M638" s="158">
        <v>376200</v>
      </c>
      <c r="N638" s="158">
        <v>346104</v>
      </c>
      <c r="O638" s="171" t="s">
        <v>267</v>
      </c>
    </row>
    <row r="639" spans="1:15" x14ac:dyDescent="0.3">
      <c r="A639" s="115" t="s">
        <v>283</v>
      </c>
      <c r="B639" s="116" t="s">
        <v>58</v>
      </c>
      <c r="C639" s="117" t="s">
        <v>255</v>
      </c>
      <c r="D639" s="117" t="s">
        <v>59</v>
      </c>
      <c r="E639" s="117" t="s">
        <v>45</v>
      </c>
      <c r="F639" s="117" t="s">
        <v>28</v>
      </c>
      <c r="G639" s="117" t="s">
        <v>47</v>
      </c>
      <c r="H639" s="118">
        <v>45637</v>
      </c>
      <c r="I639" s="135">
        <v>11</v>
      </c>
      <c r="J639" s="140">
        <v>2800</v>
      </c>
      <c r="K639" s="148">
        <v>0</v>
      </c>
      <c r="L639" s="166" t="s">
        <v>36</v>
      </c>
      <c r="M639" s="156">
        <v>30800</v>
      </c>
      <c r="N639" s="156">
        <v>30800</v>
      </c>
      <c r="O639" s="169" t="s">
        <v>265</v>
      </c>
    </row>
    <row r="640" spans="1:15" x14ac:dyDescent="0.3">
      <c r="A640" s="115" t="s">
        <v>284</v>
      </c>
      <c r="B640" s="119" t="s">
        <v>44</v>
      </c>
      <c r="C640" s="120" t="s">
        <v>254</v>
      </c>
      <c r="D640" s="120" t="s">
        <v>39</v>
      </c>
      <c r="E640" s="120" t="s">
        <v>51</v>
      </c>
      <c r="F640" s="120" t="s">
        <v>28</v>
      </c>
      <c r="G640" s="120" t="s">
        <v>35</v>
      </c>
      <c r="H640" s="121">
        <v>45662</v>
      </c>
      <c r="I640" s="136">
        <v>396</v>
      </c>
      <c r="J640" s="141">
        <v>200</v>
      </c>
      <c r="K640" s="149">
        <v>0</v>
      </c>
      <c r="L640" s="120" t="s">
        <v>36</v>
      </c>
      <c r="M640" s="157">
        <v>79200</v>
      </c>
      <c r="N640" s="157">
        <v>79200</v>
      </c>
      <c r="O640" s="170" t="s">
        <v>265</v>
      </c>
    </row>
    <row r="641" spans="1:15" x14ac:dyDescent="0.3">
      <c r="A641" s="115" t="s">
        <v>285</v>
      </c>
      <c r="B641" s="112" t="s">
        <v>44</v>
      </c>
      <c r="C641" s="113" t="s">
        <v>254</v>
      </c>
      <c r="D641" s="113" t="s">
        <v>39</v>
      </c>
      <c r="E641" s="113" t="s">
        <v>40</v>
      </c>
      <c r="F641" s="113" t="s">
        <v>41</v>
      </c>
      <c r="G641" s="113" t="s">
        <v>29</v>
      </c>
      <c r="H641" s="114">
        <v>45651</v>
      </c>
      <c r="I641" s="134">
        <v>66</v>
      </c>
      <c r="J641" s="139">
        <v>200</v>
      </c>
      <c r="K641" s="147">
        <v>0</v>
      </c>
      <c r="L641" s="165" t="s">
        <v>36</v>
      </c>
      <c r="M641" s="155">
        <v>13200</v>
      </c>
      <c r="N641" s="155">
        <v>13200</v>
      </c>
      <c r="O641" s="168" t="s">
        <v>265</v>
      </c>
    </row>
    <row r="642" spans="1:15" x14ac:dyDescent="0.3">
      <c r="A642" s="115" t="s">
        <v>286</v>
      </c>
      <c r="B642" s="122" t="s">
        <v>61</v>
      </c>
      <c r="C642" s="123" t="s">
        <v>244</v>
      </c>
      <c r="D642" s="123" t="s">
        <v>26</v>
      </c>
      <c r="E642" s="123" t="s">
        <v>51</v>
      </c>
      <c r="F642" s="123" t="s">
        <v>28</v>
      </c>
      <c r="G642" s="123" t="s">
        <v>42</v>
      </c>
      <c r="H642" s="124">
        <v>45664</v>
      </c>
      <c r="I642" s="137">
        <v>211</v>
      </c>
      <c r="J642" s="142">
        <v>280</v>
      </c>
      <c r="K642" s="150">
        <v>0.11</v>
      </c>
      <c r="L642" s="123" t="s">
        <v>36</v>
      </c>
      <c r="M642" s="158">
        <v>59080</v>
      </c>
      <c r="N642" s="158">
        <v>52581.2</v>
      </c>
      <c r="O642" s="171" t="s">
        <v>265</v>
      </c>
    </row>
    <row r="643" spans="1:15" x14ac:dyDescent="0.3">
      <c r="A643" s="115" t="s">
        <v>287</v>
      </c>
      <c r="B643" s="116" t="s">
        <v>58</v>
      </c>
      <c r="C643" s="117" t="s">
        <v>255</v>
      </c>
      <c r="D643" s="117" t="s">
        <v>59</v>
      </c>
      <c r="E643" s="117" t="s">
        <v>27</v>
      </c>
      <c r="F643" s="117" t="s">
        <v>34</v>
      </c>
      <c r="G643" s="117" t="s">
        <v>29</v>
      </c>
      <c r="H643" s="118">
        <v>45650</v>
      </c>
      <c r="I643" s="135">
        <v>13</v>
      </c>
      <c r="J643" s="140">
        <v>2800</v>
      </c>
      <c r="K643" s="148">
        <v>0.12</v>
      </c>
      <c r="L643" s="166" t="s">
        <v>36</v>
      </c>
      <c r="M643" s="156">
        <v>36400</v>
      </c>
      <c r="N643" s="156">
        <v>32032</v>
      </c>
      <c r="O643" s="169" t="s">
        <v>265</v>
      </c>
    </row>
    <row r="644" spans="1:15" x14ac:dyDescent="0.3">
      <c r="A644" s="115" t="s">
        <v>288</v>
      </c>
      <c r="B644" s="119" t="s">
        <v>38</v>
      </c>
      <c r="C644" s="120" t="s">
        <v>247</v>
      </c>
      <c r="D644" s="120" t="s">
        <v>39</v>
      </c>
      <c r="E644" s="120" t="s">
        <v>40</v>
      </c>
      <c r="F644" s="120" t="s">
        <v>52</v>
      </c>
      <c r="G644" s="120" t="s">
        <v>29</v>
      </c>
      <c r="H644" s="121">
        <v>45665</v>
      </c>
      <c r="I644" s="136">
        <v>397</v>
      </c>
      <c r="J644" s="141">
        <v>1200</v>
      </c>
      <c r="K644" s="149">
        <v>0.12</v>
      </c>
      <c r="L644" s="120" t="s">
        <v>36</v>
      </c>
      <c r="M644" s="157">
        <v>476400</v>
      </c>
      <c r="N644" s="157">
        <v>419232</v>
      </c>
      <c r="O644" s="170" t="s">
        <v>277</v>
      </c>
    </row>
    <row r="645" spans="1:15" x14ac:dyDescent="0.3">
      <c r="A645" s="115" t="s">
        <v>289</v>
      </c>
      <c r="B645" s="112" t="s">
        <v>49</v>
      </c>
      <c r="C645" s="113" t="s">
        <v>251</v>
      </c>
      <c r="D645" s="113" t="s">
        <v>50</v>
      </c>
      <c r="E645" s="113" t="s">
        <v>27</v>
      </c>
      <c r="F645" s="113" t="s">
        <v>52</v>
      </c>
      <c r="G645" s="113" t="s">
        <v>53</v>
      </c>
      <c r="H645" s="114">
        <v>45649</v>
      </c>
      <c r="I645" s="134">
        <v>30</v>
      </c>
      <c r="J645" s="139">
        <v>895</v>
      </c>
      <c r="K645" s="147">
        <v>0</v>
      </c>
      <c r="L645" s="165" t="s">
        <v>30</v>
      </c>
      <c r="M645" s="155">
        <v>26850</v>
      </c>
      <c r="N645" s="155">
        <v>26850</v>
      </c>
      <c r="O645" s="168" t="s">
        <v>265</v>
      </c>
    </row>
    <row r="646" spans="1:15" x14ac:dyDescent="0.3">
      <c r="A646" s="115" t="s">
        <v>290</v>
      </c>
      <c r="B646" s="122" t="s">
        <v>25</v>
      </c>
      <c r="C646" s="123" t="s">
        <v>257</v>
      </c>
      <c r="D646" s="123" t="s">
        <v>26</v>
      </c>
      <c r="E646" s="123" t="s">
        <v>40</v>
      </c>
      <c r="F646" s="123" t="s">
        <v>52</v>
      </c>
      <c r="G646" s="123" t="s">
        <v>56</v>
      </c>
      <c r="H646" s="124">
        <v>45665</v>
      </c>
      <c r="I646" s="137">
        <v>110</v>
      </c>
      <c r="J646" s="142">
        <v>350</v>
      </c>
      <c r="K646" s="150">
        <v>0</v>
      </c>
      <c r="L646" s="123" t="s">
        <v>30</v>
      </c>
      <c r="M646" s="158">
        <v>38500</v>
      </c>
      <c r="N646" s="158">
        <v>38500</v>
      </c>
      <c r="O646" s="171" t="s">
        <v>265</v>
      </c>
    </row>
    <row r="647" spans="1:15" x14ac:dyDescent="0.3">
      <c r="A647" s="115" t="s">
        <v>291</v>
      </c>
      <c r="B647" s="116" t="s">
        <v>44</v>
      </c>
      <c r="C647" s="117" t="s">
        <v>254</v>
      </c>
      <c r="D647" s="117" t="s">
        <v>39</v>
      </c>
      <c r="E647" s="117" t="s">
        <v>45</v>
      </c>
      <c r="F647" s="117" t="s">
        <v>34</v>
      </c>
      <c r="G647" s="117" t="s">
        <v>29</v>
      </c>
      <c r="H647" s="118">
        <v>45629</v>
      </c>
      <c r="I647" s="135">
        <v>58</v>
      </c>
      <c r="J647" s="140">
        <v>200</v>
      </c>
      <c r="K647" s="148">
        <v>0.03</v>
      </c>
      <c r="L647" s="166" t="s">
        <v>36</v>
      </c>
      <c r="M647" s="156">
        <v>11600</v>
      </c>
      <c r="N647" s="156">
        <v>11252</v>
      </c>
      <c r="O647" s="169" t="s">
        <v>265</v>
      </c>
    </row>
    <row r="648" spans="1:15" x14ac:dyDescent="0.3">
      <c r="A648" s="115" t="s">
        <v>292</v>
      </c>
      <c r="B648" s="119" t="s">
        <v>63</v>
      </c>
      <c r="C648" s="120" t="s">
        <v>253</v>
      </c>
      <c r="D648" s="120" t="s">
        <v>50</v>
      </c>
      <c r="E648" s="120" t="s">
        <v>40</v>
      </c>
      <c r="F648" s="120" t="s">
        <v>28</v>
      </c>
      <c r="G648" s="120" t="s">
        <v>29</v>
      </c>
      <c r="H648" s="121">
        <v>45665</v>
      </c>
      <c r="I648" s="136">
        <v>317</v>
      </c>
      <c r="J648" s="141">
        <v>750</v>
      </c>
      <c r="K648" s="149">
        <v>7.0000000000000007E-2</v>
      </c>
      <c r="L648" s="120" t="s">
        <v>36</v>
      </c>
      <c r="M648" s="157">
        <v>237750</v>
      </c>
      <c r="N648" s="157">
        <v>221107.5</v>
      </c>
      <c r="O648" s="170" t="s">
        <v>267</v>
      </c>
    </row>
    <row r="649" spans="1:15" x14ac:dyDescent="0.3">
      <c r="A649" s="115" t="s">
        <v>293</v>
      </c>
      <c r="B649" s="112" t="s">
        <v>44</v>
      </c>
      <c r="C649" s="113" t="s">
        <v>254</v>
      </c>
      <c r="D649" s="113" t="s">
        <v>39</v>
      </c>
      <c r="E649" s="113" t="s">
        <v>33</v>
      </c>
      <c r="F649" s="113" t="s">
        <v>28</v>
      </c>
      <c r="G649" s="113" t="s">
        <v>42</v>
      </c>
      <c r="H649" s="114">
        <v>45646</v>
      </c>
      <c r="I649" s="134">
        <v>41</v>
      </c>
      <c r="J649" s="139">
        <v>200</v>
      </c>
      <c r="K649" s="147">
        <v>0.03</v>
      </c>
      <c r="L649" s="165" t="s">
        <v>36</v>
      </c>
      <c r="M649" s="155">
        <v>8200</v>
      </c>
      <c r="N649" s="155">
        <v>7954</v>
      </c>
      <c r="O649" s="168" t="s">
        <v>265</v>
      </c>
    </row>
    <row r="650" spans="1:15" x14ac:dyDescent="0.3">
      <c r="A650" s="115" t="s">
        <v>294</v>
      </c>
      <c r="B650" s="122" t="s">
        <v>61</v>
      </c>
      <c r="C650" s="123" t="s">
        <v>244</v>
      </c>
      <c r="D650" s="123" t="s">
        <v>26</v>
      </c>
      <c r="E650" s="123" t="s">
        <v>51</v>
      </c>
      <c r="F650" s="123" t="s">
        <v>34</v>
      </c>
      <c r="G650" s="123" t="s">
        <v>29</v>
      </c>
      <c r="H650" s="124">
        <v>45666</v>
      </c>
      <c r="I650" s="137">
        <v>427</v>
      </c>
      <c r="J650" s="142">
        <v>280</v>
      </c>
      <c r="K650" s="150">
        <v>0</v>
      </c>
      <c r="L650" s="123" t="s">
        <v>36</v>
      </c>
      <c r="M650" s="158">
        <v>119560</v>
      </c>
      <c r="N650" s="158">
        <v>119560</v>
      </c>
      <c r="O650" s="171" t="s">
        <v>267</v>
      </c>
    </row>
    <row r="651" spans="1:15" x14ac:dyDescent="0.3">
      <c r="A651" s="115" t="s">
        <v>295</v>
      </c>
      <c r="B651" s="116" t="s">
        <v>16</v>
      </c>
      <c r="C651" s="117" t="s">
        <v>250</v>
      </c>
      <c r="D651" s="117" t="s">
        <v>39</v>
      </c>
      <c r="E651" s="117" t="s">
        <v>33</v>
      </c>
      <c r="F651" s="117" t="s">
        <v>41</v>
      </c>
      <c r="G651" s="117" t="s">
        <v>53</v>
      </c>
      <c r="H651" s="118">
        <v>45636</v>
      </c>
      <c r="I651" s="135">
        <v>16</v>
      </c>
      <c r="J651" s="140">
        <v>990</v>
      </c>
      <c r="K651" s="148">
        <v>0.05</v>
      </c>
      <c r="L651" s="166" t="s">
        <v>36</v>
      </c>
      <c r="M651" s="156">
        <v>15840</v>
      </c>
      <c r="N651" s="156">
        <v>15048</v>
      </c>
      <c r="O651" s="169" t="s">
        <v>265</v>
      </c>
    </row>
    <row r="652" spans="1:15" x14ac:dyDescent="0.3">
      <c r="A652" s="115" t="s">
        <v>296</v>
      </c>
      <c r="B652" s="119" t="s">
        <v>16</v>
      </c>
      <c r="C652" s="120" t="s">
        <v>250</v>
      </c>
      <c r="D652" s="120" t="s">
        <v>39</v>
      </c>
      <c r="E652" s="120" t="s">
        <v>51</v>
      </c>
      <c r="F652" s="120" t="s">
        <v>34</v>
      </c>
      <c r="G652" s="120" t="s">
        <v>29</v>
      </c>
      <c r="H652" s="121">
        <v>45666</v>
      </c>
      <c r="I652" s="136">
        <v>223</v>
      </c>
      <c r="J652" s="141">
        <v>990</v>
      </c>
      <c r="K652" s="149">
        <v>0.08</v>
      </c>
      <c r="L652" s="120" t="s">
        <v>30</v>
      </c>
      <c r="M652" s="157">
        <v>220770</v>
      </c>
      <c r="N652" s="157">
        <v>203108.4</v>
      </c>
      <c r="O652" s="170" t="s">
        <v>267</v>
      </c>
    </row>
    <row r="653" spans="1:15" x14ac:dyDescent="0.3">
      <c r="A653" s="115" t="s">
        <v>297</v>
      </c>
      <c r="B653" s="112" t="s">
        <v>63</v>
      </c>
      <c r="C653" s="113" t="s">
        <v>253</v>
      </c>
      <c r="D653" s="113" t="s">
        <v>50</v>
      </c>
      <c r="E653" s="113" t="s">
        <v>45</v>
      </c>
      <c r="F653" s="113" t="s">
        <v>52</v>
      </c>
      <c r="G653" s="113" t="s">
        <v>56</v>
      </c>
      <c r="H653" s="114">
        <v>45648</v>
      </c>
      <c r="I653" s="134">
        <v>17</v>
      </c>
      <c r="J653" s="139">
        <v>750</v>
      </c>
      <c r="K653" s="147">
        <v>0</v>
      </c>
      <c r="L653" s="165" t="s">
        <v>36</v>
      </c>
      <c r="M653" s="155">
        <v>12750</v>
      </c>
      <c r="N653" s="155">
        <v>12750</v>
      </c>
      <c r="O653" s="168" t="s">
        <v>265</v>
      </c>
    </row>
    <row r="654" spans="1:15" x14ac:dyDescent="0.3">
      <c r="A654" s="115" t="s">
        <v>298</v>
      </c>
      <c r="B654" s="122" t="s">
        <v>61</v>
      </c>
      <c r="C654" s="123" t="s">
        <v>244</v>
      </c>
      <c r="D654" s="123" t="s">
        <v>26</v>
      </c>
      <c r="E654" s="123" t="s">
        <v>40</v>
      </c>
      <c r="F654" s="123" t="s">
        <v>41</v>
      </c>
      <c r="G654" s="123" t="s">
        <v>35</v>
      </c>
      <c r="H654" s="124">
        <v>45666</v>
      </c>
      <c r="I654" s="137">
        <v>353</v>
      </c>
      <c r="J654" s="142">
        <v>280</v>
      </c>
      <c r="K654" s="150">
        <v>0</v>
      </c>
      <c r="L654" s="123" t="s">
        <v>30</v>
      </c>
      <c r="M654" s="158">
        <v>98840</v>
      </c>
      <c r="N654" s="158">
        <v>98840</v>
      </c>
      <c r="O654" s="171" t="s">
        <v>265</v>
      </c>
    </row>
    <row r="655" spans="1:15" x14ac:dyDescent="0.3">
      <c r="A655" s="115" t="s">
        <v>299</v>
      </c>
      <c r="B655" s="116" t="s">
        <v>55</v>
      </c>
      <c r="C655" s="117" t="s">
        <v>249</v>
      </c>
      <c r="D655" s="117" t="s">
        <v>39</v>
      </c>
      <c r="E655" s="117" t="s">
        <v>33</v>
      </c>
      <c r="F655" s="117" t="s">
        <v>28</v>
      </c>
      <c r="G655" s="117" t="s">
        <v>29</v>
      </c>
      <c r="H655" s="118">
        <v>45633</v>
      </c>
      <c r="I655" s="135">
        <v>30</v>
      </c>
      <c r="J655" s="140">
        <v>650</v>
      </c>
      <c r="K655" s="148">
        <v>0</v>
      </c>
      <c r="L655" s="166" t="s">
        <v>36</v>
      </c>
      <c r="M655" s="156">
        <v>19500</v>
      </c>
      <c r="N655" s="156">
        <v>19500</v>
      </c>
      <c r="O655" s="169" t="s">
        <v>265</v>
      </c>
    </row>
    <row r="656" spans="1:15" x14ac:dyDescent="0.3">
      <c r="A656" s="115" t="s">
        <v>300</v>
      </c>
      <c r="B656" s="119" t="s">
        <v>61</v>
      </c>
      <c r="C656" s="120" t="s">
        <v>244</v>
      </c>
      <c r="D656" s="120" t="s">
        <v>26</v>
      </c>
      <c r="E656" s="120" t="s">
        <v>40</v>
      </c>
      <c r="F656" s="120" t="s">
        <v>28</v>
      </c>
      <c r="G656" s="120" t="s">
        <v>35</v>
      </c>
      <c r="H656" s="121">
        <v>45668</v>
      </c>
      <c r="I656" s="136">
        <v>415</v>
      </c>
      <c r="J656" s="141">
        <v>280</v>
      </c>
      <c r="K656" s="149">
        <v>0.03</v>
      </c>
      <c r="L656" s="120" t="s">
        <v>36</v>
      </c>
      <c r="M656" s="157">
        <v>116200</v>
      </c>
      <c r="N656" s="157">
        <v>112714</v>
      </c>
      <c r="O656" s="170" t="s">
        <v>267</v>
      </c>
    </row>
    <row r="657" spans="1:15" x14ac:dyDescent="0.3">
      <c r="A657" s="115" t="s">
        <v>301</v>
      </c>
      <c r="B657" s="23" t="s">
        <v>63</v>
      </c>
      <c r="C657" s="29" t="s">
        <v>253</v>
      </c>
      <c r="D657" s="29" t="s">
        <v>50</v>
      </c>
      <c r="E657" s="29" t="s">
        <v>27</v>
      </c>
      <c r="F657" s="29" t="s">
        <v>34</v>
      </c>
      <c r="G657" s="29" t="s">
        <v>29</v>
      </c>
      <c r="H657" s="38">
        <v>45651</v>
      </c>
      <c r="I657" s="78">
        <v>22</v>
      </c>
      <c r="J657" s="90">
        <v>750</v>
      </c>
      <c r="K657" s="83">
        <v>0.12</v>
      </c>
      <c r="L657" s="88" t="s">
        <v>30</v>
      </c>
      <c r="M657" s="159">
        <v>16500</v>
      </c>
      <c r="N657" s="159">
        <v>14520</v>
      </c>
      <c r="O657" s="88" t="s">
        <v>265</v>
      </c>
    </row>
    <row r="658" spans="1:15" x14ac:dyDescent="0.3">
      <c r="A658" s="115" t="s">
        <v>302</v>
      </c>
      <c r="B658" s="11" t="s">
        <v>38</v>
      </c>
      <c r="C658" s="30" t="s">
        <v>247</v>
      </c>
      <c r="D658" s="30" t="s">
        <v>39</v>
      </c>
      <c r="E658" s="30" t="s">
        <v>33</v>
      </c>
      <c r="F658" s="30" t="s">
        <v>28</v>
      </c>
      <c r="G658" s="30" t="s">
        <v>53</v>
      </c>
      <c r="H658" s="39">
        <v>45668</v>
      </c>
      <c r="I658" s="79">
        <v>375</v>
      </c>
      <c r="J658" s="91">
        <v>1200</v>
      </c>
      <c r="K658" s="84">
        <v>0.14000000000000001</v>
      </c>
      <c r="L658" s="30" t="s">
        <v>30</v>
      </c>
      <c r="M658" s="160">
        <v>450000</v>
      </c>
      <c r="N658" s="160">
        <v>387000</v>
      </c>
      <c r="O658" s="30" t="s">
        <v>277</v>
      </c>
    </row>
    <row r="659" spans="1:15" x14ac:dyDescent="0.3">
      <c r="A659" s="115" t="s">
        <v>303</v>
      </c>
      <c r="B659" s="24" t="s">
        <v>44</v>
      </c>
      <c r="C659" s="31" t="s">
        <v>254</v>
      </c>
      <c r="D659" s="31" t="s">
        <v>39</v>
      </c>
      <c r="E659" s="31" t="s">
        <v>40</v>
      </c>
      <c r="F659" s="31" t="s">
        <v>28</v>
      </c>
      <c r="G659" s="31" t="s">
        <v>47</v>
      </c>
      <c r="H659" s="40">
        <v>45649</v>
      </c>
      <c r="I659" s="80">
        <v>60</v>
      </c>
      <c r="J659" s="92">
        <v>200</v>
      </c>
      <c r="K659" s="85">
        <v>0.05</v>
      </c>
      <c r="L659" s="89" t="s">
        <v>30</v>
      </c>
      <c r="M659" s="161">
        <v>12000</v>
      </c>
      <c r="N659" s="161">
        <v>11400</v>
      </c>
      <c r="O659" s="89" t="s">
        <v>265</v>
      </c>
    </row>
    <row r="660" spans="1:15" x14ac:dyDescent="0.3">
      <c r="A660" s="115" t="s">
        <v>304</v>
      </c>
      <c r="B660" s="10" t="s">
        <v>32</v>
      </c>
      <c r="C660" s="32" t="s">
        <v>246</v>
      </c>
      <c r="D660" s="32" t="s">
        <v>26</v>
      </c>
      <c r="E660" s="32" t="s">
        <v>51</v>
      </c>
      <c r="F660" s="32" t="s">
        <v>41</v>
      </c>
      <c r="G660" s="32" t="s">
        <v>42</v>
      </c>
      <c r="H660" s="41">
        <v>45668</v>
      </c>
      <c r="I660" s="81">
        <v>181</v>
      </c>
      <c r="J660" s="93">
        <v>420</v>
      </c>
      <c r="K660" s="86">
        <v>0</v>
      </c>
      <c r="L660" s="32" t="s">
        <v>36</v>
      </c>
      <c r="M660" s="162">
        <v>76020</v>
      </c>
      <c r="N660" s="162">
        <v>76020</v>
      </c>
      <c r="O660" s="32" t="s">
        <v>265</v>
      </c>
    </row>
    <row r="661" spans="1:15" x14ac:dyDescent="0.3">
      <c r="A661" s="115" t="s">
        <v>305</v>
      </c>
      <c r="B661" s="23" t="s">
        <v>49</v>
      </c>
      <c r="C661" s="29" t="s">
        <v>251</v>
      </c>
      <c r="D661" s="29" t="s">
        <v>50</v>
      </c>
      <c r="E661" s="29" t="s">
        <v>33</v>
      </c>
      <c r="F661" s="29" t="s">
        <v>52</v>
      </c>
      <c r="G661" s="29" t="s">
        <v>56</v>
      </c>
      <c r="H661" s="38">
        <v>45639</v>
      </c>
      <c r="I661" s="78">
        <v>25</v>
      </c>
      <c r="J661" s="90">
        <v>895</v>
      </c>
      <c r="K661" s="83">
        <v>7.0000000000000007E-2</v>
      </c>
      <c r="L661" s="88" t="s">
        <v>36</v>
      </c>
      <c r="M661" s="159">
        <v>22375</v>
      </c>
      <c r="N661" s="159">
        <v>20808.75</v>
      </c>
      <c r="O661" s="88" t="s">
        <v>265</v>
      </c>
    </row>
    <row r="662" spans="1:15" x14ac:dyDescent="0.3">
      <c r="A662" s="115" t="s">
        <v>306</v>
      </c>
      <c r="B662" s="11" t="s">
        <v>61</v>
      </c>
      <c r="C662" s="30" t="s">
        <v>244</v>
      </c>
      <c r="D662" s="30" t="s">
        <v>26</v>
      </c>
      <c r="E662" s="30" t="s">
        <v>40</v>
      </c>
      <c r="F662" s="30" t="s">
        <v>46</v>
      </c>
      <c r="G662" s="30" t="s">
        <v>29</v>
      </c>
      <c r="H662" s="39">
        <v>45669</v>
      </c>
      <c r="I662" s="79">
        <v>211</v>
      </c>
      <c r="J662" s="91">
        <v>280</v>
      </c>
      <c r="K662" s="84">
        <v>0.08</v>
      </c>
      <c r="L662" s="30" t="s">
        <v>36</v>
      </c>
      <c r="M662" s="160">
        <v>59080</v>
      </c>
      <c r="N662" s="160">
        <v>54353.599999999999</v>
      </c>
      <c r="O662" s="30" t="s">
        <v>265</v>
      </c>
    </row>
    <row r="663" spans="1:15" x14ac:dyDescent="0.3">
      <c r="A663" s="115" t="s">
        <v>307</v>
      </c>
      <c r="B663" s="24" t="s">
        <v>32</v>
      </c>
      <c r="C663" s="31" t="s">
        <v>246</v>
      </c>
      <c r="D663" s="31" t="s">
        <v>26</v>
      </c>
      <c r="E663" s="31" t="s">
        <v>51</v>
      </c>
      <c r="F663" s="31" t="s">
        <v>28</v>
      </c>
      <c r="G663" s="31" t="s">
        <v>35</v>
      </c>
      <c r="H663" s="40">
        <v>45649</v>
      </c>
      <c r="I663" s="80">
        <v>31</v>
      </c>
      <c r="J663" s="92">
        <v>420</v>
      </c>
      <c r="K663" s="85">
        <v>0</v>
      </c>
      <c r="L663" s="89" t="s">
        <v>36</v>
      </c>
      <c r="M663" s="161">
        <v>13020</v>
      </c>
      <c r="N663" s="161">
        <v>13020</v>
      </c>
      <c r="O663" s="89" t="s">
        <v>265</v>
      </c>
    </row>
    <row r="664" spans="1:15" x14ac:dyDescent="0.3">
      <c r="A664" s="115" t="s">
        <v>308</v>
      </c>
      <c r="B664" s="10" t="s">
        <v>44</v>
      </c>
      <c r="C664" s="32" t="s">
        <v>254</v>
      </c>
      <c r="D664" s="32" t="s">
        <v>39</v>
      </c>
      <c r="E664" s="32" t="s">
        <v>45</v>
      </c>
      <c r="F664" s="32" t="s">
        <v>28</v>
      </c>
      <c r="G664" s="32" t="s">
        <v>35</v>
      </c>
      <c r="H664" s="41">
        <v>45669</v>
      </c>
      <c r="I664" s="81">
        <v>274</v>
      </c>
      <c r="J664" s="93">
        <v>200</v>
      </c>
      <c r="K664" s="86">
        <v>0.13</v>
      </c>
      <c r="L664" s="32" t="s">
        <v>36</v>
      </c>
      <c r="M664" s="162">
        <v>54800</v>
      </c>
      <c r="N664" s="162">
        <v>47676</v>
      </c>
      <c r="O664" s="32" t="s">
        <v>265</v>
      </c>
    </row>
    <row r="665" spans="1:15" x14ac:dyDescent="0.3">
      <c r="A665" s="115" t="s">
        <v>309</v>
      </c>
      <c r="B665" s="23" t="s">
        <v>16</v>
      </c>
      <c r="C665" s="29" t="s">
        <v>250</v>
      </c>
      <c r="D665" s="29" t="s">
        <v>39</v>
      </c>
      <c r="E665" s="29" t="s">
        <v>51</v>
      </c>
      <c r="F665" s="29" t="s">
        <v>34</v>
      </c>
      <c r="G665" s="29" t="s">
        <v>47</v>
      </c>
      <c r="H665" s="38">
        <v>45633</v>
      </c>
      <c r="I665" s="78">
        <v>45</v>
      </c>
      <c r="J665" s="90">
        <v>990</v>
      </c>
      <c r="K665" s="83">
        <v>0.1</v>
      </c>
      <c r="L665" s="88" t="s">
        <v>30</v>
      </c>
      <c r="M665" s="159">
        <v>44550</v>
      </c>
      <c r="N665" s="159">
        <v>40095</v>
      </c>
      <c r="O665" s="88" t="s">
        <v>265</v>
      </c>
    </row>
    <row r="666" spans="1:15" x14ac:dyDescent="0.3">
      <c r="A666" s="115" t="s">
        <v>310</v>
      </c>
      <c r="B666" s="11" t="s">
        <v>61</v>
      </c>
      <c r="C666" s="30" t="s">
        <v>244</v>
      </c>
      <c r="D666" s="30" t="s">
        <v>26</v>
      </c>
      <c r="E666" s="30" t="s">
        <v>45</v>
      </c>
      <c r="F666" s="30" t="s">
        <v>41</v>
      </c>
      <c r="G666" s="30" t="s">
        <v>29</v>
      </c>
      <c r="H666" s="39">
        <v>45669</v>
      </c>
      <c r="I666" s="79">
        <v>274</v>
      </c>
      <c r="J666" s="91">
        <v>280</v>
      </c>
      <c r="K666" s="84">
        <v>7.0000000000000007E-2</v>
      </c>
      <c r="L666" s="30" t="s">
        <v>36</v>
      </c>
      <c r="M666" s="160">
        <v>76720</v>
      </c>
      <c r="N666" s="160">
        <v>71349.600000000006</v>
      </c>
      <c r="O666" s="30" t="s">
        <v>265</v>
      </c>
    </row>
    <row r="667" spans="1:15" x14ac:dyDescent="0.3">
      <c r="A667" s="115" t="s">
        <v>311</v>
      </c>
      <c r="B667" s="24" t="s">
        <v>25</v>
      </c>
      <c r="C667" s="31" t="s">
        <v>257</v>
      </c>
      <c r="D667" s="31" t="s">
        <v>26</v>
      </c>
      <c r="E667" s="31" t="s">
        <v>33</v>
      </c>
      <c r="F667" s="31" t="s">
        <v>46</v>
      </c>
      <c r="G667" s="31" t="s">
        <v>47</v>
      </c>
      <c r="H667" s="40">
        <v>45648</v>
      </c>
      <c r="I667" s="80">
        <v>13</v>
      </c>
      <c r="J667" s="92">
        <v>350</v>
      </c>
      <c r="K667" s="85">
        <v>0.05</v>
      </c>
      <c r="L667" s="89" t="s">
        <v>36</v>
      </c>
      <c r="M667" s="161">
        <v>4550</v>
      </c>
      <c r="N667" s="161">
        <v>4322.5</v>
      </c>
      <c r="O667" s="89" t="s">
        <v>265</v>
      </c>
    </row>
    <row r="668" spans="1:15" x14ac:dyDescent="0.3">
      <c r="A668" s="115" t="s">
        <v>312</v>
      </c>
      <c r="B668" s="10" t="s">
        <v>55</v>
      </c>
      <c r="C668" s="32" t="s">
        <v>249</v>
      </c>
      <c r="D668" s="32" t="s">
        <v>39</v>
      </c>
      <c r="E668" s="32" t="s">
        <v>33</v>
      </c>
      <c r="F668" s="32" t="s">
        <v>28</v>
      </c>
      <c r="G668" s="32" t="s">
        <v>53</v>
      </c>
      <c r="H668" s="41">
        <v>45670</v>
      </c>
      <c r="I668" s="81">
        <v>391</v>
      </c>
      <c r="J668" s="93">
        <v>650</v>
      </c>
      <c r="K668" s="86">
        <v>0</v>
      </c>
      <c r="L668" s="32" t="s">
        <v>36</v>
      </c>
      <c r="M668" s="162">
        <v>254150</v>
      </c>
      <c r="N668" s="162">
        <v>254150</v>
      </c>
      <c r="O668" s="32" t="s">
        <v>267</v>
      </c>
    </row>
    <row r="669" spans="1:15" x14ac:dyDescent="0.3">
      <c r="A669" s="115" t="s">
        <v>313</v>
      </c>
      <c r="B669" s="23" t="s">
        <v>38</v>
      </c>
      <c r="C669" s="29" t="s">
        <v>247</v>
      </c>
      <c r="D669" s="29" t="s">
        <v>39</v>
      </c>
      <c r="E669" s="29" t="s">
        <v>27</v>
      </c>
      <c r="F669" s="29" t="s">
        <v>41</v>
      </c>
      <c r="G669" s="29" t="s">
        <v>56</v>
      </c>
      <c r="H669" s="38">
        <v>45649</v>
      </c>
      <c r="I669" s="78">
        <v>35</v>
      </c>
      <c r="J669" s="90">
        <v>1200</v>
      </c>
      <c r="K669" s="83">
        <v>0</v>
      </c>
      <c r="L669" s="88" t="s">
        <v>30</v>
      </c>
      <c r="M669" s="159">
        <v>42000</v>
      </c>
      <c r="N669" s="159">
        <v>42000</v>
      </c>
      <c r="O669" s="88" t="s">
        <v>265</v>
      </c>
    </row>
    <row r="670" spans="1:15" x14ac:dyDescent="0.3">
      <c r="A670" s="115" t="s">
        <v>314</v>
      </c>
      <c r="B670" s="11" t="s">
        <v>44</v>
      </c>
      <c r="C670" s="30" t="s">
        <v>254</v>
      </c>
      <c r="D670" s="30" t="s">
        <v>39</v>
      </c>
      <c r="E670" s="30" t="s">
        <v>27</v>
      </c>
      <c r="F670" s="30" t="s">
        <v>41</v>
      </c>
      <c r="G670" s="30" t="s">
        <v>35</v>
      </c>
      <c r="H670" s="39">
        <v>45671</v>
      </c>
      <c r="I670" s="79">
        <v>416</v>
      </c>
      <c r="J670" s="91">
        <v>200</v>
      </c>
      <c r="K670" s="84">
        <v>0.08</v>
      </c>
      <c r="L670" s="30" t="s">
        <v>30</v>
      </c>
      <c r="M670" s="160">
        <v>83200</v>
      </c>
      <c r="N670" s="160">
        <v>76544</v>
      </c>
      <c r="O670" s="30" t="s">
        <v>265</v>
      </c>
    </row>
    <row r="671" spans="1:15" x14ac:dyDescent="0.3">
      <c r="A671" s="115" t="s">
        <v>315</v>
      </c>
      <c r="B671" s="24" t="s">
        <v>49</v>
      </c>
      <c r="C671" s="31" t="s">
        <v>251</v>
      </c>
      <c r="D671" s="31" t="s">
        <v>50</v>
      </c>
      <c r="E671" s="31" t="s">
        <v>51</v>
      </c>
      <c r="F671" s="31" t="s">
        <v>46</v>
      </c>
      <c r="G671" s="31" t="s">
        <v>56</v>
      </c>
      <c r="H671" s="40">
        <v>45629</v>
      </c>
      <c r="I671" s="80">
        <v>36</v>
      </c>
      <c r="J671" s="92">
        <v>895</v>
      </c>
      <c r="K671" s="85">
        <v>0.03</v>
      </c>
      <c r="L671" s="89" t="s">
        <v>36</v>
      </c>
      <c r="M671" s="161">
        <v>32220</v>
      </c>
      <c r="N671" s="161">
        <v>31253.4</v>
      </c>
      <c r="O671" s="89" t="s">
        <v>265</v>
      </c>
    </row>
    <row r="672" spans="1:15" x14ac:dyDescent="0.3">
      <c r="A672" s="115" t="s">
        <v>316</v>
      </c>
      <c r="B672" s="10" t="s">
        <v>32</v>
      </c>
      <c r="C672" s="32" t="s">
        <v>246</v>
      </c>
      <c r="D672" s="32" t="s">
        <v>26</v>
      </c>
      <c r="E672" s="32" t="s">
        <v>45</v>
      </c>
      <c r="F672" s="32" t="s">
        <v>34</v>
      </c>
      <c r="G672" s="32" t="s">
        <v>53</v>
      </c>
      <c r="H672" s="41">
        <v>45672</v>
      </c>
      <c r="I672" s="81">
        <v>432</v>
      </c>
      <c r="J672" s="93">
        <v>420</v>
      </c>
      <c r="K672" s="86">
        <v>0</v>
      </c>
      <c r="L672" s="32" t="s">
        <v>36</v>
      </c>
      <c r="M672" s="162">
        <v>181440</v>
      </c>
      <c r="N672" s="162">
        <v>181440</v>
      </c>
      <c r="O672" s="32" t="s">
        <v>267</v>
      </c>
    </row>
    <row r="673" spans="1:15" x14ac:dyDescent="0.3">
      <c r="A673" s="115" t="s">
        <v>317</v>
      </c>
      <c r="B673" s="23" t="s">
        <v>25</v>
      </c>
      <c r="C673" s="29" t="s">
        <v>257</v>
      </c>
      <c r="D673" s="29" t="s">
        <v>26</v>
      </c>
      <c r="E673" s="29" t="s">
        <v>33</v>
      </c>
      <c r="F673" s="29" t="s">
        <v>46</v>
      </c>
      <c r="G673" s="29" t="s">
        <v>35</v>
      </c>
      <c r="H673" s="38">
        <v>45628</v>
      </c>
      <c r="I673" s="78">
        <v>17</v>
      </c>
      <c r="J673" s="90">
        <v>350</v>
      </c>
      <c r="K673" s="83">
        <v>0</v>
      </c>
      <c r="L673" s="88" t="s">
        <v>30</v>
      </c>
      <c r="M673" s="159">
        <v>5950</v>
      </c>
      <c r="N673" s="159">
        <v>5950</v>
      </c>
      <c r="O673" s="88" t="s">
        <v>265</v>
      </c>
    </row>
    <row r="674" spans="1:15" x14ac:dyDescent="0.3">
      <c r="A674" s="115" t="s">
        <v>318</v>
      </c>
      <c r="B674" s="11" t="s">
        <v>61</v>
      </c>
      <c r="C674" s="30" t="s">
        <v>244</v>
      </c>
      <c r="D674" s="30" t="s">
        <v>26</v>
      </c>
      <c r="E674" s="30" t="s">
        <v>27</v>
      </c>
      <c r="F674" s="30" t="s">
        <v>34</v>
      </c>
      <c r="G674" s="30" t="s">
        <v>53</v>
      </c>
      <c r="H674" s="39">
        <v>45672</v>
      </c>
      <c r="I674" s="79">
        <v>458</v>
      </c>
      <c r="J674" s="91">
        <v>280</v>
      </c>
      <c r="K674" s="84">
        <v>0.08</v>
      </c>
      <c r="L674" s="30" t="s">
        <v>36</v>
      </c>
      <c r="M674" s="160">
        <v>128240</v>
      </c>
      <c r="N674" s="160">
        <v>117980.8</v>
      </c>
      <c r="O674" s="30" t="s">
        <v>267</v>
      </c>
    </row>
    <row r="675" spans="1:15" x14ac:dyDescent="0.3">
      <c r="A675" s="115" t="s">
        <v>319</v>
      </c>
      <c r="B675" s="24" t="s">
        <v>32</v>
      </c>
      <c r="C675" s="31" t="s">
        <v>246</v>
      </c>
      <c r="D675" s="31" t="s">
        <v>26</v>
      </c>
      <c r="E675" s="31" t="s">
        <v>27</v>
      </c>
      <c r="F675" s="31" t="s">
        <v>46</v>
      </c>
      <c r="G675" s="31" t="s">
        <v>53</v>
      </c>
      <c r="H675" s="40">
        <v>45654</v>
      </c>
      <c r="I675" s="80">
        <v>24</v>
      </c>
      <c r="J675" s="92">
        <v>420</v>
      </c>
      <c r="K675" s="85">
        <v>0</v>
      </c>
      <c r="L675" s="89" t="s">
        <v>36</v>
      </c>
      <c r="M675" s="161">
        <v>10080</v>
      </c>
      <c r="N675" s="161">
        <v>10080</v>
      </c>
      <c r="O675" s="89" t="s">
        <v>265</v>
      </c>
    </row>
    <row r="676" spans="1:15" x14ac:dyDescent="0.3">
      <c r="A676" s="115" t="s">
        <v>320</v>
      </c>
      <c r="B676" s="10" t="s">
        <v>55</v>
      </c>
      <c r="C676" s="32" t="s">
        <v>249</v>
      </c>
      <c r="D676" s="32" t="s">
        <v>39</v>
      </c>
      <c r="E676" s="32" t="s">
        <v>45</v>
      </c>
      <c r="F676" s="32" t="s">
        <v>34</v>
      </c>
      <c r="G676" s="32" t="s">
        <v>29</v>
      </c>
      <c r="H676" s="41">
        <v>45673</v>
      </c>
      <c r="I676" s="81">
        <v>428</v>
      </c>
      <c r="J676" s="93">
        <v>650</v>
      </c>
      <c r="K676" s="86">
        <v>0</v>
      </c>
      <c r="L676" s="32" t="s">
        <v>36</v>
      </c>
      <c r="M676" s="162">
        <v>278200</v>
      </c>
      <c r="N676" s="162">
        <v>278200</v>
      </c>
      <c r="O676" s="32" t="s">
        <v>267</v>
      </c>
    </row>
    <row r="677" spans="1:15" x14ac:dyDescent="0.3">
      <c r="A677" s="115" t="s">
        <v>321</v>
      </c>
      <c r="B677" s="23" t="s">
        <v>25</v>
      </c>
      <c r="C677" s="29" t="s">
        <v>257</v>
      </c>
      <c r="D677" s="29" t="s">
        <v>26</v>
      </c>
      <c r="E677" s="29" t="s">
        <v>33</v>
      </c>
      <c r="F677" s="29" t="s">
        <v>52</v>
      </c>
      <c r="G677" s="29" t="s">
        <v>47</v>
      </c>
      <c r="H677" s="38">
        <v>45633</v>
      </c>
      <c r="I677" s="78">
        <v>41</v>
      </c>
      <c r="J677" s="90">
        <v>350</v>
      </c>
      <c r="K677" s="83">
        <v>0.03</v>
      </c>
      <c r="L677" s="88" t="s">
        <v>36</v>
      </c>
      <c r="M677" s="159">
        <v>14350</v>
      </c>
      <c r="N677" s="159">
        <v>13919.5</v>
      </c>
      <c r="O677" s="88" t="s">
        <v>265</v>
      </c>
    </row>
    <row r="678" spans="1:15" x14ac:dyDescent="0.3">
      <c r="A678" s="115" t="s">
        <v>322</v>
      </c>
      <c r="B678" s="11" t="s">
        <v>61</v>
      </c>
      <c r="C678" s="30" t="s">
        <v>244</v>
      </c>
      <c r="D678" s="30" t="s">
        <v>26</v>
      </c>
      <c r="E678" s="30" t="s">
        <v>51</v>
      </c>
      <c r="F678" s="30" t="s">
        <v>46</v>
      </c>
      <c r="G678" s="30" t="s">
        <v>56</v>
      </c>
      <c r="H678" s="39">
        <v>45673</v>
      </c>
      <c r="I678" s="79">
        <v>109</v>
      </c>
      <c r="J678" s="91">
        <v>280</v>
      </c>
      <c r="K678" s="84">
        <v>0.08</v>
      </c>
      <c r="L678" s="30" t="s">
        <v>30</v>
      </c>
      <c r="M678" s="160">
        <v>30520</v>
      </c>
      <c r="N678" s="160">
        <v>28078.400000000001</v>
      </c>
      <c r="O678" s="30" t="s">
        <v>265</v>
      </c>
    </row>
    <row r="679" spans="1:15" x14ac:dyDescent="0.3">
      <c r="A679" s="115" t="s">
        <v>323</v>
      </c>
      <c r="B679" s="24" t="s">
        <v>25</v>
      </c>
      <c r="C679" s="31" t="s">
        <v>257</v>
      </c>
      <c r="D679" s="31" t="s">
        <v>26</v>
      </c>
      <c r="E679" s="31" t="s">
        <v>33</v>
      </c>
      <c r="F679" s="31" t="s">
        <v>41</v>
      </c>
      <c r="G679" s="31" t="s">
        <v>56</v>
      </c>
      <c r="H679" s="40">
        <v>45641</v>
      </c>
      <c r="I679" s="80">
        <v>10</v>
      </c>
      <c r="J679" s="92">
        <v>350</v>
      </c>
      <c r="K679" s="85">
        <v>7.0000000000000007E-2</v>
      </c>
      <c r="L679" s="89" t="s">
        <v>30</v>
      </c>
      <c r="M679" s="161">
        <v>3500</v>
      </c>
      <c r="N679" s="161">
        <v>3255</v>
      </c>
      <c r="O679" s="89" t="s">
        <v>265</v>
      </c>
    </row>
    <row r="680" spans="1:15" x14ac:dyDescent="0.3">
      <c r="A680" s="115" t="s">
        <v>324</v>
      </c>
      <c r="B680" s="10" t="s">
        <v>55</v>
      </c>
      <c r="C680" s="32" t="s">
        <v>249</v>
      </c>
      <c r="D680" s="32" t="s">
        <v>39</v>
      </c>
      <c r="E680" s="32" t="s">
        <v>45</v>
      </c>
      <c r="F680" s="32" t="s">
        <v>46</v>
      </c>
      <c r="G680" s="32" t="s">
        <v>35</v>
      </c>
      <c r="H680" s="41">
        <v>45674</v>
      </c>
      <c r="I680" s="81">
        <v>149</v>
      </c>
      <c r="J680" s="93">
        <v>650</v>
      </c>
      <c r="K680" s="86">
        <v>0.15</v>
      </c>
      <c r="L680" s="32" t="s">
        <v>30</v>
      </c>
      <c r="M680" s="162">
        <v>96850</v>
      </c>
      <c r="N680" s="162">
        <v>82322.5</v>
      </c>
      <c r="O680" s="32" t="s">
        <v>265</v>
      </c>
    </row>
    <row r="681" spans="1:15" x14ac:dyDescent="0.3">
      <c r="A681" s="115" t="s">
        <v>325</v>
      </c>
      <c r="B681" s="23" t="s">
        <v>38</v>
      </c>
      <c r="C681" s="29" t="s">
        <v>247</v>
      </c>
      <c r="D681" s="29" t="s">
        <v>39</v>
      </c>
      <c r="E681" s="29" t="s">
        <v>40</v>
      </c>
      <c r="F681" s="29" t="s">
        <v>34</v>
      </c>
      <c r="G681" s="29" t="s">
        <v>29</v>
      </c>
      <c r="H681" s="38">
        <v>45641</v>
      </c>
      <c r="I681" s="78">
        <v>7</v>
      </c>
      <c r="J681" s="90">
        <v>1200</v>
      </c>
      <c r="K681" s="83">
        <v>0</v>
      </c>
      <c r="L681" s="88" t="s">
        <v>36</v>
      </c>
      <c r="M681" s="159">
        <v>8400</v>
      </c>
      <c r="N681" s="159">
        <v>8400</v>
      </c>
      <c r="O681" s="88" t="s">
        <v>265</v>
      </c>
    </row>
    <row r="682" spans="1:15" x14ac:dyDescent="0.3">
      <c r="A682" s="115" t="s">
        <v>326</v>
      </c>
      <c r="B682" s="11" t="s">
        <v>61</v>
      </c>
      <c r="C682" s="30" t="s">
        <v>244</v>
      </c>
      <c r="D682" s="30" t="s">
        <v>26</v>
      </c>
      <c r="E682" s="30" t="s">
        <v>40</v>
      </c>
      <c r="F682" s="30" t="s">
        <v>41</v>
      </c>
      <c r="G682" s="30" t="s">
        <v>29</v>
      </c>
      <c r="H682" s="39">
        <v>45674</v>
      </c>
      <c r="I682" s="79">
        <v>215</v>
      </c>
      <c r="J682" s="91">
        <v>280</v>
      </c>
      <c r="K682" s="84">
        <v>0.1</v>
      </c>
      <c r="L682" s="30" t="s">
        <v>30</v>
      </c>
      <c r="M682" s="160">
        <v>60200</v>
      </c>
      <c r="N682" s="160">
        <v>54180</v>
      </c>
      <c r="O682" s="30" t="s">
        <v>265</v>
      </c>
    </row>
    <row r="683" spans="1:15" x14ac:dyDescent="0.3">
      <c r="A683" s="115" t="s">
        <v>327</v>
      </c>
      <c r="B683" s="24" t="s">
        <v>63</v>
      </c>
      <c r="C683" s="31" t="s">
        <v>253</v>
      </c>
      <c r="D683" s="31" t="s">
        <v>50</v>
      </c>
      <c r="E683" s="31" t="s">
        <v>27</v>
      </c>
      <c r="F683" s="31" t="s">
        <v>41</v>
      </c>
      <c r="G683" s="31" t="s">
        <v>29</v>
      </c>
      <c r="H683" s="40">
        <v>45637</v>
      </c>
      <c r="I683" s="80">
        <v>43</v>
      </c>
      <c r="J683" s="92">
        <v>750</v>
      </c>
      <c r="K683" s="85">
        <v>0.1</v>
      </c>
      <c r="L683" s="89" t="s">
        <v>30</v>
      </c>
      <c r="M683" s="161">
        <v>32250</v>
      </c>
      <c r="N683" s="161">
        <v>29025</v>
      </c>
      <c r="O683" s="89" t="s">
        <v>265</v>
      </c>
    </row>
    <row r="684" spans="1:15" x14ac:dyDescent="0.3">
      <c r="A684" s="115" t="s">
        <v>328</v>
      </c>
      <c r="B684" s="10" t="s">
        <v>61</v>
      </c>
      <c r="C684" s="32" t="s">
        <v>244</v>
      </c>
      <c r="D684" s="32" t="s">
        <v>26</v>
      </c>
      <c r="E684" s="32" t="s">
        <v>40</v>
      </c>
      <c r="F684" s="32" t="s">
        <v>41</v>
      </c>
      <c r="G684" s="32" t="s">
        <v>42</v>
      </c>
      <c r="H684" s="41">
        <v>45674</v>
      </c>
      <c r="I684" s="81">
        <v>367</v>
      </c>
      <c r="J684" s="93">
        <v>280</v>
      </c>
      <c r="K684" s="86">
        <v>0.14000000000000001</v>
      </c>
      <c r="L684" s="32" t="s">
        <v>30</v>
      </c>
      <c r="M684" s="162">
        <v>102760</v>
      </c>
      <c r="N684" s="162">
        <v>88373.6</v>
      </c>
      <c r="O684" s="32" t="s">
        <v>265</v>
      </c>
    </row>
    <row r="685" spans="1:15" x14ac:dyDescent="0.3">
      <c r="A685" s="115" t="s">
        <v>329</v>
      </c>
      <c r="B685" s="23" t="s">
        <v>61</v>
      </c>
      <c r="C685" s="29" t="s">
        <v>244</v>
      </c>
      <c r="D685" s="29" t="s">
        <v>26</v>
      </c>
      <c r="E685" s="29" t="s">
        <v>45</v>
      </c>
      <c r="F685" s="29" t="s">
        <v>52</v>
      </c>
      <c r="G685" s="29" t="s">
        <v>29</v>
      </c>
      <c r="H685" s="38">
        <v>45638</v>
      </c>
      <c r="I685" s="78">
        <v>76</v>
      </c>
      <c r="J685" s="90">
        <v>280</v>
      </c>
      <c r="K685" s="83">
        <v>0</v>
      </c>
      <c r="L685" s="88" t="s">
        <v>30</v>
      </c>
      <c r="M685" s="159">
        <v>21280</v>
      </c>
      <c r="N685" s="159">
        <v>21280</v>
      </c>
      <c r="O685" s="88" t="s">
        <v>265</v>
      </c>
    </row>
    <row r="686" spans="1:15" x14ac:dyDescent="0.3">
      <c r="A686" s="115" t="s">
        <v>330</v>
      </c>
      <c r="B686" s="11" t="s">
        <v>32</v>
      </c>
      <c r="C686" s="30" t="s">
        <v>246</v>
      </c>
      <c r="D686" s="30" t="s">
        <v>26</v>
      </c>
      <c r="E686" s="30" t="s">
        <v>45</v>
      </c>
      <c r="F686" s="30" t="s">
        <v>41</v>
      </c>
      <c r="G686" s="30" t="s">
        <v>29</v>
      </c>
      <c r="H686" s="39">
        <v>45675</v>
      </c>
      <c r="I686" s="79">
        <v>295</v>
      </c>
      <c r="J686" s="91">
        <v>420</v>
      </c>
      <c r="K686" s="84">
        <v>0.12</v>
      </c>
      <c r="L686" s="30" t="s">
        <v>36</v>
      </c>
      <c r="M686" s="160">
        <v>123900</v>
      </c>
      <c r="N686" s="160">
        <v>109032</v>
      </c>
      <c r="O686" s="30" t="s">
        <v>267</v>
      </c>
    </row>
    <row r="687" spans="1:15" x14ac:dyDescent="0.3">
      <c r="A687" s="115" t="s">
        <v>331</v>
      </c>
      <c r="B687" s="24" t="s">
        <v>63</v>
      </c>
      <c r="C687" s="31" t="s">
        <v>253</v>
      </c>
      <c r="D687" s="31" t="s">
        <v>50</v>
      </c>
      <c r="E687" s="31" t="s">
        <v>27</v>
      </c>
      <c r="F687" s="31" t="s">
        <v>46</v>
      </c>
      <c r="G687" s="31" t="s">
        <v>35</v>
      </c>
      <c r="H687" s="40">
        <v>45641</v>
      </c>
      <c r="I687" s="80">
        <v>46</v>
      </c>
      <c r="J687" s="92">
        <v>750</v>
      </c>
      <c r="K687" s="85">
        <v>0</v>
      </c>
      <c r="L687" s="89" t="s">
        <v>36</v>
      </c>
      <c r="M687" s="161">
        <v>34500</v>
      </c>
      <c r="N687" s="161">
        <v>34500</v>
      </c>
      <c r="O687" s="89" t="s">
        <v>265</v>
      </c>
    </row>
    <row r="688" spans="1:15" x14ac:dyDescent="0.3">
      <c r="A688" s="115" t="s">
        <v>332</v>
      </c>
      <c r="B688" s="10" t="s">
        <v>44</v>
      </c>
      <c r="C688" s="32" t="s">
        <v>254</v>
      </c>
      <c r="D688" s="32" t="s">
        <v>39</v>
      </c>
      <c r="E688" s="32" t="s">
        <v>27</v>
      </c>
      <c r="F688" s="32" t="s">
        <v>52</v>
      </c>
      <c r="G688" s="32" t="s">
        <v>47</v>
      </c>
      <c r="H688" s="41">
        <v>45676</v>
      </c>
      <c r="I688" s="81">
        <v>202</v>
      </c>
      <c r="J688" s="93">
        <v>200</v>
      </c>
      <c r="K688" s="86">
        <v>0.1</v>
      </c>
      <c r="L688" s="32" t="s">
        <v>36</v>
      </c>
      <c r="M688" s="162">
        <v>40400</v>
      </c>
      <c r="N688" s="162">
        <v>36360</v>
      </c>
      <c r="O688" s="32" t="s">
        <v>265</v>
      </c>
    </row>
    <row r="689" spans="1:15" x14ac:dyDescent="0.3">
      <c r="A689" s="115" t="s">
        <v>333</v>
      </c>
      <c r="B689" s="23" t="s">
        <v>16</v>
      </c>
      <c r="C689" s="29" t="s">
        <v>250</v>
      </c>
      <c r="D689" s="29" t="s">
        <v>39</v>
      </c>
      <c r="E689" s="29" t="s">
        <v>51</v>
      </c>
      <c r="F689" s="29" t="s">
        <v>46</v>
      </c>
      <c r="G689" s="29" t="s">
        <v>29</v>
      </c>
      <c r="H689" s="38">
        <v>45657</v>
      </c>
      <c r="I689" s="78">
        <v>25</v>
      </c>
      <c r="J689" s="90">
        <v>990</v>
      </c>
      <c r="K689" s="83">
        <v>0.14000000000000001</v>
      </c>
      <c r="L689" s="88" t="s">
        <v>36</v>
      </c>
      <c r="M689" s="159">
        <v>24750</v>
      </c>
      <c r="N689" s="159">
        <v>21285</v>
      </c>
      <c r="O689" s="88" t="s">
        <v>265</v>
      </c>
    </row>
    <row r="690" spans="1:15" x14ac:dyDescent="0.3">
      <c r="A690" s="115" t="s">
        <v>334</v>
      </c>
      <c r="B690" s="11" t="s">
        <v>25</v>
      </c>
      <c r="C690" s="30" t="s">
        <v>257</v>
      </c>
      <c r="D690" s="30" t="s">
        <v>26</v>
      </c>
      <c r="E690" s="30" t="s">
        <v>40</v>
      </c>
      <c r="F690" s="30" t="s">
        <v>52</v>
      </c>
      <c r="G690" s="30" t="s">
        <v>35</v>
      </c>
      <c r="H690" s="39">
        <v>45676</v>
      </c>
      <c r="I690" s="79">
        <v>385</v>
      </c>
      <c r="J690" s="91">
        <v>350</v>
      </c>
      <c r="K690" s="84">
        <v>0.14000000000000001</v>
      </c>
      <c r="L690" s="30" t="s">
        <v>30</v>
      </c>
      <c r="M690" s="160">
        <v>134750</v>
      </c>
      <c r="N690" s="160">
        <v>115885</v>
      </c>
      <c r="O690" s="30" t="s">
        <v>267</v>
      </c>
    </row>
    <row r="691" spans="1:15" x14ac:dyDescent="0.3">
      <c r="A691" s="115" t="s">
        <v>335</v>
      </c>
      <c r="B691" s="10" t="s">
        <v>55</v>
      </c>
      <c r="C691" s="32" t="s">
        <v>249</v>
      </c>
      <c r="D691" s="32" t="s">
        <v>39</v>
      </c>
      <c r="E691" s="32" t="s">
        <v>33</v>
      </c>
      <c r="F691" s="32" t="s">
        <v>52</v>
      </c>
      <c r="G691" s="32" t="s">
        <v>47</v>
      </c>
      <c r="H691" s="41">
        <v>45676</v>
      </c>
      <c r="I691" s="81">
        <v>213</v>
      </c>
      <c r="J691" s="93">
        <v>650</v>
      </c>
      <c r="K691" s="86">
        <v>0.08</v>
      </c>
      <c r="L691" s="32" t="s">
        <v>30</v>
      </c>
      <c r="M691" s="162">
        <v>138450</v>
      </c>
      <c r="N691" s="162">
        <v>127374</v>
      </c>
      <c r="O691" s="32" t="s">
        <v>267</v>
      </c>
    </row>
    <row r="692" spans="1:15" x14ac:dyDescent="0.3">
      <c r="A692" s="115" t="s">
        <v>336</v>
      </c>
      <c r="B692" s="11" t="s">
        <v>38</v>
      </c>
      <c r="C692" s="30" t="s">
        <v>247</v>
      </c>
      <c r="D692" s="30" t="s">
        <v>39</v>
      </c>
      <c r="E692" s="30" t="s">
        <v>51</v>
      </c>
      <c r="F692" s="30" t="s">
        <v>34</v>
      </c>
      <c r="G692" s="30" t="s">
        <v>47</v>
      </c>
      <c r="H692" s="39">
        <v>45678</v>
      </c>
      <c r="I692" s="79">
        <v>147</v>
      </c>
      <c r="J692" s="91">
        <v>1200</v>
      </c>
      <c r="K692" s="84">
        <v>0.11</v>
      </c>
      <c r="L692" s="30" t="s">
        <v>36</v>
      </c>
      <c r="M692" s="160">
        <v>176400</v>
      </c>
      <c r="N692" s="160">
        <v>156996</v>
      </c>
      <c r="O692" s="30" t="s">
        <v>267</v>
      </c>
    </row>
    <row r="693" spans="1:15" x14ac:dyDescent="0.3">
      <c r="A693" s="115" t="s">
        <v>337</v>
      </c>
      <c r="B693" s="10" t="s">
        <v>25</v>
      </c>
      <c r="C693" s="32" t="s">
        <v>257</v>
      </c>
      <c r="D693" s="32" t="s">
        <v>26</v>
      </c>
      <c r="E693" s="32" t="s">
        <v>40</v>
      </c>
      <c r="F693" s="32" t="s">
        <v>52</v>
      </c>
      <c r="G693" s="32" t="s">
        <v>53</v>
      </c>
      <c r="H693" s="41">
        <v>45678</v>
      </c>
      <c r="I693" s="81">
        <v>446</v>
      </c>
      <c r="J693" s="93">
        <v>350</v>
      </c>
      <c r="K693" s="86">
        <v>0.08</v>
      </c>
      <c r="L693" s="32" t="s">
        <v>30</v>
      </c>
      <c r="M693" s="162">
        <v>156100</v>
      </c>
      <c r="N693" s="162">
        <v>143612</v>
      </c>
      <c r="O693" s="32" t="s">
        <v>267</v>
      </c>
    </row>
    <row r="694" spans="1:15" x14ac:dyDescent="0.3">
      <c r="A694" s="115" t="s">
        <v>338</v>
      </c>
      <c r="B694" s="11" t="s">
        <v>25</v>
      </c>
      <c r="C694" s="30" t="s">
        <v>257</v>
      </c>
      <c r="D694" s="30" t="s">
        <v>26</v>
      </c>
      <c r="E694" s="30" t="s">
        <v>40</v>
      </c>
      <c r="F694" s="30" t="s">
        <v>28</v>
      </c>
      <c r="G694" s="30" t="s">
        <v>35</v>
      </c>
      <c r="H694" s="39">
        <v>45678</v>
      </c>
      <c r="I694" s="79">
        <v>191</v>
      </c>
      <c r="J694" s="91">
        <v>350</v>
      </c>
      <c r="K694" s="84">
        <v>0.13</v>
      </c>
      <c r="L694" s="30" t="s">
        <v>36</v>
      </c>
      <c r="M694" s="160">
        <v>66850</v>
      </c>
      <c r="N694" s="160">
        <v>58159.5</v>
      </c>
      <c r="O694" s="30" t="s">
        <v>265</v>
      </c>
    </row>
    <row r="695" spans="1:15" x14ac:dyDescent="0.3">
      <c r="A695" s="115" t="s">
        <v>339</v>
      </c>
      <c r="B695" s="10" t="s">
        <v>25</v>
      </c>
      <c r="C695" s="32" t="s">
        <v>257</v>
      </c>
      <c r="D695" s="32" t="s">
        <v>26</v>
      </c>
      <c r="E695" s="32" t="s">
        <v>45</v>
      </c>
      <c r="F695" s="32" t="s">
        <v>28</v>
      </c>
      <c r="G695" s="32" t="s">
        <v>53</v>
      </c>
      <c r="H695" s="41">
        <v>45679</v>
      </c>
      <c r="I695" s="81">
        <v>231</v>
      </c>
      <c r="J695" s="93">
        <v>350</v>
      </c>
      <c r="K695" s="86">
        <v>0.13</v>
      </c>
      <c r="L695" s="32" t="s">
        <v>36</v>
      </c>
      <c r="M695" s="162">
        <v>80850</v>
      </c>
      <c r="N695" s="162">
        <v>70339.5</v>
      </c>
      <c r="O695" s="32" t="s">
        <v>265</v>
      </c>
    </row>
    <row r="696" spans="1:15" x14ac:dyDescent="0.3">
      <c r="A696" s="115" t="s">
        <v>340</v>
      </c>
      <c r="B696" s="11" t="s">
        <v>49</v>
      </c>
      <c r="C696" s="30" t="s">
        <v>251</v>
      </c>
      <c r="D696" s="30" t="s">
        <v>50</v>
      </c>
      <c r="E696" s="30" t="s">
        <v>51</v>
      </c>
      <c r="F696" s="30" t="s">
        <v>28</v>
      </c>
      <c r="G696" s="30" t="s">
        <v>29</v>
      </c>
      <c r="H696" s="39">
        <v>45679</v>
      </c>
      <c r="I696" s="79">
        <v>106</v>
      </c>
      <c r="J696" s="91">
        <v>895</v>
      </c>
      <c r="K696" s="84">
        <v>0.11</v>
      </c>
      <c r="L696" s="30" t="s">
        <v>30</v>
      </c>
      <c r="M696" s="160">
        <v>94870</v>
      </c>
      <c r="N696" s="160">
        <v>84434.3</v>
      </c>
      <c r="O696" s="30" t="s">
        <v>265</v>
      </c>
    </row>
    <row r="697" spans="1:15" x14ac:dyDescent="0.3">
      <c r="A697" s="115" t="s">
        <v>341</v>
      </c>
      <c r="B697" s="10" t="s">
        <v>55</v>
      </c>
      <c r="C697" s="32" t="s">
        <v>249</v>
      </c>
      <c r="D697" s="32" t="s">
        <v>39</v>
      </c>
      <c r="E697" s="32" t="s">
        <v>27</v>
      </c>
      <c r="F697" s="32" t="s">
        <v>34</v>
      </c>
      <c r="G697" s="32" t="s">
        <v>53</v>
      </c>
      <c r="H697" s="41">
        <v>45680</v>
      </c>
      <c r="I697" s="81">
        <v>168</v>
      </c>
      <c r="J697" s="93">
        <v>650</v>
      </c>
      <c r="K697" s="86">
        <v>0.12</v>
      </c>
      <c r="L697" s="32" t="s">
        <v>36</v>
      </c>
      <c r="M697" s="162">
        <v>109200</v>
      </c>
      <c r="N697" s="162">
        <v>96096</v>
      </c>
      <c r="O697" s="32" t="s">
        <v>265</v>
      </c>
    </row>
    <row r="698" spans="1:15" x14ac:dyDescent="0.3">
      <c r="A698" s="115" t="s">
        <v>342</v>
      </c>
      <c r="B698" s="11" t="s">
        <v>63</v>
      </c>
      <c r="C698" s="30" t="s">
        <v>253</v>
      </c>
      <c r="D698" s="30" t="s">
        <v>50</v>
      </c>
      <c r="E698" s="30" t="s">
        <v>27</v>
      </c>
      <c r="F698" s="30" t="s">
        <v>34</v>
      </c>
      <c r="G698" s="30" t="s">
        <v>56</v>
      </c>
      <c r="H698" s="39">
        <v>45680</v>
      </c>
      <c r="I698" s="79">
        <v>205</v>
      </c>
      <c r="J698" s="91">
        <v>750</v>
      </c>
      <c r="K698" s="84">
        <v>0.15</v>
      </c>
      <c r="L698" s="30" t="s">
        <v>36</v>
      </c>
      <c r="M698" s="160">
        <v>153750</v>
      </c>
      <c r="N698" s="160">
        <v>130687.5</v>
      </c>
      <c r="O698" s="30" t="s">
        <v>267</v>
      </c>
    </row>
    <row r="699" spans="1:15" x14ac:dyDescent="0.3">
      <c r="A699" s="115" t="s">
        <v>343</v>
      </c>
      <c r="B699" s="10" t="s">
        <v>25</v>
      </c>
      <c r="C699" s="32" t="s">
        <v>257</v>
      </c>
      <c r="D699" s="32" t="s">
        <v>26</v>
      </c>
      <c r="E699" s="32" t="s">
        <v>27</v>
      </c>
      <c r="F699" s="32" t="s">
        <v>52</v>
      </c>
      <c r="G699" s="32" t="s">
        <v>29</v>
      </c>
      <c r="H699" s="41">
        <v>45680</v>
      </c>
      <c r="I699" s="81">
        <v>304</v>
      </c>
      <c r="J699" s="93">
        <v>350</v>
      </c>
      <c r="K699" s="86">
        <v>0.13</v>
      </c>
      <c r="L699" s="32" t="s">
        <v>36</v>
      </c>
      <c r="M699" s="162">
        <v>106400</v>
      </c>
      <c r="N699" s="162">
        <v>92568</v>
      </c>
      <c r="O699" s="32" t="s">
        <v>265</v>
      </c>
    </row>
    <row r="700" spans="1:15" x14ac:dyDescent="0.3">
      <c r="A700" s="115" t="s">
        <v>344</v>
      </c>
      <c r="B700" s="11" t="s">
        <v>16</v>
      </c>
      <c r="C700" s="30" t="s">
        <v>250</v>
      </c>
      <c r="D700" s="30" t="s">
        <v>39</v>
      </c>
      <c r="E700" s="30" t="s">
        <v>40</v>
      </c>
      <c r="F700" s="30" t="s">
        <v>52</v>
      </c>
      <c r="G700" s="30" t="s">
        <v>29</v>
      </c>
      <c r="H700" s="39">
        <v>45681</v>
      </c>
      <c r="I700" s="79">
        <v>320</v>
      </c>
      <c r="J700" s="91">
        <v>990</v>
      </c>
      <c r="K700" s="84">
        <v>0.1</v>
      </c>
      <c r="L700" s="30" t="s">
        <v>36</v>
      </c>
      <c r="M700" s="160">
        <v>316800</v>
      </c>
      <c r="N700" s="160">
        <v>285120</v>
      </c>
      <c r="O700" s="30" t="s">
        <v>267</v>
      </c>
    </row>
    <row r="701" spans="1:15" x14ac:dyDescent="0.3">
      <c r="A701" s="115" t="s">
        <v>345</v>
      </c>
      <c r="B701" s="10" t="s">
        <v>55</v>
      </c>
      <c r="C701" s="32" t="s">
        <v>249</v>
      </c>
      <c r="D701" s="32" t="s">
        <v>39</v>
      </c>
      <c r="E701" s="32" t="s">
        <v>51</v>
      </c>
      <c r="F701" s="32" t="s">
        <v>28</v>
      </c>
      <c r="G701" s="32" t="s">
        <v>29</v>
      </c>
      <c r="H701" s="41">
        <v>45681</v>
      </c>
      <c r="I701" s="81">
        <v>446</v>
      </c>
      <c r="J701" s="93">
        <v>650</v>
      </c>
      <c r="K701" s="86">
        <v>0.1</v>
      </c>
      <c r="L701" s="32" t="s">
        <v>36</v>
      </c>
      <c r="M701" s="162">
        <v>289900</v>
      </c>
      <c r="N701" s="162">
        <v>260910</v>
      </c>
      <c r="O701" s="32" t="s">
        <v>267</v>
      </c>
    </row>
    <row r="702" spans="1:15" x14ac:dyDescent="0.3">
      <c r="A702" s="115" t="s">
        <v>346</v>
      </c>
      <c r="B702" s="11" t="s">
        <v>38</v>
      </c>
      <c r="C702" s="30" t="s">
        <v>247</v>
      </c>
      <c r="D702" s="30" t="s">
        <v>39</v>
      </c>
      <c r="E702" s="30" t="s">
        <v>51</v>
      </c>
      <c r="F702" s="30" t="s">
        <v>46</v>
      </c>
      <c r="G702" s="30" t="s">
        <v>42</v>
      </c>
      <c r="H702" s="39">
        <v>45681</v>
      </c>
      <c r="I702" s="79">
        <v>40</v>
      </c>
      <c r="J702" s="91">
        <v>1200</v>
      </c>
      <c r="K702" s="84">
        <v>0.05</v>
      </c>
      <c r="L702" s="30" t="s">
        <v>36</v>
      </c>
      <c r="M702" s="160">
        <v>48000</v>
      </c>
      <c r="N702" s="160">
        <v>45600</v>
      </c>
      <c r="O702" s="30" t="s">
        <v>265</v>
      </c>
    </row>
    <row r="703" spans="1:15" x14ac:dyDescent="0.3">
      <c r="A703" s="115" t="s">
        <v>347</v>
      </c>
      <c r="B703" s="10" t="s">
        <v>49</v>
      </c>
      <c r="C703" s="32" t="s">
        <v>251</v>
      </c>
      <c r="D703" s="32" t="s">
        <v>50</v>
      </c>
      <c r="E703" s="32" t="s">
        <v>33</v>
      </c>
      <c r="F703" s="32" t="s">
        <v>52</v>
      </c>
      <c r="G703" s="32" t="s">
        <v>42</v>
      </c>
      <c r="H703" s="41">
        <v>45684</v>
      </c>
      <c r="I703" s="81">
        <v>248</v>
      </c>
      <c r="J703" s="93">
        <v>895</v>
      </c>
      <c r="K703" s="86">
        <v>0.15</v>
      </c>
      <c r="L703" s="32" t="s">
        <v>30</v>
      </c>
      <c r="M703" s="162">
        <v>221960</v>
      </c>
      <c r="N703" s="162">
        <v>188666</v>
      </c>
      <c r="O703" s="32" t="s">
        <v>267</v>
      </c>
    </row>
    <row r="704" spans="1:15" x14ac:dyDescent="0.3">
      <c r="A704" s="115" t="s">
        <v>348</v>
      </c>
      <c r="B704" s="11" t="s">
        <v>55</v>
      </c>
      <c r="C704" s="30" t="s">
        <v>249</v>
      </c>
      <c r="D704" s="30" t="s">
        <v>39</v>
      </c>
      <c r="E704" s="30" t="s">
        <v>33</v>
      </c>
      <c r="F704" s="30" t="s">
        <v>34</v>
      </c>
      <c r="G704" s="30" t="s">
        <v>53</v>
      </c>
      <c r="H704" s="39">
        <v>45685</v>
      </c>
      <c r="I704" s="79">
        <v>217</v>
      </c>
      <c r="J704" s="91">
        <v>650</v>
      </c>
      <c r="K704" s="84">
        <v>0.15</v>
      </c>
      <c r="L704" s="30" t="s">
        <v>36</v>
      </c>
      <c r="M704" s="160">
        <v>141050</v>
      </c>
      <c r="N704" s="160">
        <v>119892.5</v>
      </c>
      <c r="O704" s="30" t="s">
        <v>267</v>
      </c>
    </row>
    <row r="705" spans="1:15" x14ac:dyDescent="0.3">
      <c r="A705" s="115" t="s">
        <v>349</v>
      </c>
      <c r="B705" s="10" t="s">
        <v>55</v>
      </c>
      <c r="C705" s="32" t="s">
        <v>249</v>
      </c>
      <c r="D705" s="32" t="s">
        <v>39</v>
      </c>
      <c r="E705" s="32" t="s">
        <v>45</v>
      </c>
      <c r="F705" s="32" t="s">
        <v>28</v>
      </c>
      <c r="G705" s="32" t="s">
        <v>53</v>
      </c>
      <c r="H705" s="41">
        <v>45687</v>
      </c>
      <c r="I705" s="81">
        <v>395</v>
      </c>
      <c r="J705" s="93">
        <v>650</v>
      </c>
      <c r="K705" s="86">
        <v>0</v>
      </c>
      <c r="L705" s="32" t="s">
        <v>36</v>
      </c>
      <c r="M705" s="162">
        <v>256750</v>
      </c>
      <c r="N705" s="162">
        <v>256750</v>
      </c>
      <c r="O705" s="32" t="s">
        <v>267</v>
      </c>
    </row>
    <row r="706" spans="1:15" x14ac:dyDescent="0.3">
      <c r="A706" s="115" t="s">
        <v>350</v>
      </c>
      <c r="B706" s="11" t="s">
        <v>63</v>
      </c>
      <c r="C706" s="30" t="s">
        <v>253</v>
      </c>
      <c r="D706" s="30" t="s">
        <v>50</v>
      </c>
      <c r="E706" s="30" t="s">
        <v>40</v>
      </c>
      <c r="F706" s="30" t="s">
        <v>41</v>
      </c>
      <c r="G706" s="30" t="s">
        <v>47</v>
      </c>
      <c r="H706" s="39">
        <v>45687</v>
      </c>
      <c r="I706" s="79">
        <v>396</v>
      </c>
      <c r="J706" s="91">
        <v>750</v>
      </c>
      <c r="K706" s="84">
        <v>0.15</v>
      </c>
      <c r="L706" s="30" t="s">
        <v>30</v>
      </c>
      <c r="M706" s="160">
        <v>297000</v>
      </c>
      <c r="N706" s="160">
        <v>252450</v>
      </c>
      <c r="O706" s="30" t="s">
        <v>267</v>
      </c>
    </row>
    <row r="707" spans="1:15" x14ac:dyDescent="0.3">
      <c r="A707" s="115" t="s">
        <v>351</v>
      </c>
      <c r="B707" s="10" t="s">
        <v>49</v>
      </c>
      <c r="C707" s="32" t="s">
        <v>251</v>
      </c>
      <c r="D707" s="32" t="s">
        <v>50</v>
      </c>
      <c r="E707" s="32" t="s">
        <v>51</v>
      </c>
      <c r="F707" s="32" t="s">
        <v>28</v>
      </c>
      <c r="G707" s="32" t="s">
        <v>29</v>
      </c>
      <c r="H707" s="41">
        <v>45687</v>
      </c>
      <c r="I707" s="81">
        <v>361</v>
      </c>
      <c r="J707" s="93">
        <v>895</v>
      </c>
      <c r="K707" s="86">
        <v>0.05</v>
      </c>
      <c r="L707" s="32" t="s">
        <v>30</v>
      </c>
      <c r="M707" s="162">
        <v>323095</v>
      </c>
      <c r="N707" s="162">
        <v>306940.25</v>
      </c>
      <c r="O707" s="32" t="s">
        <v>267</v>
      </c>
    </row>
    <row r="708" spans="1:15" x14ac:dyDescent="0.3">
      <c r="A708" s="115" t="s">
        <v>352</v>
      </c>
      <c r="B708" s="11" t="s">
        <v>44</v>
      </c>
      <c r="C708" s="30" t="s">
        <v>254</v>
      </c>
      <c r="D708" s="30" t="s">
        <v>39</v>
      </c>
      <c r="E708" s="30" t="s">
        <v>45</v>
      </c>
      <c r="F708" s="30" t="s">
        <v>52</v>
      </c>
      <c r="G708" s="30" t="s">
        <v>29</v>
      </c>
      <c r="H708" s="39">
        <v>45688</v>
      </c>
      <c r="I708" s="79">
        <v>147</v>
      </c>
      <c r="J708" s="91">
        <v>200</v>
      </c>
      <c r="K708" s="84">
        <v>0</v>
      </c>
      <c r="L708" s="30" t="s">
        <v>36</v>
      </c>
      <c r="M708" s="160">
        <v>29400</v>
      </c>
      <c r="N708" s="160">
        <v>29400</v>
      </c>
      <c r="O708" s="30" t="s">
        <v>265</v>
      </c>
    </row>
    <row r="709" spans="1:15" x14ac:dyDescent="0.3">
      <c r="A709" s="115" t="s">
        <v>353</v>
      </c>
      <c r="B709" s="10" t="s">
        <v>16</v>
      </c>
      <c r="C709" s="32" t="s">
        <v>250</v>
      </c>
      <c r="D709" s="32" t="s">
        <v>39</v>
      </c>
      <c r="E709" s="32" t="s">
        <v>33</v>
      </c>
      <c r="F709" s="32" t="s">
        <v>28</v>
      </c>
      <c r="G709" s="32" t="s">
        <v>47</v>
      </c>
      <c r="H709" s="41">
        <v>45688</v>
      </c>
      <c r="I709" s="81">
        <v>250</v>
      </c>
      <c r="J709" s="93">
        <v>990</v>
      </c>
      <c r="K709" s="86">
        <v>0</v>
      </c>
      <c r="L709" s="32" t="s">
        <v>30</v>
      </c>
      <c r="M709" s="162">
        <v>247500</v>
      </c>
      <c r="N709" s="162">
        <v>247500</v>
      </c>
      <c r="O709" s="32" t="s">
        <v>267</v>
      </c>
    </row>
    <row r="710" spans="1:15" x14ac:dyDescent="0.3">
      <c r="A710" s="115" t="s">
        <v>354</v>
      </c>
      <c r="B710" s="11" t="s">
        <v>49</v>
      </c>
      <c r="C710" s="30" t="s">
        <v>251</v>
      </c>
      <c r="D710" s="30" t="s">
        <v>50</v>
      </c>
      <c r="E710" s="30" t="s">
        <v>40</v>
      </c>
      <c r="F710" s="30" t="s">
        <v>52</v>
      </c>
      <c r="G710" s="30" t="s">
        <v>29</v>
      </c>
      <c r="H710" s="39">
        <v>45689</v>
      </c>
      <c r="I710" s="79">
        <v>331</v>
      </c>
      <c r="J710" s="91">
        <v>895</v>
      </c>
      <c r="K710" s="84">
        <v>0.03</v>
      </c>
      <c r="L710" s="30" t="s">
        <v>30</v>
      </c>
      <c r="M710" s="160">
        <v>296245</v>
      </c>
      <c r="N710" s="160">
        <v>287357.65000000002</v>
      </c>
      <c r="O710" s="30" t="s">
        <v>267</v>
      </c>
    </row>
    <row r="711" spans="1:15" x14ac:dyDescent="0.3">
      <c r="A711" s="115" t="s">
        <v>355</v>
      </c>
      <c r="B711" s="10" t="s">
        <v>25</v>
      </c>
      <c r="C711" s="32" t="s">
        <v>257</v>
      </c>
      <c r="D711" s="32" t="s">
        <v>26</v>
      </c>
      <c r="E711" s="32" t="s">
        <v>45</v>
      </c>
      <c r="F711" s="32" t="s">
        <v>52</v>
      </c>
      <c r="G711" s="32" t="s">
        <v>35</v>
      </c>
      <c r="H711" s="41">
        <v>45689</v>
      </c>
      <c r="I711" s="81">
        <v>307</v>
      </c>
      <c r="J711" s="93">
        <v>350</v>
      </c>
      <c r="K711" s="86">
        <v>0</v>
      </c>
      <c r="L711" s="32" t="s">
        <v>30</v>
      </c>
      <c r="M711" s="162">
        <v>107450</v>
      </c>
      <c r="N711" s="162">
        <v>107450</v>
      </c>
      <c r="O711" s="32" t="s">
        <v>267</v>
      </c>
    </row>
    <row r="712" spans="1:15" x14ac:dyDescent="0.3">
      <c r="A712" s="115" t="s">
        <v>356</v>
      </c>
      <c r="B712" s="11" t="s">
        <v>49</v>
      </c>
      <c r="C712" s="30" t="s">
        <v>251</v>
      </c>
      <c r="D712" s="30" t="s">
        <v>50</v>
      </c>
      <c r="E712" s="30" t="s">
        <v>27</v>
      </c>
      <c r="F712" s="30" t="s">
        <v>52</v>
      </c>
      <c r="G712" s="30" t="s">
        <v>42</v>
      </c>
      <c r="H712" s="39">
        <v>45689</v>
      </c>
      <c r="I712" s="79">
        <v>343</v>
      </c>
      <c r="J712" s="91">
        <v>895</v>
      </c>
      <c r="K712" s="84">
        <v>0.03</v>
      </c>
      <c r="L712" s="30" t="s">
        <v>36</v>
      </c>
      <c r="M712" s="160">
        <v>306985</v>
      </c>
      <c r="N712" s="160">
        <v>297775.45</v>
      </c>
      <c r="O712" s="30" t="s">
        <v>267</v>
      </c>
    </row>
    <row r="713" spans="1:15" x14ac:dyDescent="0.3">
      <c r="A713" s="115" t="s">
        <v>357</v>
      </c>
      <c r="B713" s="10" t="s">
        <v>44</v>
      </c>
      <c r="C713" s="32" t="s">
        <v>254</v>
      </c>
      <c r="D713" s="32" t="s">
        <v>39</v>
      </c>
      <c r="E713" s="32" t="s">
        <v>27</v>
      </c>
      <c r="F713" s="32" t="s">
        <v>28</v>
      </c>
      <c r="G713" s="32" t="s">
        <v>53</v>
      </c>
      <c r="H713" s="41">
        <v>45690</v>
      </c>
      <c r="I713" s="81">
        <v>211</v>
      </c>
      <c r="J713" s="93">
        <v>200</v>
      </c>
      <c r="K713" s="86">
        <v>0</v>
      </c>
      <c r="L713" s="32" t="s">
        <v>36</v>
      </c>
      <c r="M713" s="162">
        <v>42200</v>
      </c>
      <c r="N713" s="162">
        <v>42200</v>
      </c>
      <c r="O713" s="32" t="s">
        <v>265</v>
      </c>
    </row>
    <row r="714" spans="1:15" x14ac:dyDescent="0.3">
      <c r="A714" s="115" t="s">
        <v>358</v>
      </c>
      <c r="B714" s="11" t="s">
        <v>49</v>
      </c>
      <c r="C714" s="30" t="s">
        <v>251</v>
      </c>
      <c r="D714" s="30" t="s">
        <v>50</v>
      </c>
      <c r="E714" s="30" t="s">
        <v>45</v>
      </c>
      <c r="F714" s="30" t="s">
        <v>52</v>
      </c>
      <c r="G714" s="30" t="s">
        <v>29</v>
      </c>
      <c r="H714" s="39">
        <v>45691</v>
      </c>
      <c r="I714" s="79">
        <v>153</v>
      </c>
      <c r="J714" s="91">
        <v>895</v>
      </c>
      <c r="K714" s="84">
        <v>0.11</v>
      </c>
      <c r="L714" s="30" t="s">
        <v>30</v>
      </c>
      <c r="M714" s="160">
        <v>136935</v>
      </c>
      <c r="N714" s="160">
        <v>121872.15</v>
      </c>
      <c r="O714" s="30" t="s">
        <v>267</v>
      </c>
    </row>
    <row r="715" spans="1:15" x14ac:dyDescent="0.3">
      <c r="A715" s="115" t="s">
        <v>359</v>
      </c>
      <c r="B715" s="10" t="s">
        <v>58</v>
      </c>
      <c r="C715" s="32" t="s">
        <v>255</v>
      </c>
      <c r="D715" s="32" t="s">
        <v>59</v>
      </c>
      <c r="E715" s="32" t="s">
        <v>40</v>
      </c>
      <c r="F715" s="32" t="s">
        <v>46</v>
      </c>
      <c r="G715" s="32" t="s">
        <v>47</v>
      </c>
      <c r="H715" s="41">
        <v>45691</v>
      </c>
      <c r="I715" s="81">
        <v>52</v>
      </c>
      <c r="J715" s="93">
        <v>2800</v>
      </c>
      <c r="K715" s="86">
        <v>0.03</v>
      </c>
      <c r="L715" s="32" t="s">
        <v>30</v>
      </c>
      <c r="M715" s="162">
        <v>145600</v>
      </c>
      <c r="N715" s="162">
        <v>141232</v>
      </c>
      <c r="O715" s="32" t="s">
        <v>267</v>
      </c>
    </row>
    <row r="716" spans="1:15" x14ac:dyDescent="0.3">
      <c r="A716" s="115" t="s">
        <v>360</v>
      </c>
      <c r="B716" s="11" t="s">
        <v>58</v>
      </c>
      <c r="C716" s="30" t="s">
        <v>255</v>
      </c>
      <c r="D716" s="30" t="s">
        <v>59</v>
      </c>
      <c r="E716" s="30" t="s">
        <v>33</v>
      </c>
      <c r="F716" s="30" t="s">
        <v>41</v>
      </c>
      <c r="G716" s="30" t="s">
        <v>29</v>
      </c>
      <c r="H716" s="39">
        <v>45691</v>
      </c>
      <c r="I716" s="79">
        <v>64</v>
      </c>
      <c r="J716" s="91">
        <v>2800</v>
      </c>
      <c r="K716" s="84">
        <v>0.15</v>
      </c>
      <c r="L716" s="30" t="s">
        <v>36</v>
      </c>
      <c r="M716" s="160">
        <v>179200</v>
      </c>
      <c r="N716" s="160">
        <v>152320</v>
      </c>
      <c r="O716" s="30" t="s">
        <v>267</v>
      </c>
    </row>
    <row r="717" spans="1:15" x14ac:dyDescent="0.3">
      <c r="A717" s="115" t="s">
        <v>361</v>
      </c>
      <c r="B717" s="10" t="s">
        <v>44</v>
      </c>
      <c r="C717" s="32" t="s">
        <v>254</v>
      </c>
      <c r="D717" s="32" t="s">
        <v>39</v>
      </c>
      <c r="E717" s="32" t="s">
        <v>33</v>
      </c>
      <c r="F717" s="32" t="s">
        <v>28</v>
      </c>
      <c r="G717" s="32" t="s">
        <v>56</v>
      </c>
      <c r="H717" s="41">
        <v>45692</v>
      </c>
      <c r="I717" s="81">
        <v>419</v>
      </c>
      <c r="J717" s="93">
        <v>200</v>
      </c>
      <c r="K717" s="86">
        <v>0.05</v>
      </c>
      <c r="L717" s="32" t="s">
        <v>30</v>
      </c>
      <c r="M717" s="162">
        <v>83800</v>
      </c>
      <c r="N717" s="162">
        <v>79610</v>
      </c>
      <c r="O717" s="32" t="s">
        <v>265</v>
      </c>
    </row>
    <row r="718" spans="1:15" x14ac:dyDescent="0.3">
      <c r="A718" s="115" t="s">
        <v>362</v>
      </c>
      <c r="B718" s="11" t="s">
        <v>63</v>
      </c>
      <c r="C718" s="30" t="s">
        <v>253</v>
      </c>
      <c r="D718" s="30" t="s">
        <v>50</v>
      </c>
      <c r="E718" s="30" t="s">
        <v>33</v>
      </c>
      <c r="F718" s="30" t="s">
        <v>52</v>
      </c>
      <c r="G718" s="30" t="s">
        <v>47</v>
      </c>
      <c r="H718" s="39">
        <v>45692</v>
      </c>
      <c r="I718" s="79">
        <v>301</v>
      </c>
      <c r="J718" s="91">
        <v>750</v>
      </c>
      <c r="K718" s="84">
        <v>0.05</v>
      </c>
      <c r="L718" s="30" t="s">
        <v>30</v>
      </c>
      <c r="M718" s="160">
        <v>225750</v>
      </c>
      <c r="N718" s="160">
        <v>214462.5</v>
      </c>
      <c r="O718" s="30" t="s">
        <v>267</v>
      </c>
    </row>
    <row r="719" spans="1:15" x14ac:dyDescent="0.3">
      <c r="A719" s="115" t="s">
        <v>363</v>
      </c>
      <c r="B719" s="10" t="s">
        <v>38</v>
      </c>
      <c r="C719" s="32" t="s">
        <v>247</v>
      </c>
      <c r="D719" s="32" t="s">
        <v>39</v>
      </c>
      <c r="E719" s="32" t="s">
        <v>27</v>
      </c>
      <c r="F719" s="32" t="s">
        <v>34</v>
      </c>
      <c r="G719" s="32" t="s">
        <v>42</v>
      </c>
      <c r="H719" s="41">
        <v>45692</v>
      </c>
      <c r="I719" s="81">
        <v>102</v>
      </c>
      <c r="J719" s="93">
        <v>1200</v>
      </c>
      <c r="K719" s="86">
        <v>0.14000000000000001</v>
      </c>
      <c r="L719" s="32" t="s">
        <v>30</v>
      </c>
      <c r="M719" s="162">
        <v>122400</v>
      </c>
      <c r="N719" s="162">
        <v>105264</v>
      </c>
      <c r="O719" s="32" t="s">
        <v>267</v>
      </c>
    </row>
    <row r="720" spans="1:15" x14ac:dyDescent="0.3">
      <c r="A720" s="115" t="s">
        <v>364</v>
      </c>
      <c r="B720" s="11" t="s">
        <v>63</v>
      </c>
      <c r="C720" s="30" t="s">
        <v>253</v>
      </c>
      <c r="D720" s="30" t="s">
        <v>50</v>
      </c>
      <c r="E720" s="30" t="s">
        <v>51</v>
      </c>
      <c r="F720" s="30" t="s">
        <v>34</v>
      </c>
      <c r="G720" s="30" t="s">
        <v>29</v>
      </c>
      <c r="H720" s="39">
        <v>45694</v>
      </c>
      <c r="I720" s="79">
        <v>102</v>
      </c>
      <c r="J720" s="91">
        <v>750</v>
      </c>
      <c r="K720" s="84">
        <v>0.12</v>
      </c>
      <c r="L720" s="30" t="s">
        <v>30</v>
      </c>
      <c r="M720" s="160">
        <v>76500</v>
      </c>
      <c r="N720" s="160">
        <v>67320</v>
      </c>
      <c r="O720" s="30" t="s">
        <v>265</v>
      </c>
    </row>
    <row r="721" spans="1:15" x14ac:dyDescent="0.3">
      <c r="A721" s="115" t="s">
        <v>365</v>
      </c>
      <c r="B721" s="10" t="s">
        <v>16</v>
      </c>
      <c r="C721" s="32" t="s">
        <v>250</v>
      </c>
      <c r="D721" s="32" t="s">
        <v>39</v>
      </c>
      <c r="E721" s="32" t="s">
        <v>33</v>
      </c>
      <c r="F721" s="32" t="s">
        <v>41</v>
      </c>
      <c r="G721" s="32" t="s">
        <v>29</v>
      </c>
      <c r="H721" s="41">
        <v>45695</v>
      </c>
      <c r="I721" s="81">
        <v>305</v>
      </c>
      <c r="J721" s="93">
        <v>990</v>
      </c>
      <c r="K721" s="86">
        <v>0</v>
      </c>
      <c r="L721" s="32" t="s">
        <v>36</v>
      </c>
      <c r="M721" s="162">
        <v>301950</v>
      </c>
      <c r="N721" s="162">
        <v>301950</v>
      </c>
      <c r="O721" s="32" t="s">
        <v>267</v>
      </c>
    </row>
    <row r="722" spans="1:15" x14ac:dyDescent="0.3">
      <c r="A722" s="115" t="s">
        <v>366</v>
      </c>
      <c r="B722" s="11" t="s">
        <v>16</v>
      </c>
      <c r="C722" s="30" t="s">
        <v>250</v>
      </c>
      <c r="D722" s="30" t="s">
        <v>39</v>
      </c>
      <c r="E722" s="30" t="s">
        <v>27</v>
      </c>
      <c r="F722" s="30" t="s">
        <v>28</v>
      </c>
      <c r="G722" s="30" t="s">
        <v>29</v>
      </c>
      <c r="H722" s="39">
        <v>45695</v>
      </c>
      <c r="I722" s="79">
        <v>205</v>
      </c>
      <c r="J722" s="91">
        <v>990</v>
      </c>
      <c r="K722" s="84">
        <v>0.12</v>
      </c>
      <c r="L722" s="30" t="s">
        <v>30</v>
      </c>
      <c r="M722" s="160">
        <v>202950</v>
      </c>
      <c r="N722" s="160">
        <v>178596</v>
      </c>
      <c r="O722" s="30" t="s">
        <v>267</v>
      </c>
    </row>
    <row r="723" spans="1:15" x14ac:dyDescent="0.3">
      <c r="A723" s="115" t="s">
        <v>367</v>
      </c>
      <c r="B723" s="10" t="s">
        <v>63</v>
      </c>
      <c r="C723" s="32" t="s">
        <v>253</v>
      </c>
      <c r="D723" s="32" t="s">
        <v>50</v>
      </c>
      <c r="E723" s="32" t="s">
        <v>51</v>
      </c>
      <c r="F723" s="32" t="s">
        <v>41</v>
      </c>
      <c r="G723" s="32" t="s">
        <v>56</v>
      </c>
      <c r="H723" s="41">
        <v>45695</v>
      </c>
      <c r="I723" s="81">
        <v>366</v>
      </c>
      <c r="J723" s="93">
        <v>750</v>
      </c>
      <c r="K723" s="86">
        <v>0.08</v>
      </c>
      <c r="L723" s="32" t="s">
        <v>30</v>
      </c>
      <c r="M723" s="162">
        <v>274500</v>
      </c>
      <c r="N723" s="162">
        <v>252540</v>
      </c>
      <c r="O723" s="32" t="s">
        <v>267</v>
      </c>
    </row>
    <row r="724" spans="1:15" x14ac:dyDescent="0.3">
      <c r="A724" s="115" t="s">
        <v>368</v>
      </c>
      <c r="B724" s="11" t="s">
        <v>58</v>
      </c>
      <c r="C724" s="30" t="s">
        <v>255</v>
      </c>
      <c r="D724" s="30" t="s">
        <v>59</v>
      </c>
      <c r="E724" s="30" t="s">
        <v>40</v>
      </c>
      <c r="F724" s="30" t="s">
        <v>41</v>
      </c>
      <c r="G724" s="30" t="s">
        <v>47</v>
      </c>
      <c r="H724" s="39">
        <v>45696</v>
      </c>
      <c r="I724" s="79">
        <v>207</v>
      </c>
      <c r="J724" s="91">
        <v>2800</v>
      </c>
      <c r="K724" s="84">
        <v>0.15</v>
      </c>
      <c r="L724" s="30" t="s">
        <v>36</v>
      </c>
      <c r="M724" s="160">
        <v>579600</v>
      </c>
      <c r="N724" s="160">
        <v>492660</v>
      </c>
      <c r="O724" s="30" t="s">
        <v>277</v>
      </c>
    </row>
    <row r="725" spans="1:15" x14ac:dyDescent="0.3">
      <c r="A725" s="115" t="s">
        <v>369</v>
      </c>
      <c r="B725" s="10" t="s">
        <v>55</v>
      </c>
      <c r="C725" s="32" t="s">
        <v>249</v>
      </c>
      <c r="D725" s="32" t="s">
        <v>39</v>
      </c>
      <c r="E725" s="32" t="s">
        <v>33</v>
      </c>
      <c r="F725" s="32" t="s">
        <v>34</v>
      </c>
      <c r="G725" s="32" t="s">
        <v>56</v>
      </c>
      <c r="H725" s="41">
        <v>45696</v>
      </c>
      <c r="I725" s="81">
        <v>189</v>
      </c>
      <c r="J725" s="93">
        <v>650</v>
      </c>
      <c r="K725" s="86">
        <v>0.11</v>
      </c>
      <c r="L725" s="32" t="s">
        <v>30</v>
      </c>
      <c r="M725" s="162">
        <v>122850</v>
      </c>
      <c r="N725" s="162">
        <v>109336.5</v>
      </c>
      <c r="O725" s="32" t="s">
        <v>267</v>
      </c>
    </row>
    <row r="726" spans="1:15" x14ac:dyDescent="0.3">
      <c r="A726" s="115" t="s">
        <v>370</v>
      </c>
      <c r="B726" s="11" t="s">
        <v>63</v>
      </c>
      <c r="C726" s="30" t="s">
        <v>253</v>
      </c>
      <c r="D726" s="30" t="s">
        <v>50</v>
      </c>
      <c r="E726" s="30" t="s">
        <v>27</v>
      </c>
      <c r="F726" s="30" t="s">
        <v>34</v>
      </c>
      <c r="G726" s="30" t="s">
        <v>35</v>
      </c>
      <c r="H726" s="39">
        <v>45696</v>
      </c>
      <c r="I726" s="79">
        <v>347</v>
      </c>
      <c r="J726" s="91">
        <v>750</v>
      </c>
      <c r="K726" s="84">
        <v>0</v>
      </c>
      <c r="L726" s="30" t="s">
        <v>30</v>
      </c>
      <c r="M726" s="160">
        <v>260250</v>
      </c>
      <c r="N726" s="160">
        <v>260250</v>
      </c>
      <c r="O726" s="30" t="s">
        <v>267</v>
      </c>
    </row>
    <row r="727" spans="1:15" x14ac:dyDescent="0.3">
      <c r="A727" s="115" t="s">
        <v>371</v>
      </c>
      <c r="B727" s="10" t="s">
        <v>55</v>
      </c>
      <c r="C727" s="32" t="s">
        <v>249</v>
      </c>
      <c r="D727" s="32" t="s">
        <v>39</v>
      </c>
      <c r="E727" s="32" t="s">
        <v>27</v>
      </c>
      <c r="F727" s="32" t="s">
        <v>41</v>
      </c>
      <c r="G727" s="32" t="s">
        <v>53</v>
      </c>
      <c r="H727" s="41">
        <v>45697</v>
      </c>
      <c r="I727" s="81">
        <v>277</v>
      </c>
      <c r="J727" s="93">
        <v>650</v>
      </c>
      <c r="K727" s="86">
        <v>0.11</v>
      </c>
      <c r="L727" s="32" t="s">
        <v>30</v>
      </c>
      <c r="M727" s="162">
        <v>180050</v>
      </c>
      <c r="N727" s="162">
        <v>160244.5</v>
      </c>
      <c r="O727" s="32" t="s">
        <v>267</v>
      </c>
    </row>
    <row r="728" spans="1:15" x14ac:dyDescent="0.3">
      <c r="A728" s="115" t="s">
        <v>372</v>
      </c>
      <c r="B728" s="11" t="s">
        <v>58</v>
      </c>
      <c r="C728" s="30" t="s">
        <v>255</v>
      </c>
      <c r="D728" s="30" t="s">
        <v>59</v>
      </c>
      <c r="E728" s="30" t="s">
        <v>51</v>
      </c>
      <c r="F728" s="30" t="s">
        <v>41</v>
      </c>
      <c r="G728" s="30" t="s">
        <v>56</v>
      </c>
      <c r="H728" s="39">
        <v>45697</v>
      </c>
      <c r="I728" s="79">
        <v>24</v>
      </c>
      <c r="J728" s="91">
        <v>2800</v>
      </c>
      <c r="K728" s="84">
        <v>0.05</v>
      </c>
      <c r="L728" s="30" t="s">
        <v>36</v>
      </c>
      <c r="M728" s="160">
        <v>67200</v>
      </c>
      <c r="N728" s="160">
        <v>63840</v>
      </c>
      <c r="O728" s="30" t="s">
        <v>265</v>
      </c>
    </row>
    <row r="729" spans="1:15" x14ac:dyDescent="0.3">
      <c r="A729" s="115" t="s">
        <v>373</v>
      </c>
      <c r="B729" s="10" t="s">
        <v>61</v>
      </c>
      <c r="C729" s="32" t="s">
        <v>244</v>
      </c>
      <c r="D729" s="32" t="s">
        <v>26</v>
      </c>
      <c r="E729" s="32" t="s">
        <v>40</v>
      </c>
      <c r="F729" s="32" t="s">
        <v>41</v>
      </c>
      <c r="G729" s="32" t="s">
        <v>35</v>
      </c>
      <c r="H729" s="41">
        <v>45698</v>
      </c>
      <c r="I729" s="81">
        <v>340</v>
      </c>
      <c r="J729" s="93">
        <v>280</v>
      </c>
      <c r="K729" s="86">
        <v>0.03</v>
      </c>
      <c r="L729" s="32" t="s">
        <v>36</v>
      </c>
      <c r="M729" s="162">
        <v>95200</v>
      </c>
      <c r="N729" s="162">
        <v>92344</v>
      </c>
      <c r="O729" s="32" t="s">
        <v>265</v>
      </c>
    </row>
    <row r="730" spans="1:15" x14ac:dyDescent="0.3">
      <c r="A730" s="115" t="s">
        <v>374</v>
      </c>
      <c r="B730" s="11" t="s">
        <v>49</v>
      </c>
      <c r="C730" s="30" t="s">
        <v>251</v>
      </c>
      <c r="D730" s="30" t="s">
        <v>50</v>
      </c>
      <c r="E730" s="30" t="s">
        <v>51</v>
      </c>
      <c r="F730" s="30" t="s">
        <v>34</v>
      </c>
      <c r="G730" s="30" t="s">
        <v>42</v>
      </c>
      <c r="H730" s="39">
        <v>45698</v>
      </c>
      <c r="I730" s="79">
        <v>136</v>
      </c>
      <c r="J730" s="91">
        <v>895</v>
      </c>
      <c r="K730" s="84">
        <v>0</v>
      </c>
      <c r="L730" s="30" t="s">
        <v>36</v>
      </c>
      <c r="M730" s="160">
        <v>121720</v>
      </c>
      <c r="N730" s="160">
        <v>121720</v>
      </c>
      <c r="O730" s="30" t="s">
        <v>267</v>
      </c>
    </row>
    <row r="731" spans="1:15" x14ac:dyDescent="0.3">
      <c r="A731" s="115" t="s">
        <v>375</v>
      </c>
      <c r="B731" s="10" t="s">
        <v>32</v>
      </c>
      <c r="C731" s="32" t="s">
        <v>246</v>
      </c>
      <c r="D731" s="32" t="s">
        <v>26</v>
      </c>
      <c r="E731" s="32" t="s">
        <v>40</v>
      </c>
      <c r="F731" s="32" t="s">
        <v>34</v>
      </c>
      <c r="G731" s="32" t="s">
        <v>47</v>
      </c>
      <c r="H731" s="41">
        <v>45698</v>
      </c>
      <c r="I731" s="81">
        <v>93</v>
      </c>
      <c r="J731" s="93">
        <v>420</v>
      </c>
      <c r="K731" s="86">
        <v>0.14000000000000001</v>
      </c>
      <c r="L731" s="32" t="s">
        <v>30</v>
      </c>
      <c r="M731" s="162">
        <v>39060</v>
      </c>
      <c r="N731" s="162">
        <v>33591.599999999999</v>
      </c>
      <c r="O731" s="32" t="s">
        <v>265</v>
      </c>
    </row>
    <row r="732" spans="1:15" x14ac:dyDescent="0.3">
      <c r="A732" s="115" t="s">
        <v>376</v>
      </c>
      <c r="B732" s="11" t="s">
        <v>55</v>
      </c>
      <c r="C732" s="30" t="s">
        <v>249</v>
      </c>
      <c r="D732" s="30" t="s">
        <v>39</v>
      </c>
      <c r="E732" s="30" t="s">
        <v>40</v>
      </c>
      <c r="F732" s="30" t="s">
        <v>28</v>
      </c>
      <c r="G732" s="30" t="s">
        <v>42</v>
      </c>
      <c r="H732" s="39">
        <v>45699</v>
      </c>
      <c r="I732" s="79">
        <v>389</v>
      </c>
      <c r="J732" s="91">
        <v>650</v>
      </c>
      <c r="K732" s="84">
        <v>0.13</v>
      </c>
      <c r="L732" s="30" t="s">
        <v>36</v>
      </c>
      <c r="M732" s="160">
        <v>252850</v>
      </c>
      <c r="N732" s="160">
        <v>219979.5</v>
      </c>
      <c r="O732" s="30" t="s">
        <v>267</v>
      </c>
    </row>
    <row r="733" spans="1:15" x14ac:dyDescent="0.3">
      <c r="A733" s="115" t="s">
        <v>377</v>
      </c>
      <c r="B733" s="10" t="s">
        <v>16</v>
      </c>
      <c r="C733" s="32" t="s">
        <v>250</v>
      </c>
      <c r="D733" s="32" t="s">
        <v>39</v>
      </c>
      <c r="E733" s="32" t="s">
        <v>51</v>
      </c>
      <c r="F733" s="32" t="s">
        <v>34</v>
      </c>
      <c r="G733" s="32" t="s">
        <v>29</v>
      </c>
      <c r="H733" s="41">
        <v>45699</v>
      </c>
      <c r="I733" s="81">
        <v>134</v>
      </c>
      <c r="J733" s="93">
        <v>990</v>
      </c>
      <c r="K733" s="86">
        <v>0.13</v>
      </c>
      <c r="L733" s="32" t="s">
        <v>36</v>
      </c>
      <c r="M733" s="162">
        <v>132660</v>
      </c>
      <c r="N733" s="162">
        <v>115414.2</v>
      </c>
      <c r="O733" s="32" t="s">
        <v>267</v>
      </c>
    </row>
    <row r="734" spans="1:15" x14ac:dyDescent="0.3">
      <c r="A734" s="115" t="s">
        <v>378</v>
      </c>
      <c r="B734" s="11" t="s">
        <v>61</v>
      </c>
      <c r="C734" s="30" t="s">
        <v>244</v>
      </c>
      <c r="D734" s="30" t="s">
        <v>26</v>
      </c>
      <c r="E734" s="30" t="s">
        <v>33</v>
      </c>
      <c r="F734" s="30" t="s">
        <v>28</v>
      </c>
      <c r="G734" s="30" t="s">
        <v>29</v>
      </c>
      <c r="H734" s="39">
        <v>45701</v>
      </c>
      <c r="I734" s="79">
        <v>499</v>
      </c>
      <c r="J734" s="91">
        <v>280</v>
      </c>
      <c r="K734" s="84">
        <v>0.15</v>
      </c>
      <c r="L734" s="30" t="s">
        <v>36</v>
      </c>
      <c r="M734" s="160">
        <v>139720</v>
      </c>
      <c r="N734" s="160">
        <v>118762</v>
      </c>
      <c r="O734" s="30" t="s">
        <v>267</v>
      </c>
    </row>
    <row r="735" spans="1:15" x14ac:dyDescent="0.3">
      <c r="A735" s="115" t="s">
        <v>379</v>
      </c>
      <c r="B735" s="10" t="s">
        <v>63</v>
      </c>
      <c r="C735" s="32" t="s">
        <v>253</v>
      </c>
      <c r="D735" s="32" t="s">
        <v>50</v>
      </c>
      <c r="E735" s="32" t="s">
        <v>40</v>
      </c>
      <c r="F735" s="32" t="s">
        <v>52</v>
      </c>
      <c r="G735" s="32" t="s">
        <v>35</v>
      </c>
      <c r="H735" s="41">
        <v>45701</v>
      </c>
      <c r="I735" s="81">
        <v>124</v>
      </c>
      <c r="J735" s="93">
        <v>750</v>
      </c>
      <c r="K735" s="86">
        <v>0.15</v>
      </c>
      <c r="L735" s="32" t="s">
        <v>36</v>
      </c>
      <c r="M735" s="162">
        <v>93000</v>
      </c>
      <c r="N735" s="162">
        <v>79050</v>
      </c>
      <c r="O735" s="32" t="s">
        <v>265</v>
      </c>
    </row>
    <row r="736" spans="1:15" x14ac:dyDescent="0.3">
      <c r="A736" s="115" t="s">
        <v>380</v>
      </c>
      <c r="B736" s="11" t="s">
        <v>55</v>
      </c>
      <c r="C736" s="30" t="s">
        <v>249</v>
      </c>
      <c r="D736" s="30" t="s">
        <v>39</v>
      </c>
      <c r="E736" s="30" t="s">
        <v>51</v>
      </c>
      <c r="F736" s="30" t="s">
        <v>34</v>
      </c>
      <c r="G736" s="30" t="s">
        <v>47</v>
      </c>
      <c r="H736" s="39">
        <v>45701</v>
      </c>
      <c r="I736" s="79">
        <v>205</v>
      </c>
      <c r="J736" s="91">
        <v>650</v>
      </c>
      <c r="K736" s="84">
        <v>0.05</v>
      </c>
      <c r="L736" s="30" t="s">
        <v>36</v>
      </c>
      <c r="M736" s="160">
        <v>133250</v>
      </c>
      <c r="N736" s="160">
        <v>126587.5</v>
      </c>
      <c r="O736" s="30" t="s">
        <v>267</v>
      </c>
    </row>
    <row r="737" spans="1:15" x14ac:dyDescent="0.3">
      <c r="A737" s="115" t="s">
        <v>381</v>
      </c>
      <c r="B737" s="10" t="s">
        <v>58</v>
      </c>
      <c r="C737" s="32" t="s">
        <v>255</v>
      </c>
      <c r="D737" s="32" t="s">
        <v>59</v>
      </c>
      <c r="E737" s="32" t="s">
        <v>51</v>
      </c>
      <c r="F737" s="32" t="s">
        <v>52</v>
      </c>
      <c r="G737" s="32" t="s">
        <v>53</v>
      </c>
      <c r="H737" s="41">
        <v>45702</v>
      </c>
      <c r="I737" s="81">
        <v>324</v>
      </c>
      <c r="J737" s="93">
        <v>2800</v>
      </c>
      <c r="K737" s="86">
        <v>0</v>
      </c>
      <c r="L737" s="32" t="s">
        <v>30</v>
      </c>
      <c r="M737" s="162">
        <v>907200</v>
      </c>
      <c r="N737" s="162">
        <v>907200</v>
      </c>
      <c r="O737" s="32" t="s">
        <v>277</v>
      </c>
    </row>
    <row r="738" spans="1:15" x14ac:dyDescent="0.3">
      <c r="A738" s="115" t="s">
        <v>382</v>
      </c>
      <c r="B738" s="11" t="s">
        <v>38</v>
      </c>
      <c r="C738" s="30" t="s">
        <v>247</v>
      </c>
      <c r="D738" s="30" t="s">
        <v>39</v>
      </c>
      <c r="E738" s="30" t="s">
        <v>33</v>
      </c>
      <c r="F738" s="30" t="s">
        <v>46</v>
      </c>
      <c r="G738" s="30" t="s">
        <v>42</v>
      </c>
      <c r="H738" s="39">
        <v>45702</v>
      </c>
      <c r="I738" s="79">
        <v>141</v>
      </c>
      <c r="J738" s="91">
        <v>1200</v>
      </c>
      <c r="K738" s="84">
        <v>0.15</v>
      </c>
      <c r="L738" s="30" t="s">
        <v>36</v>
      </c>
      <c r="M738" s="160">
        <v>169200</v>
      </c>
      <c r="N738" s="160">
        <v>143820</v>
      </c>
      <c r="O738" s="30" t="s">
        <v>267</v>
      </c>
    </row>
    <row r="739" spans="1:15" x14ac:dyDescent="0.3">
      <c r="A739" s="115" t="s">
        <v>383</v>
      </c>
      <c r="B739" s="10" t="s">
        <v>61</v>
      </c>
      <c r="C739" s="32" t="s">
        <v>244</v>
      </c>
      <c r="D739" s="32" t="s">
        <v>26</v>
      </c>
      <c r="E739" s="32" t="s">
        <v>33</v>
      </c>
      <c r="F739" s="32" t="s">
        <v>46</v>
      </c>
      <c r="G739" s="32" t="s">
        <v>35</v>
      </c>
      <c r="H739" s="41">
        <v>45702</v>
      </c>
      <c r="I739" s="81">
        <v>404</v>
      </c>
      <c r="J739" s="93">
        <v>280</v>
      </c>
      <c r="K739" s="86">
        <v>0</v>
      </c>
      <c r="L739" s="32" t="s">
        <v>36</v>
      </c>
      <c r="M739" s="162">
        <v>113120</v>
      </c>
      <c r="N739" s="162">
        <v>113120</v>
      </c>
      <c r="O739" s="32" t="s">
        <v>267</v>
      </c>
    </row>
    <row r="740" spans="1:15" x14ac:dyDescent="0.3">
      <c r="A740" s="115" t="s">
        <v>384</v>
      </c>
      <c r="B740" s="11" t="s">
        <v>25</v>
      </c>
      <c r="C740" s="30" t="s">
        <v>257</v>
      </c>
      <c r="D740" s="30" t="s">
        <v>26</v>
      </c>
      <c r="E740" s="30" t="s">
        <v>45</v>
      </c>
      <c r="F740" s="30" t="s">
        <v>28</v>
      </c>
      <c r="G740" s="30" t="s">
        <v>47</v>
      </c>
      <c r="H740" s="39">
        <v>45704</v>
      </c>
      <c r="I740" s="79">
        <v>231</v>
      </c>
      <c r="J740" s="91">
        <v>350</v>
      </c>
      <c r="K740" s="84">
        <v>0.12</v>
      </c>
      <c r="L740" s="30" t="s">
        <v>36</v>
      </c>
      <c r="M740" s="160">
        <v>80850</v>
      </c>
      <c r="N740" s="160">
        <v>71148</v>
      </c>
      <c r="O740" s="30" t="s">
        <v>265</v>
      </c>
    </row>
    <row r="741" spans="1:15" x14ac:dyDescent="0.3">
      <c r="A741" s="115" t="s">
        <v>385</v>
      </c>
      <c r="B741" s="10" t="s">
        <v>32</v>
      </c>
      <c r="C741" s="32" t="s">
        <v>246</v>
      </c>
      <c r="D741" s="32" t="s">
        <v>26</v>
      </c>
      <c r="E741" s="32" t="s">
        <v>40</v>
      </c>
      <c r="F741" s="32" t="s">
        <v>28</v>
      </c>
      <c r="G741" s="32" t="s">
        <v>47</v>
      </c>
      <c r="H741" s="41">
        <v>45704</v>
      </c>
      <c r="I741" s="81">
        <v>50</v>
      </c>
      <c r="J741" s="93">
        <v>420</v>
      </c>
      <c r="K741" s="86">
        <v>7.0000000000000007E-2</v>
      </c>
      <c r="L741" s="32" t="s">
        <v>36</v>
      </c>
      <c r="M741" s="162">
        <v>21000</v>
      </c>
      <c r="N741" s="162">
        <v>19530</v>
      </c>
      <c r="O741" s="32" t="s">
        <v>265</v>
      </c>
    </row>
    <row r="742" spans="1:15" x14ac:dyDescent="0.3">
      <c r="A742" s="115" t="s">
        <v>386</v>
      </c>
      <c r="B742" s="11" t="s">
        <v>49</v>
      </c>
      <c r="C742" s="30" t="s">
        <v>251</v>
      </c>
      <c r="D742" s="30" t="s">
        <v>50</v>
      </c>
      <c r="E742" s="30" t="s">
        <v>51</v>
      </c>
      <c r="F742" s="30" t="s">
        <v>52</v>
      </c>
      <c r="G742" s="30" t="s">
        <v>42</v>
      </c>
      <c r="H742" s="39">
        <v>45705</v>
      </c>
      <c r="I742" s="79">
        <v>75</v>
      </c>
      <c r="J742" s="91">
        <v>895</v>
      </c>
      <c r="K742" s="84">
        <v>0.08</v>
      </c>
      <c r="L742" s="30" t="s">
        <v>36</v>
      </c>
      <c r="M742" s="160">
        <v>67125</v>
      </c>
      <c r="N742" s="160">
        <v>61755</v>
      </c>
      <c r="O742" s="30" t="s">
        <v>265</v>
      </c>
    </row>
    <row r="743" spans="1:15" x14ac:dyDescent="0.3">
      <c r="A743" s="115" t="s">
        <v>387</v>
      </c>
      <c r="B743" s="10" t="s">
        <v>16</v>
      </c>
      <c r="C743" s="32" t="s">
        <v>250</v>
      </c>
      <c r="D743" s="32" t="s">
        <v>39</v>
      </c>
      <c r="E743" s="32" t="s">
        <v>27</v>
      </c>
      <c r="F743" s="32" t="s">
        <v>52</v>
      </c>
      <c r="G743" s="32" t="s">
        <v>29</v>
      </c>
      <c r="H743" s="41">
        <v>45705</v>
      </c>
      <c r="I743" s="81">
        <v>182</v>
      </c>
      <c r="J743" s="93">
        <v>990</v>
      </c>
      <c r="K743" s="86">
        <v>0.03</v>
      </c>
      <c r="L743" s="32" t="s">
        <v>30</v>
      </c>
      <c r="M743" s="162">
        <v>180180</v>
      </c>
      <c r="N743" s="162">
        <v>174774.6</v>
      </c>
      <c r="O743" s="32" t="s">
        <v>267</v>
      </c>
    </row>
    <row r="744" spans="1:15" x14ac:dyDescent="0.3">
      <c r="A744" s="115" t="s">
        <v>388</v>
      </c>
      <c r="B744" s="11" t="s">
        <v>58</v>
      </c>
      <c r="C744" s="30" t="s">
        <v>255</v>
      </c>
      <c r="D744" s="30" t="s">
        <v>59</v>
      </c>
      <c r="E744" s="30" t="s">
        <v>33</v>
      </c>
      <c r="F744" s="30" t="s">
        <v>28</v>
      </c>
      <c r="G744" s="30" t="s">
        <v>47</v>
      </c>
      <c r="H744" s="39">
        <v>45705</v>
      </c>
      <c r="I744" s="79">
        <v>361</v>
      </c>
      <c r="J744" s="91">
        <v>2800</v>
      </c>
      <c r="K744" s="84">
        <v>0.13</v>
      </c>
      <c r="L744" s="30" t="s">
        <v>30</v>
      </c>
      <c r="M744" s="160">
        <v>1010800</v>
      </c>
      <c r="N744" s="160">
        <v>879396</v>
      </c>
      <c r="O744" s="30" t="s">
        <v>277</v>
      </c>
    </row>
    <row r="745" spans="1:15" x14ac:dyDescent="0.3">
      <c r="A745" s="115" t="s">
        <v>389</v>
      </c>
      <c r="B745" s="10" t="s">
        <v>38</v>
      </c>
      <c r="C745" s="32" t="s">
        <v>247</v>
      </c>
      <c r="D745" s="32" t="s">
        <v>39</v>
      </c>
      <c r="E745" s="32" t="s">
        <v>27</v>
      </c>
      <c r="F745" s="32" t="s">
        <v>34</v>
      </c>
      <c r="G745" s="32" t="s">
        <v>42</v>
      </c>
      <c r="H745" s="41">
        <v>45706</v>
      </c>
      <c r="I745" s="81">
        <v>201</v>
      </c>
      <c r="J745" s="93">
        <v>1200</v>
      </c>
      <c r="K745" s="86">
        <v>0.11</v>
      </c>
      <c r="L745" s="32" t="s">
        <v>30</v>
      </c>
      <c r="M745" s="162">
        <v>241200</v>
      </c>
      <c r="N745" s="162">
        <v>214668</v>
      </c>
      <c r="O745" s="32" t="s">
        <v>267</v>
      </c>
    </row>
    <row r="746" spans="1:15" x14ac:dyDescent="0.3">
      <c r="A746" s="115" t="s">
        <v>390</v>
      </c>
      <c r="B746" s="11" t="s">
        <v>55</v>
      </c>
      <c r="C746" s="30" t="s">
        <v>249</v>
      </c>
      <c r="D746" s="30" t="s">
        <v>39</v>
      </c>
      <c r="E746" s="30" t="s">
        <v>33</v>
      </c>
      <c r="F746" s="30" t="s">
        <v>41</v>
      </c>
      <c r="G746" s="30" t="s">
        <v>47</v>
      </c>
      <c r="H746" s="39">
        <v>45706</v>
      </c>
      <c r="I746" s="79">
        <v>365</v>
      </c>
      <c r="J746" s="91">
        <v>650</v>
      </c>
      <c r="K746" s="84">
        <v>7.0000000000000007E-2</v>
      </c>
      <c r="L746" s="30" t="s">
        <v>30</v>
      </c>
      <c r="M746" s="160">
        <v>237250</v>
      </c>
      <c r="N746" s="160">
        <v>220642.5</v>
      </c>
      <c r="O746" s="30" t="s">
        <v>267</v>
      </c>
    </row>
    <row r="747" spans="1:15" x14ac:dyDescent="0.3">
      <c r="A747" s="115" t="s">
        <v>391</v>
      </c>
      <c r="B747" s="10" t="s">
        <v>55</v>
      </c>
      <c r="C747" s="32" t="s">
        <v>249</v>
      </c>
      <c r="D747" s="32" t="s">
        <v>39</v>
      </c>
      <c r="E747" s="32" t="s">
        <v>45</v>
      </c>
      <c r="F747" s="32" t="s">
        <v>28</v>
      </c>
      <c r="G747" s="32" t="s">
        <v>29</v>
      </c>
      <c r="H747" s="41">
        <v>45708</v>
      </c>
      <c r="I747" s="81">
        <v>371</v>
      </c>
      <c r="J747" s="93">
        <v>650</v>
      </c>
      <c r="K747" s="86">
        <v>0.11</v>
      </c>
      <c r="L747" s="32" t="s">
        <v>36</v>
      </c>
      <c r="M747" s="162">
        <v>241150</v>
      </c>
      <c r="N747" s="162">
        <v>214623.5</v>
      </c>
      <c r="O747" s="32" t="s">
        <v>267</v>
      </c>
    </row>
    <row r="748" spans="1:15" x14ac:dyDescent="0.3">
      <c r="A748" s="115" t="s">
        <v>392</v>
      </c>
      <c r="B748" s="11" t="s">
        <v>58</v>
      </c>
      <c r="C748" s="30" t="s">
        <v>255</v>
      </c>
      <c r="D748" s="30" t="s">
        <v>59</v>
      </c>
      <c r="E748" s="30" t="s">
        <v>27</v>
      </c>
      <c r="F748" s="30" t="s">
        <v>46</v>
      </c>
      <c r="G748" s="30" t="s">
        <v>35</v>
      </c>
      <c r="H748" s="39">
        <v>45708</v>
      </c>
      <c r="I748" s="79">
        <v>300</v>
      </c>
      <c r="J748" s="91">
        <v>2800</v>
      </c>
      <c r="K748" s="84">
        <v>0</v>
      </c>
      <c r="L748" s="30" t="s">
        <v>36</v>
      </c>
      <c r="M748" s="160">
        <v>840000</v>
      </c>
      <c r="N748" s="160">
        <v>840000</v>
      </c>
      <c r="O748" s="30" t="s">
        <v>277</v>
      </c>
    </row>
    <row r="749" spans="1:15" x14ac:dyDescent="0.3">
      <c r="A749" s="115" t="s">
        <v>393</v>
      </c>
      <c r="B749" s="10" t="s">
        <v>61</v>
      </c>
      <c r="C749" s="32" t="s">
        <v>244</v>
      </c>
      <c r="D749" s="32" t="s">
        <v>26</v>
      </c>
      <c r="E749" s="32" t="s">
        <v>45</v>
      </c>
      <c r="F749" s="32" t="s">
        <v>34</v>
      </c>
      <c r="G749" s="32" t="s">
        <v>56</v>
      </c>
      <c r="H749" s="41">
        <v>45708</v>
      </c>
      <c r="I749" s="81">
        <v>88</v>
      </c>
      <c r="J749" s="93">
        <v>280</v>
      </c>
      <c r="K749" s="86">
        <v>0.12</v>
      </c>
      <c r="L749" s="32" t="s">
        <v>36</v>
      </c>
      <c r="M749" s="162">
        <v>24640</v>
      </c>
      <c r="N749" s="162">
        <v>21683.200000000001</v>
      </c>
      <c r="O749" s="32" t="s">
        <v>265</v>
      </c>
    </row>
    <row r="750" spans="1:15" x14ac:dyDescent="0.3">
      <c r="A750" s="115" t="s">
        <v>394</v>
      </c>
      <c r="B750" s="11" t="s">
        <v>16</v>
      </c>
      <c r="C750" s="30" t="s">
        <v>250</v>
      </c>
      <c r="D750" s="30" t="s">
        <v>39</v>
      </c>
      <c r="E750" s="30" t="s">
        <v>33</v>
      </c>
      <c r="F750" s="30" t="s">
        <v>46</v>
      </c>
      <c r="G750" s="30" t="s">
        <v>35</v>
      </c>
      <c r="H750" s="39">
        <v>45710</v>
      </c>
      <c r="I750" s="79">
        <v>215</v>
      </c>
      <c r="J750" s="91">
        <v>990</v>
      </c>
      <c r="K750" s="84">
        <v>0</v>
      </c>
      <c r="L750" s="30" t="s">
        <v>36</v>
      </c>
      <c r="M750" s="160">
        <v>212850</v>
      </c>
      <c r="N750" s="160">
        <v>212850</v>
      </c>
      <c r="O750" s="30" t="s">
        <v>267</v>
      </c>
    </row>
    <row r="751" spans="1:15" x14ac:dyDescent="0.3">
      <c r="A751" s="115" t="s">
        <v>395</v>
      </c>
      <c r="B751" s="10" t="s">
        <v>55</v>
      </c>
      <c r="C751" s="32" t="s">
        <v>249</v>
      </c>
      <c r="D751" s="32" t="s">
        <v>39</v>
      </c>
      <c r="E751" s="32" t="s">
        <v>51</v>
      </c>
      <c r="F751" s="32" t="s">
        <v>46</v>
      </c>
      <c r="G751" s="32" t="s">
        <v>35</v>
      </c>
      <c r="H751" s="41">
        <v>45710</v>
      </c>
      <c r="I751" s="81">
        <v>66</v>
      </c>
      <c r="J751" s="93">
        <v>650</v>
      </c>
      <c r="K751" s="86">
        <v>0.13</v>
      </c>
      <c r="L751" s="32" t="s">
        <v>36</v>
      </c>
      <c r="M751" s="162">
        <v>42900</v>
      </c>
      <c r="N751" s="162">
        <v>37323</v>
      </c>
      <c r="O751" s="32" t="s">
        <v>265</v>
      </c>
    </row>
    <row r="752" spans="1:15" x14ac:dyDescent="0.3">
      <c r="A752" s="115" t="s">
        <v>396</v>
      </c>
      <c r="B752" s="11" t="s">
        <v>44</v>
      </c>
      <c r="C752" s="30" t="s">
        <v>254</v>
      </c>
      <c r="D752" s="30" t="s">
        <v>39</v>
      </c>
      <c r="E752" s="30" t="s">
        <v>27</v>
      </c>
      <c r="F752" s="30" t="s">
        <v>52</v>
      </c>
      <c r="G752" s="30" t="s">
        <v>29</v>
      </c>
      <c r="H752" s="39">
        <v>45710</v>
      </c>
      <c r="I752" s="79">
        <v>401</v>
      </c>
      <c r="J752" s="91">
        <v>200</v>
      </c>
      <c r="K752" s="84">
        <v>0</v>
      </c>
      <c r="L752" s="30" t="s">
        <v>36</v>
      </c>
      <c r="M752" s="160">
        <v>80200</v>
      </c>
      <c r="N752" s="160">
        <v>80200</v>
      </c>
      <c r="O752" s="30" t="s">
        <v>265</v>
      </c>
    </row>
    <row r="753" spans="1:15" x14ac:dyDescent="0.3">
      <c r="A753" s="115" t="s">
        <v>397</v>
      </c>
      <c r="B753" s="10" t="s">
        <v>49</v>
      </c>
      <c r="C753" s="32" t="s">
        <v>251</v>
      </c>
      <c r="D753" s="32" t="s">
        <v>50</v>
      </c>
      <c r="E753" s="32" t="s">
        <v>40</v>
      </c>
      <c r="F753" s="32" t="s">
        <v>34</v>
      </c>
      <c r="G753" s="32" t="s">
        <v>47</v>
      </c>
      <c r="H753" s="41">
        <v>45711</v>
      </c>
      <c r="I753" s="81">
        <v>358</v>
      </c>
      <c r="J753" s="93">
        <v>895</v>
      </c>
      <c r="K753" s="86">
        <v>0.08</v>
      </c>
      <c r="L753" s="32" t="s">
        <v>30</v>
      </c>
      <c r="M753" s="162">
        <v>320410</v>
      </c>
      <c r="N753" s="162">
        <v>294777.2</v>
      </c>
      <c r="O753" s="32" t="s">
        <v>267</v>
      </c>
    </row>
    <row r="754" spans="1:15" x14ac:dyDescent="0.3">
      <c r="A754" s="115" t="s">
        <v>398</v>
      </c>
      <c r="B754" s="11" t="s">
        <v>63</v>
      </c>
      <c r="C754" s="30" t="s">
        <v>253</v>
      </c>
      <c r="D754" s="30" t="s">
        <v>50</v>
      </c>
      <c r="E754" s="30" t="s">
        <v>33</v>
      </c>
      <c r="F754" s="30" t="s">
        <v>28</v>
      </c>
      <c r="G754" s="30" t="s">
        <v>56</v>
      </c>
      <c r="H754" s="39">
        <v>45711</v>
      </c>
      <c r="I754" s="79">
        <v>164</v>
      </c>
      <c r="J754" s="91">
        <v>750</v>
      </c>
      <c r="K754" s="84">
        <v>0.13</v>
      </c>
      <c r="L754" s="30" t="s">
        <v>30</v>
      </c>
      <c r="M754" s="160">
        <v>123000</v>
      </c>
      <c r="N754" s="160">
        <v>107010</v>
      </c>
      <c r="O754" s="30" t="s">
        <v>267</v>
      </c>
    </row>
    <row r="755" spans="1:15" x14ac:dyDescent="0.3">
      <c r="A755" s="115" t="s">
        <v>399</v>
      </c>
      <c r="B755" s="10" t="s">
        <v>16</v>
      </c>
      <c r="C755" s="32" t="s">
        <v>250</v>
      </c>
      <c r="D755" s="32" t="s">
        <v>39</v>
      </c>
      <c r="E755" s="32" t="s">
        <v>40</v>
      </c>
      <c r="F755" s="32" t="s">
        <v>34</v>
      </c>
      <c r="G755" s="32" t="s">
        <v>47</v>
      </c>
      <c r="H755" s="41">
        <v>45711</v>
      </c>
      <c r="I755" s="81">
        <v>151</v>
      </c>
      <c r="J755" s="93">
        <v>990</v>
      </c>
      <c r="K755" s="86">
        <v>0.12</v>
      </c>
      <c r="L755" s="32" t="s">
        <v>30</v>
      </c>
      <c r="M755" s="162">
        <v>149490</v>
      </c>
      <c r="N755" s="162">
        <v>131551.20000000001</v>
      </c>
      <c r="O755" s="32" t="s">
        <v>267</v>
      </c>
    </row>
    <row r="756" spans="1:15" x14ac:dyDescent="0.3">
      <c r="A756" s="115" t="s">
        <v>400</v>
      </c>
      <c r="B756" s="11" t="s">
        <v>32</v>
      </c>
      <c r="C756" s="30" t="s">
        <v>246</v>
      </c>
      <c r="D756" s="30" t="s">
        <v>26</v>
      </c>
      <c r="E756" s="30" t="s">
        <v>33</v>
      </c>
      <c r="F756" s="30" t="s">
        <v>41</v>
      </c>
      <c r="G756" s="30" t="s">
        <v>29</v>
      </c>
      <c r="H756" s="39">
        <v>45712</v>
      </c>
      <c r="I756" s="79">
        <v>119</v>
      </c>
      <c r="J756" s="91">
        <v>420</v>
      </c>
      <c r="K756" s="84">
        <v>0.13</v>
      </c>
      <c r="L756" s="30" t="s">
        <v>36</v>
      </c>
      <c r="M756" s="160">
        <v>49980</v>
      </c>
      <c r="N756" s="160">
        <v>43482.6</v>
      </c>
      <c r="O756" s="30" t="s">
        <v>265</v>
      </c>
    </row>
    <row r="757" spans="1:15" x14ac:dyDescent="0.3">
      <c r="A757" s="115" t="s">
        <v>401</v>
      </c>
      <c r="B757" s="10" t="s">
        <v>61</v>
      </c>
      <c r="C757" s="32" t="s">
        <v>244</v>
      </c>
      <c r="D757" s="32" t="s">
        <v>26</v>
      </c>
      <c r="E757" s="32" t="s">
        <v>33</v>
      </c>
      <c r="F757" s="32" t="s">
        <v>52</v>
      </c>
      <c r="G757" s="32" t="s">
        <v>47</v>
      </c>
      <c r="H757" s="41">
        <v>45712</v>
      </c>
      <c r="I757" s="81">
        <v>340</v>
      </c>
      <c r="J757" s="93">
        <v>280</v>
      </c>
      <c r="K757" s="86">
        <v>0.11</v>
      </c>
      <c r="L757" s="32" t="s">
        <v>30</v>
      </c>
      <c r="M757" s="162">
        <v>95200</v>
      </c>
      <c r="N757" s="162">
        <v>84728</v>
      </c>
      <c r="O757" s="32" t="s">
        <v>265</v>
      </c>
    </row>
    <row r="758" spans="1:15" x14ac:dyDescent="0.3">
      <c r="A758" s="115" t="s">
        <v>402</v>
      </c>
      <c r="B758" s="11" t="s">
        <v>32</v>
      </c>
      <c r="C758" s="30" t="s">
        <v>246</v>
      </c>
      <c r="D758" s="30" t="s">
        <v>26</v>
      </c>
      <c r="E758" s="30" t="s">
        <v>45</v>
      </c>
      <c r="F758" s="30" t="s">
        <v>46</v>
      </c>
      <c r="G758" s="30" t="s">
        <v>29</v>
      </c>
      <c r="H758" s="39">
        <v>45712</v>
      </c>
      <c r="I758" s="79">
        <v>185</v>
      </c>
      <c r="J758" s="91">
        <v>420</v>
      </c>
      <c r="K758" s="84">
        <v>0.05</v>
      </c>
      <c r="L758" s="30" t="s">
        <v>36</v>
      </c>
      <c r="M758" s="160">
        <v>77700</v>
      </c>
      <c r="N758" s="160">
        <v>73815</v>
      </c>
      <c r="O758" s="30" t="s">
        <v>265</v>
      </c>
    </row>
    <row r="759" spans="1:15" x14ac:dyDescent="0.3">
      <c r="A759" s="115" t="s">
        <v>403</v>
      </c>
      <c r="B759" s="10" t="s">
        <v>61</v>
      </c>
      <c r="C759" s="32" t="s">
        <v>244</v>
      </c>
      <c r="D759" s="32" t="s">
        <v>26</v>
      </c>
      <c r="E759" s="32" t="s">
        <v>33</v>
      </c>
      <c r="F759" s="32" t="s">
        <v>52</v>
      </c>
      <c r="G759" s="32" t="s">
        <v>42</v>
      </c>
      <c r="H759" s="41">
        <v>45713</v>
      </c>
      <c r="I759" s="81">
        <v>196</v>
      </c>
      <c r="J759" s="93">
        <v>280</v>
      </c>
      <c r="K759" s="86">
        <v>0.1</v>
      </c>
      <c r="L759" s="32" t="s">
        <v>36</v>
      </c>
      <c r="M759" s="162">
        <v>54880</v>
      </c>
      <c r="N759" s="162">
        <v>49392</v>
      </c>
      <c r="O759" s="32" t="s">
        <v>265</v>
      </c>
    </row>
    <row r="760" spans="1:15" x14ac:dyDescent="0.3">
      <c r="A760" s="115" t="s">
        <v>404</v>
      </c>
      <c r="B760" s="11" t="s">
        <v>38</v>
      </c>
      <c r="C760" s="30" t="s">
        <v>247</v>
      </c>
      <c r="D760" s="30" t="s">
        <v>39</v>
      </c>
      <c r="E760" s="30" t="s">
        <v>45</v>
      </c>
      <c r="F760" s="30" t="s">
        <v>52</v>
      </c>
      <c r="G760" s="30" t="s">
        <v>29</v>
      </c>
      <c r="H760" s="39">
        <v>45714</v>
      </c>
      <c r="I760" s="79">
        <v>262</v>
      </c>
      <c r="J760" s="91">
        <v>1200</v>
      </c>
      <c r="K760" s="84">
        <v>0.15</v>
      </c>
      <c r="L760" s="30" t="s">
        <v>36</v>
      </c>
      <c r="M760" s="160">
        <v>314400</v>
      </c>
      <c r="N760" s="160">
        <v>267240</v>
      </c>
      <c r="O760" s="30" t="s">
        <v>267</v>
      </c>
    </row>
    <row r="761" spans="1:15" x14ac:dyDescent="0.3">
      <c r="A761" s="115" t="s">
        <v>405</v>
      </c>
      <c r="B761" s="10" t="s">
        <v>63</v>
      </c>
      <c r="C761" s="32" t="s">
        <v>253</v>
      </c>
      <c r="D761" s="32" t="s">
        <v>50</v>
      </c>
      <c r="E761" s="32" t="s">
        <v>45</v>
      </c>
      <c r="F761" s="32" t="s">
        <v>28</v>
      </c>
      <c r="G761" s="32" t="s">
        <v>53</v>
      </c>
      <c r="H761" s="41">
        <v>45714</v>
      </c>
      <c r="I761" s="81">
        <v>211</v>
      </c>
      <c r="J761" s="93">
        <v>750</v>
      </c>
      <c r="K761" s="86">
        <v>0.15</v>
      </c>
      <c r="L761" s="32" t="s">
        <v>36</v>
      </c>
      <c r="M761" s="162">
        <v>158250</v>
      </c>
      <c r="N761" s="162">
        <v>134512.5</v>
      </c>
      <c r="O761" s="32" t="s">
        <v>267</v>
      </c>
    </row>
    <row r="762" spans="1:15" x14ac:dyDescent="0.3">
      <c r="A762" s="115" t="s">
        <v>406</v>
      </c>
      <c r="B762" s="11" t="s">
        <v>16</v>
      </c>
      <c r="C762" s="30" t="s">
        <v>250</v>
      </c>
      <c r="D762" s="30" t="s">
        <v>39</v>
      </c>
      <c r="E762" s="30" t="s">
        <v>27</v>
      </c>
      <c r="F762" s="30" t="s">
        <v>52</v>
      </c>
      <c r="G762" s="30" t="s">
        <v>42</v>
      </c>
      <c r="H762" s="39">
        <v>45715</v>
      </c>
      <c r="I762" s="79">
        <v>133</v>
      </c>
      <c r="J762" s="91">
        <v>990</v>
      </c>
      <c r="K762" s="84">
        <v>0.13</v>
      </c>
      <c r="L762" s="30" t="s">
        <v>36</v>
      </c>
      <c r="M762" s="160">
        <v>131670</v>
      </c>
      <c r="N762" s="160">
        <v>114552.9</v>
      </c>
      <c r="O762" s="30" t="s">
        <v>267</v>
      </c>
    </row>
    <row r="763" spans="1:15" x14ac:dyDescent="0.3">
      <c r="A763" s="115" t="s">
        <v>407</v>
      </c>
      <c r="B763" s="10" t="s">
        <v>44</v>
      </c>
      <c r="C763" s="32" t="s">
        <v>254</v>
      </c>
      <c r="D763" s="32" t="s">
        <v>39</v>
      </c>
      <c r="E763" s="32" t="s">
        <v>51</v>
      </c>
      <c r="F763" s="32" t="s">
        <v>28</v>
      </c>
      <c r="G763" s="32" t="s">
        <v>53</v>
      </c>
      <c r="H763" s="41">
        <v>45715</v>
      </c>
      <c r="I763" s="81">
        <v>102</v>
      </c>
      <c r="J763" s="93">
        <v>200</v>
      </c>
      <c r="K763" s="86">
        <v>0.12</v>
      </c>
      <c r="L763" s="32" t="s">
        <v>30</v>
      </c>
      <c r="M763" s="162">
        <v>20400</v>
      </c>
      <c r="N763" s="162">
        <v>17952</v>
      </c>
      <c r="O763" s="32" t="s">
        <v>265</v>
      </c>
    </row>
    <row r="764" spans="1:15" x14ac:dyDescent="0.3">
      <c r="A764" s="115" t="s">
        <v>408</v>
      </c>
      <c r="B764" s="11" t="s">
        <v>63</v>
      </c>
      <c r="C764" s="30" t="s">
        <v>253</v>
      </c>
      <c r="D764" s="30" t="s">
        <v>50</v>
      </c>
      <c r="E764" s="30" t="s">
        <v>40</v>
      </c>
      <c r="F764" s="30" t="s">
        <v>28</v>
      </c>
      <c r="G764" s="30" t="s">
        <v>29</v>
      </c>
      <c r="H764" s="39">
        <v>45715</v>
      </c>
      <c r="I764" s="79">
        <v>311</v>
      </c>
      <c r="J764" s="91">
        <v>750</v>
      </c>
      <c r="K764" s="84">
        <v>0.1</v>
      </c>
      <c r="L764" s="30" t="s">
        <v>30</v>
      </c>
      <c r="M764" s="160">
        <v>233250</v>
      </c>
      <c r="N764" s="160">
        <v>209925</v>
      </c>
      <c r="O764" s="30" t="s">
        <v>267</v>
      </c>
    </row>
    <row r="765" spans="1:15" x14ac:dyDescent="0.3">
      <c r="A765" s="115" t="s">
        <v>409</v>
      </c>
      <c r="B765" s="10" t="s">
        <v>58</v>
      </c>
      <c r="C765" s="32" t="s">
        <v>255</v>
      </c>
      <c r="D765" s="32" t="s">
        <v>59</v>
      </c>
      <c r="E765" s="32" t="s">
        <v>51</v>
      </c>
      <c r="F765" s="32" t="s">
        <v>34</v>
      </c>
      <c r="G765" s="32" t="s">
        <v>56</v>
      </c>
      <c r="H765" s="41">
        <v>45716</v>
      </c>
      <c r="I765" s="81">
        <v>335</v>
      </c>
      <c r="J765" s="93">
        <v>2800</v>
      </c>
      <c r="K765" s="86">
        <v>0</v>
      </c>
      <c r="L765" s="32" t="s">
        <v>36</v>
      </c>
      <c r="M765" s="162">
        <v>938000</v>
      </c>
      <c r="N765" s="162">
        <v>938000</v>
      </c>
      <c r="O765" s="32" t="s">
        <v>277</v>
      </c>
    </row>
    <row r="766" spans="1:15" x14ac:dyDescent="0.3">
      <c r="A766" s="115" t="s">
        <v>410</v>
      </c>
      <c r="B766" s="11" t="s">
        <v>49</v>
      </c>
      <c r="C766" s="30" t="s">
        <v>251</v>
      </c>
      <c r="D766" s="30" t="s">
        <v>50</v>
      </c>
      <c r="E766" s="30" t="s">
        <v>33</v>
      </c>
      <c r="F766" s="30" t="s">
        <v>41</v>
      </c>
      <c r="G766" s="30" t="s">
        <v>29</v>
      </c>
      <c r="H766" s="39">
        <v>45716</v>
      </c>
      <c r="I766" s="79">
        <v>175</v>
      </c>
      <c r="J766" s="91">
        <v>895</v>
      </c>
      <c r="K766" s="84">
        <v>0.12</v>
      </c>
      <c r="L766" s="30" t="s">
        <v>30</v>
      </c>
      <c r="M766" s="160">
        <v>156625</v>
      </c>
      <c r="N766" s="160">
        <v>137830</v>
      </c>
      <c r="O766" s="30" t="s">
        <v>267</v>
      </c>
    </row>
    <row r="767" spans="1:15" x14ac:dyDescent="0.3">
      <c r="A767" s="115" t="s">
        <v>411</v>
      </c>
      <c r="B767" s="10" t="s">
        <v>55</v>
      </c>
      <c r="C767" s="32" t="s">
        <v>249</v>
      </c>
      <c r="D767" s="32" t="s">
        <v>39</v>
      </c>
      <c r="E767" s="32" t="s">
        <v>51</v>
      </c>
      <c r="F767" s="32" t="s">
        <v>34</v>
      </c>
      <c r="G767" s="32" t="s">
        <v>47</v>
      </c>
      <c r="H767" s="41">
        <v>45717</v>
      </c>
      <c r="I767" s="81">
        <v>240</v>
      </c>
      <c r="J767" s="93">
        <v>650</v>
      </c>
      <c r="K767" s="86">
        <v>0.11</v>
      </c>
      <c r="L767" s="32" t="s">
        <v>36</v>
      </c>
      <c r="M767" s="162">
        <v>156000</v>
      </c>
      <c r="N767" s="162">
        <v>138840</v>
      </c>
      <c r="O767" s="32" t="s">
        <v>267</v>
      </c>
    </row>
    <row r="768" spans="1:15" x14ac:dyDescent="0.3">
      <c r="A768" s="115" t="s">
        <v>412</v>
      </c>
      <c r="B768" s="11" t="s">
        <v>55</v>
      </c>
      <c r="C768" s="30" t="s">
        <v>249</v>
      </c>
      <c r="D768" s="30" t="s">
        <v>39</v>
      </c>
      <c r="E768" s="30" t="s">
        <v>33</v>
      </c>
      <c r="F768" s="30" t="s">
        <v>28</v>
      </c>
      <c r="G768" s="30" t="s">
        <v>47</v>
      </c>
      <c r="H768" s="39">
        <v>45717</v>
      </c>
      <c r="I768" s="79">
        <v>180</v>
      </c>
      <c r="J768" s="91">
        <v>650</v>
      </c>
      <c r="K768" s="84">
        <v>0.1</v>
      </c>
      <c r="L768" s="30" t="s">
        <v>36</v>
      </c>
      <c r="M768" s="160">
        <v>117000</v>
      </c>
      <c r="N768" s="160">
        <v>105300</v>
      </c>
      <c r="O768" s="30" t="s">
        <v>267</v>
      </c>
    </row>
    <row r="769" spans="1:15" x14ac:dyDescent="0.3">
      <c r="A769" s="115" t="s">
        <v>413</v>
      </c>
      <c r="B769" s="10" t="s">
        <v>38</v>
      </c>
      <c r="C769" s="32" t="s">
        <v>247</v>
      </c>
      <c r="D769" s="32" t="s">
        <v>39</v>
      </c>
      <c r="E769" s="32" t="s">
        <v>40</v>
      </c>
      <c r="F769" s="32" t="s">
        <v>34</v>
      </c>
      <c r="G769" s="32" t="s">
        <v>47</v>
      </c>
      <c r="H769" s="41">
        <v>45717</v>
      </c>
      <c r="I769" s="81">
        <v>185</v>
      </c>
      <c r="J769" s="93">
        <v>1200</v>
      </c>
      <c r="K769" s="86">
        <v>0.1</v>
      </c>
      <c r="L769" s="32" t="s">
        <v>30</v>
      </c>
      <c r="M769" s="162">
        <v>222000</v>
      </c>
      <c r="N769" s="162">
        <v>199800</v>
      </c>
      <c r="O769" s="32" t="s">
        <v>267</v>
      </c>
    </row>
    <row r="770" spans="1:15" x14ac:dyDescent="0.3">
      <c r="A770" s="115" t="s">
        <v>414</v>
      </c>
      <c r="B770" s="11" t="s">
        <v>58</v>
      </c>
      <c r="C770" s="30" t="s">
        <v>255</v>
      </c>
      <c r="D770" s="30" t="s">
        <v>59</v>
      </c>
      <c r="E770" s="30" t="s">
        <v>27</v>
      </c>
      <c r="F770" s="30" t="s">
        <v>28</v>
      </c>
      <c r="G770" s="30" t="s">
        <v>53</v>
      </c>
      <c r="H770" s="39">
        <v>45719</v>
      </c>
      <c r="I770" s="79">
        <v>379</v>
      </c>
      <c r="J770" s="91">
        <v>2800</v>
      </c>
      <c r="K770" s="84">
        <v>0</v>
      </c>
      <c r="L770" s="30" t="s">
        <v>30</v>
      </c>
      <c r="M770" s="160">
        <v>1061200</v>
      </c>
      <c r="N770" s="160">
        <v>1061200</v>
      </c>
      <c r="O770" s="30" t="s">
        <v>277</v>
      </c>
    </row>
    <row r="771" spans="1:15" x14ac:dyDescent="0.3">
      <c r="A771" s="115" t="s">
        <v>415</v>
      </c>
      <c r="B771" s="10" t="s">
        <v>61</v>
      </c>
      <c r="C771" s="32" t="s">
        <v>244</v>
      </c>
      <c r="D771" s="32" t="s">
        <v>26</v>
      </c>
      <c r="E771" s="32" t="s">
        <v>33</v>
      </c>
      <c r="F771" s="32" t="s">
        <v>34</v>
      </c>
      <c r="G771" s="32" t="s">
        <v>35</v>
      </c>
      <c r="H771" s="41">
        <v>45719</v>
      </c>
      <c r="I771" s="81">
        <v>281</v>
      </c>
      <c r="J771" s="93">
        <v>280</v>
      </c>
      <c r="K771" s="86">
        <v>7.0000000000000007E-2</v>
      </c>
      <c r="L771" s="32" t="s">
        <v>36</v>
      </c>
      <c r="M771" s="162">
        <v>78680</v>
      </c>
      <c r="N771" s="162">
        <v>73172.399999999994</v>
      </c>
      <c r="O771" s="32" t="s">
        <v>265</v>
      </c>
    </row>
    <row r="772" spans="1:15" x14ac:dyDescent="0.3">
      <c r="A772" s="115" t="s">
        <v>416</v>
      </c>
      <c r="B772" s="11" t="s">
        <v>61</v>
      </c>
      <c r="C772" s="30" t="s">
        <v>244</v>
      </c>
      <c r="D772" s="30" t="s">
        <v>26</v>
      </c>
      <c r="E772" s="30" t="s">
        <v>33</v>
      </c>
      <c r="F772" s="30" t="s">
        <v>28</v>
      </c>
      <c r="G772" s="30" t="s">
        <v>56</v>
      </c>
      <c r="H772" s="39">
        <v>45719</v>
      </c>
      <c r="I772" s="79">
        <v>159</v>
      </c>
      <c r="J772" s="91">
        <v>280</v>
      </c>
      <c r="K772" s="84">
        <v>0.11</v>
      </c>
      <c r="L772" s="30" t="s">
        <v>36</v>
      </c>
      <c r="M772" s="160">
        <v>44520</v>
      </c>
      <c r="N772" s="160">
        <v>39622.800000000003</v>
      </c>
      <c r="O772" s="30" t="s">
        <v>265</v>
      </c>
    </row>
    <row r="773" spans="1:15" x14ac:dyDescent="0.3">
      <c r="A773" s="115" t="s">
        <v>417</v>
      </c>
      <c r="B773" s="10" t="s">
        <v>55</v>
      </c>
      <c r="C773" s="32" t="s">
        <v>249</v>
      </c>
      <c r="D773" s="32" t="s">
        <v>39</v>
      </c>
      <c r="E773" s="32" t="s">
        <v>27</v>
      </c>
      <c r="F773" s="32" t="s">
        <v>34</v>
      </c>
      <c r="G773" s="32" t="s">
        <v>47</v>
      </c>
      <c r="H773" s="41">
        <v>45721</v>
      </c>
      <c r="I773" s="81">
        <v>122</v>
      </c>
      <c r="J773" s="93">
        <v>650</v>
      </c>
      <c r="K773" s="86">
        <v>0.14000000000000001</v>
      </c>
      <c r="L773" s="32" t="s">
        <v>36</v>
      </c>
      <c r="M773" s="162">
        <v>79300</v>
      </c>
      <c r="N773" s="162">
        <v>68198</v>
      </c>
      <c r="O773" s="32" t="s">
        <v>265</v>
      </c>
    </row>
    <row r="774" spans="1:15" x14ac:dyDescent="0.3">
      <c r="A774" s="115" t="s">
        <v>418</v>
      </c>
      <c r="B774" s="11" t="s">
        <v>49</v>
      </c>
      <c r="C774" s="30" t="s">
        <v>251</v>
      </c>
      <c r="D774" s="30" t="s">
        <v>50</v>
      </c>
      <c r="E774" s="30" t="s">
        <v>45</v>
      </c>
      <c r="F774" s="30" t="s">
        <v>46</v>
      </c>
      <c r="G774" s="30" t="s">
        <v>29</v>
      </c>
      <c r="H774" s="39">
        <v>45721</v>
      </c>
      <c r="I774" s="79">
        <v>269</v>
      </c>
      <c r="J774" s="91">
        <v>895</v>
      </c>
      <c r="K774" s="84">
        <v>0.03</v>
      </c>
      <c r="L774" s="30" t="s">
        <v>36</v>
      </c>
      <c r="M774" s="160">
        <v>240755</v>
      </c>
      <c r="N774" s="160">
        <v>233532.35</v>
      </c>
      <c r="O774" s="30" t="s">
        <v>267</v>
      </c>
    </row>
    <row r="775" spans="1:15" x14ac:dyDescent="0.3">
      <c r="A775" s="115" t="s">
        <v>419</v>
      </c>
      <c r="B775" s="10" t="s">
        <v>58</v>
      </c>
      <c r="C775" s="32" t="s">
        <v>255</v>
      </c>
      <c r="D775" s="32" t="s">
        <v>59</v>
      </c>
      <c r="E775" s="32" t="s">
        <v>40</v>
      </c>
      <c r="F775" s="32" t="s">
        <v>34</v>
      </c>
      <c r="G775" s="32" t="s">
        <v>42</v>
      </c>
      <c r="H775" s="41">
        <v>45721</v>
      </c>
      <c r="I775" s="81">
        <v>287</v>
      </c>
      <c r="J775" s="93">
        <v>2800</v>
      </c>
      <c r="K775" s="86">
        <v>7.0000000000000007E-2</v>
      </c>
      <c r="L775" s="32" t="s">
        <v>30</v>
      </c>
      <c r="M775" s="162">
        <v>803600</v>
      </c>
      <c r="N775" s="162">
        <v>747348</v>
      </c>
      <c r="O775" s="32" t="s">
        <v>277</v>
      </c>
    </row>
    <row r="776" spans="1:15" x14ac:dyDescent="0.3">
      <c r="A776" s="115" t="s">
        <v>420</v>
      </c>
      <c r="B776" s="11" t="s">
        <v>55</v>
      </c>
      <c r="C776" s="30" t="s">
        <v>249</v>
      </c>
      <c r="D776" s="30" t="s">
        <v>39</v>
      </c>
      <c r="E776" s="30" t="s">
        <v>27</v>
      </c>
      <c r="F776" s="30" t="s">
        <v>41</v>
      </c>
      <c r="G776" s="30" t="s">
        <v>29</v>
      </c>
      <c r="H776" s="39">
        <v>45724</v>
      </c>
      <c r="I776" s="79">
        <v>175</v>
      </c>
      <c r="J776" s="91">
        <v>650</v>
      </c>
      <c r="K776" s="84">
        <v>0.14000000000000001</v>
      </c>
      <c r="L776" s="30" t="s">
        <v>36</v>
      </c>
      <c r="M776" s="160">
        <v>113750</v>
      </c>
      <c r="N776" s="160">
        <v>97825</v>
      </c>
      <c r="O776" s="30" t="s">
        <v>265</v>
      </c>
    </row>
    <row r="777" spans="1:15" x14ac:dyDescent="0.3">
      <c r="A777" s="115" t="s">
        <v>421</v>
      </c>
      <c r="B777" s="10" t="s">
        <v>38</v>
      </c>
      <c r="C777" s="32" t="s">
        <v>247</v>
      </c>
      <c r="D777" s="32" t="s">
        <v>39</v>
      </c>
      <c r="E777" s="32" t="s">
        <v>27</v>
      </c>
      <c r="F777" s="32" t="s">
        <v>52</v>
      </c>
      <c r="G777" s="32" t="s">
        <v>53</v>
      </c>
      <c r="H777" s="41">
        <v>45725</v>
      </c>
      <c r="I777" s="81">
        <v>58</v>
      </c>
      <c r="J777" s="93">
        <v>1200</v>
      </c>
      <c r="K777" s="86">
        <v>0</v>
      </c>
      <c r="L777" s="32" t="s">
        <v>36</v>
      </c>
      <c r="M777" s="162">
        <v>69600</v>
      </c>
      <c r="N777" s="162">
        <v>69600</v>
      </c>
      <c r="O777" s="32" t="s">
        <v>265</v>
      </c>
    </row>
    <row r="778" spans="1:15" x14ac:dyDescent="0.3">
      <c r="A778" s="115" t="s">
        <v>422</v>
      </c>
      <c r="B778" s="11" t="s">
        <v>38</v>
      </c>
      <c r="C778" s="30" t="s">
        <v>247</v>
      </c>
      <c r="D778" s="30" t="s">
        <v>39</v>
      </c>
      <c r="E778" s="30" t="s">
        <v>33</v>
      </c>
      <c r="F778" s="30" t="s">
        <v>41</v>
      </c>
      <c r="G778" s="30" t="s">
        <v>35</v>
      </c>
      <c r="H778" s="39">
        <v>45725</v>
      </c>
      <c r="I778" s="79">
        <v>288</v>
      </c>
      <c r="J778" s="91">
        <v>1200</v>
      </c>
      <c r="K778" s="84">
        <v>0</v>
      </c>
      <c r="L778" s="30" t="s">
        <v>36</v>
      </c>
      <c r="M778" s="160">
        <v>345600</v>
      </c>
      <c r="N778" s="160">
        <v>345600</v>
      </c>
      <c r="O778" s="30" t="s">
        <v>267</v>
      </c>
    </row>
    <row r="779" spans="1:15" x14ac:dyDescent="0.3">
      <c r="A779" s="115" t="s">
        <v>423</v>
      </c>
      <c r="B779" s="10" t="s">
        <v>55</v>
      </c>
      <c r="C779" s="32" t="s">
        <v>249</v>
      </c>
      <c r="D779" s="32" t="s">
        <v>39</v>
      </c>
      <c r="E779" s="32" t="s">
        <v>40</v>
      </c>
      <c r="F779" s="32" t="s">
        <v>46</v>
      </c>
      <c r="G779" s="32" t="s">
        <v>53</v>
      </c>
      <c r="H779" s="41">
        <v>45725</v>
      </c>
      <c r="I779" s="81">
        <v>272</v>
      </c>
      <c r="J779" s="93">
        <v>650</v>
      </c>
      <c r="K779" s="86">
        <v>7.0000000000000007E-2</v>
      </c>
      <c r="L779" s="32" t="s">
        <v>30</v>
      </c>
      <c r="M779" s="162">
        <v>176800</v>
      </c>
      <c r="N779" s="162">
        <v>164424</v>
      </c>
      <c r="O779" s="32" t="s">
        <v>267</v>
      </c>
    </row>
    <row r="780" spans="1:15" x14ac:dyDescent="0.3">
      <c r="A780" s="115" t="s">
        <v>424</v>
      </c>
      <c r="B780" s="11" t="s">
        <v>55</v>
      </c>
      <c r="C780" s="30" t="s">
        <v>249</v>
      </c>
      <c r="D780" s="30" t="s">
        <v>39</v>
      </c>
      <c r="E780" s="30" t="s">
        <v>27</v>
      </c>
      <c r="F780" s="30" t="s">
        <v>41</v>
      </c>
      <c r="G780" s="30" t="s">
        <v>47</v>
      </c>
      <c r="H780" s="39">
        <v>45726</v>
      </c>
      <c r="I780" s="79">
        <v>241</v>
      </c>
      <c r="J780" s="91">
        <v>650</v>
      </c>
      <c r="K780" s="84">
        <v>0.14000000000000001</v>
      </c>
      <c r="L780" s="30" t="s">
        <v>36</v>
      </c>
      <c r="M780" s="160">
        <v>156650</v>
      </c>
      <c r="N780" s="160">
        <v>134719</v>
      </c>
      <c r="O780" s="30" t="s">
        <v>267</v>
      </c>
    </row>
    <row r="781" spans="1:15" x14ac:dyDescent="0.3">
      <c r="A781" s="115" t="s">
        <v>425</v>
      </c>
      <c r="B781" s="10" t="s">
        <v>63</v>
      </c>
      <c r="C781" s="32" t="s">
        <v>253</v>
      </c>
      <c r="D781" s="32" t="s">
        <v>50</v>
      </c>
      <c r="E781" s="32" t="s">
        <v>40</v>
      </c>
      <c r="F781" s="32" t="s">
        <v>41</v>
      </c>
      <c r="G781" s="32" t="s">
        <v>29</v>
      </c>
      <c r="H781" s="41">
        <v>45726</v>
      </c>
      <c r="I781" s="81">
        <v>262</v>
      </c>
      <c r="J781" s="93">
        <v>750</v>
      </c>
      <c r="K781" s="86">
        <v>0.13</v>
      </c>
      <c r="L781" s="32" t="s">
        <v>36</v>
      </c>
      <c r="M781" s="162">
        <v>196500</v>
      </c>
      <c r="N781" s="162">
        <v>170955</v>
      </c>
      <c r="O781" s="32" t="s">
        <v>267</v>
      </c>
    </row>
    <row r="782" spans="1:15" x14ac:dyDescent="0.3">
      <c r="A782" s="115" t="s">
        <v>426</v>
      </c>
      <c r="B782" s="11" t="s">
        <v>49</v>
      </c>
      <c r="C782" s="30" t="s">
        <v>251</v>
      </c>
      <c r="D782" s="30" t="s">
        <v>50</v>
      </c>
      <c r="E782" s="30" t="s">
        <v>33</v>
      </c>
      <c r="F782" s="30" t="s">
        <v>46</v>
      </c>
      <c r="G782" s="30" t="s">
        <v>42</v>
      </c>
      <c r="H782" s="39">
        <v>45726</v>
      </c>
      <c r="I782" s="79">
        <v>344</v>
      </c>
      <c r="J782" s="91">
        <v>895</v>
      </c>
      <c r="K782" s="84">
        <v>0.1</v>
      </c>
      <c r="L782" s="30" t="s">
        <v>36</v>
      </c>
      <c r="M782" s="160">
        <v>307880</v>
      </c>
      <c r="N782" s="160">
        <v>277092</v>
      </c>
      <c r="O782" s="30" t="s">
        <v>267</v>
      </c>
    </row>
    <row r="783" spans="1:15" x14ac:dyDescent="0.3">
      <c r="A783" s="115" t="s">
        <v>427</v>
      </c>
      <c r="B783" s="10" t="s">
        <v>63</v>
      </c>
      <c r="C783" s="32" t="s">
        <v>253</v>
      </c>
      <c r="D783" s="32" t="s">
        <v>50</v>
      </c>
      <c r="E783" s="32" t="s">
        <v>40</v>
      </c>
      <c r="F783" s="32" t="s">
        <v>28</v>
      </c>
      <c r="G783" s="32" t="s">
        <v>56</v>
      </c>
      <c r="H783" s="41">
        <v>45727</v>
      </c>
      <c r="I783" s="81">
        <v>206</v>
      </c>
      <c r="J783" s="93">
        <v>750</v>
      </c>
      <c r="K783" s="86">
        <v>0.1</v>
      </c>
      <c r="L783" s="32" t="s">
        <v>30</v>
      </c>
      <c r="M783" s="162">
        <v>154500</v>
      </c>
      <c r="N783" s="162">
        <v>139050</v>
      </c>
      <c r="O783" s="32" t="s">
        <v>267</v>
      </c>
    </row>
    <row r="784" spans="1:15" x14ac:dyDescent="0.3">
      <c r="A784" s="115" t="s">
        <v>428</v>
      </c>
      <c r="B784" s="11" t="s">
        <v>63</v>
      </c>
      <c r="C784" s="30" t="s">
        <v>253</v>
      </c>
      <c r="D784" s="30" t="s">
        <v>50</v>
      </c>
      <c r="E784" s="30" t="s">
        <v>51</v>
      </c>
      <c r="F784" s="30" t="s">
        <v>28</v>
      </c>
      <c r="G784" s="30" t="s">
        <v>29</v>
      </c>
      <c r="H784" s="39">
        <v>45728</v>
      </c>
      <c r="I784" s="79">
        <v>92</v>
      </c>
      <c r="J784" s="91">
        <v>750</v>
      </c>
      <c r="K784" s="84">
        <v>0.11</v>
      </c>
      <c r="L784" s="30" t="s">
        <v>36</v>
      </c>
      <c r="M784" s="160">
        <v>69000</v>
      </c>
      <c r="N784" s="160">
        <v>61410</v>
      </c>
      <c r="O784" s="30" t="s">
        <v>265</v>
      </c>
    </row>
    <row r="785" spans="1:15" x14ac:dyDescent="0.3">
      <c r="A785" s="115" t="s">
        <v>429</v>
      </c>
      <c r="B785" s="10" t="s">
        <v>58</v>
      </c>
      <c r="C785" s="32" t="s">
        <v>255</v>
      </c>
      <c r="D785" s="32" t="s">
        <v>59</v>
      </c>
      <c r="E785" s="32" t="s">
        <v>51</v>
      </c>
      <c r="F785" s="32" t="s">
        <v>52</v>
      </c>
      <c r="G785" s="32" t="s">
        <v>29</v>
      </c>
      <c r="H785" s="41">
        <v>45729</v>
      </c>
      <c r="I785" s="81">
        <v>316</v>
      </c>
      <c r="J785" s="93">
        <v>2800</v>
      </c>
      <c r="K785" s="86">
        <v>0.14000000000000001</v>
      </c>
      <c r="L785" s="32" t="s">
        <v>30</v>
      </c>
      <c r="M785" s="162">
        <v>884800</v>
      </c>
      <c r="N785" s="162">
        <v>760928</v>
      </c>
      <c r="O785" s="32" t="s">
        <v>277</v>
      </c>
    </row>
    <row r="786" spans="1:15" x14ac:dyDescent="0.3">
      <c r="A786" s="115" t="s">
        <v>430</v>
      </c>
      <c r="B786" s="11" t="s">
        <v>58</v>
      </c>
      <c r="C786" s="30" t="s">
        <v>255</v>
      </c>
      <c r="D786" s="30" t="s">
        <v>59</v>
      </c>
      <c r="E786" s="30" t="s">
        <v>33</v>
      </c>
      <c r="F786" s="30" t="s">
        <v>52</v>
      </c>
      <c r="G786" s="30" t="s">
        <v>35</v>
      </c>
      <c r="H786" s="39">
        <v>45730</v>
      </c>
      <c r="I786" s="79">
        <v>376</v>
      </c>
      <c r="J786" s="91">
        <v>2800</v>
      </c>
      <c r="K786" s="84">
        <v>0</v>
      </c>
      <c r="L786" s="30" t="s">
        <v>36</v>
      </c>
      <c r="M786" s="160">
        <v>1052800</v>
      </c>
      <c r="N786" s="160">
        <v>1052800</v>
      </c>
      <c r="O786" s="30" t="s">
        <v>277</v>
      </c>
    </row>
    <row r="787" spans="1:15" x14ac:dyDescent="0.3">
      <c r="A787" s="115" t="s">
        <v>431</v>
      </c>
      <c r="B787" s="10" t="s">
        <v>58</v>
      </c>
      <c r="C787" s="32" t="s">
        <v>255</v>
      </c>
      <c r="D787" s="32" t="s">
        <v>59</v>
      </c>
      <c r="E787" s="32" t="s">
        <v>51</v>
      </c>
      <c r="F787" s="32" t="s">
        <v>28</v>
      </c>
      <c r="G787" s="32" t="s">
        <v>29</v>
      </c>
      <c r="H787" s="41">
        <v>45730</v>
      </c>
      <c r="I787" s="81">
        <v>323</v>
      </c>
      <c r="J787" s="93">
        <v>2800</v>
      </c>
      <c r="K787" s="86">
        <v>0.03</v>
      </c>
      <c r="L787" s="32" t="s">
        <v>30</v>
      </c>
      <c r="M787" s="162">
        <v>904400</v>
      </c>
      <c r="N787" s="162">
        <v>877268</v>
      </c>
      <c r="O787" s="32" t="s">
        <v>277</v>
      </c>
    </row>
    <row r="788" spans="1:15" x14ac:dyDescent="0.3">
      <c r="A788" s="115" t="s">
        <v>432</v>
      </c>
      <c r="B788" s="11" t="s">
        <v>58</v>
      </c>
      <c r="C788" s="30" t="s">
        <v>255</v>
      </c>
      <c r="D788" s="30" t="s">
        <v>59</v>
      </c>
      <c r="E788" s="30" t="s">
        <v>27</v>
      </c>
      <c r="F788" s="30" t="s">
        <v>41</v>
      </c>
      <c r="G788" s="30" t="s">
        <v>35</v>
      </c>
      <c r="H788" s="39">
        <v>45730</v>
      </c>
      <c r="I788" s="79">
        <v>258</v>
      </c>
      <c r="J788" s="91">
        <v>2800</v>
      </c>
      <c r="K788" s="84">
        <v>7.0000000000000007E-2</v>
      </c>
      <c r="L788" s="30" t="s">
        <v>36</v>
      </c>
      <c r="M788" s="160">
        <v>722400</v>
      </c>
      <c r="N788" s="160">
        <v>671832</v>
      </c>
      <c r="O788" s="30" t="s">
        <v>277</v>
      </c>
    </row>
    <row r="789" spans="1:15" x14ac:dyDescent="0.3">
      <c r="A789" s="115" t="s">
        <v>433</v>
      </c>
      <c r="B789" s="10" t="s">
        <v>63</v>
      </c>
      <c r="C789" s="32" t="s">
        <v>253</v>
      </c>
      <c r="D789" s="32" t="s">
        <v>50</v>
      </c>
      <c r="E789" s="32" t="s">
        <v>27</v>
      </c>
      <c r="F789" s="32" t="s">
        <v>34</v>
      </c>
      <c r="G789" s="32" t="s">
        <v>56</v>
      </c>
      <c r="H789" s="41">
        <v>45731</v>
      </c>
      <c r="I789" s="81">
        <v>360</v>
      </c>
      <c r="J789" s="93">
        <v>750</v>
      </c>
      <c r="K789" s="86">
        <v>0.1</v>
      </c>
      <c r="L789" s="32" t="s">
        <v>30</v>
      </c>
      <c r="M789" s="162">
        <v>270000</v>
      </c>
      <c r="N789" s="162">
        <v>243000</v>
      </c>
      <c r="O789" s="32" t="s">
        <v>267</v>
      </c>
    </row>
    <row r="790" spans="1:15" x14ac:dyDescent="0.3">
      <c r="A790" s="115" t="s">
        <v>434</v>
      </c>
      <c r="B790" s="11" t="s">
        <v>49</v>
      </c>
      <c r="C790" s="30" t="s">
        <v>251</v>
      </c>
      <c r="D790" s="30" t="s">
        <v>50</v>
      </c>
      <c r="E790" s="30" t="s">
        <v>51</v>
      </c>
      <c r="F790" s="30" t="s">
        <v>28</v>
      </c>
      <c r="G790" s="30" t="s">
        <v>42</v>
      </c>
      <c r="H790" s="39">
        <v>45731</v>
      </c>
      <c r="I790" s="79">
        <v>174</v>
      </c>
      <c r="J790" s="91">
        <v>895</v>
      </c>
      <c r="K790" s="84">
        <v>0.15</v>
      </c>
      <c r="L790" s="30" t="s">
        <v>36</v>
      </c>
      <c r="M790" s="160">
        <v>155730</v>
      </c>
      <c r="N790" s="160">
        <v>132370.5</v>
      </c>
      <c r="O790" s="30" t="s">
        <v>267</v>
      </c>
    </row>
    <row r="791" spans="1:15" x14ac:dyDescent="0.3">
      <c r="A791" s="115" t="s">
        <v>435</v>
      </c>
      <c r="B791" s="10" t="s">
        <v>25</v>
      </c>
      <c r="C791" s="32" t="s">
        <v>257</v>
      </c>
      <c r="D791" s="32" t="s">
        <v>26</v>
      </c>
      <c r="E791" s="32" t="s">
        <v>40</v>
      </c>
      <c r="F791" s="32" t="s">
        <v>34</v>
      </c>
      <c r="G791" s="32" t="s">
        <v>53</v>
      </c>
      <c r="H791" s="41">
        <v>45732</v>
      </c>
      <c r="I791" s="81">
        <v>204</v>
      </c>
      <c r="J791" s="93">
        <v>350</v>
      </c>
      <c r="K791" s="86">
        <v>0.15</v>
      </c>
      <c r="L791" s="32" t="s">
        <v>36</v>
      </c>
      <c r="M791" s="162">
        <v>71400</v>
      </c>
      <c r="N791" s="162">
        <v>60690</v>
      </c>
      <c r="O791" s="32" t="s">
        <v>265</v>
      </c>
    </row>
    <row r="792" spans="1:15" x14ac:dyDescent="0.3">
      <c r="A792" s="115" t="s">
        <v>436</v>
      </c>
      <c r="B792" s="11" t="s">
        <v>55</v>
      </c>
      <c r="C792" s="30" t="s">
        <v>249</v>
      </c>
      <c r="D792" s="30" t="s">
        <v>39</v>
      </c>
      <c r="E792" s="30" t="s">
        <v>51</v>
      </c>
      <c r="F792" s="30" t="s">
        <v>41</v>
      </c>
      <c r="G792" s="30" t="s">
        <v>56</v>
      </c>
      <c r="H792" s="39">
        <v>45732</v>
      </c>
      <c r="I792" s="79">
        <v>180</v>
      </c>
      <c r="J792" s="91">
        <v>650</v>
      </c>
      <c r="K792" s="84">
        <v>0.11</v>
      </c>
      <c r="L792" s="30" t="s">
        <v>36</v>
      </c>
      <c r="M792" s="160">
        <v>117000</v>
      </c>
      <c r="N792" s="160">
        <v>104130</v>
      </c>
      <c r="O792" s="30" t="s">
        <v>267</v>
      </c>
    </row>
    <row r="793" spans="1:15" x14ac:dyDescent="0.3">
      <c r="A793" s="115" t="s">
        <v>437</v>
      </c>
      <c r="B793" s="10" t="s">
        <v>63</v>
      </c>
      <c r="C793" s="32" t="s">
        <v>253</v>
      </c>
      <c r="D793" s="32" t="s">
        <v>50</v>
      </c>
      <c r="E793" s="32" t="s">
        <v>51</v>
      </c>
      <c r="F793" s="32" t="s">
        <v>41</v>
      </c>
      <c r="G793" s="32" t="s">
        <v>53</v>
      </c>
      <c r="H793" s="41">
        <v>45733</v>
      </c>
      <c r="I793" s="81">
        <v>221</v>
      </c>
      <c r="J793" s="93">
        <v>750</v>
      </c>
      <c r="K793" s="86">
        <v>0.14000000000000001</v>
      </c>
      <c r="L793" s="32" t="s">
        <v>36</v>
      </c>
      <c r="M793" s="162">
        <v>165750</v>
      </c>
      <c r="N793" s="162">
        <v>142545</v>
      </c>
      <c r="O793" s="32" t="s">
        <v>267</v>
      </c>
    </row>
    <row r="794" spans="1:15" x14ac:dyDescent="0.3">
      <c r="A794" s="115" t="s">
        <v>438</v>
      </c>
      <c r="B794" s="11" t="s">
        <v>25</v>
      </c>
      <c r="C794" s="30" t="s">
        <v>257</v>
      </c>
      <c r="D794" s="30" t="s">
        <v>26</v>
      </c>
      <c r="E794" s="30" t="s">
        <v>33</v>
      </c>
      <c r="F794" s="30" t="s">
        <v>34</v>
      </c>
      <c r="G794" s="30" t="s">
        <v>47</v>
      </c>
      <c r="H794" s="39">
        <v>45734</v>
      </c>
      <c r="I794" s="79">
        <v>223</v>
      </c>
      <c r="J794" s="91">
        <v>350</v>
      </c>
      <c r="K794" s="84">
        <v>0.13</v>
      </c>
      <c r="L794" s="30" t="s">
        <v>30</v>
      </c>
      <c r="M794" s="160">
        <v>78050</v>
      </c>
      <c r="N794" s="160">
        <v>67903.5</v>
      </c>
      <c r="O794" s="30" t="s">
        <v>265</v>
      </c>
    </row>
    <row r="795" spans="1:15" x14ac:dyDescent="0.3">
      <c r="A795" s="115" t="s">
        <v>439</v>
      </c>
      <c r="B795" s="10" t="s">
        <v>38</v>
      </c>
      <c r="C795" s="32" t="s">
        <v>247</v>
      </c>
      <c r="D795" s="32" t="s">
        <v>39</v>
      </c>
      <c r="E795" s="32" t="s">
        <v>33</v>
      </c>
      <c r="F795" s="32" t="s">
        <v>41</v>
      </c>
      <c r="G795" s="32" t="s">
        <v>29</v>
      </c>
      <c r="H795" s="41">
        <v>45734</v>
      </c>
      <c r="I795" s="81">
        <v>338</v>
      </c>
      <c r="J795" s="93">
        <v>1200</v>
      </c>
      <c r="K795" s="86">
        <v>0.03</v>
      </c>
      <c r="L795" s="32" t="s">
        <v>36</v>
      </c>
      <c r="M795" s="162">
        <v>405600</v>
      </c>
      <c r="N795" s="162">
        <v>393432</v>
      </c>
      <c r="O795" s="32" t="s">
        <v>277</v>
      </c>
    </row>
    <row r="796" spans="1:15" x14ac:dyDescent="0.3">
      <c r="A796" s="115" t="s">
        <v>440</v>
      </c>
      <c r="B796" s="11" t="s">
        <v>63</v>
      </c>
      <c r="C796" s="30" t="s">
        <v>253</v>
      </c>
      <c r="D796" s="30" t="s">
        <v>50</v>
      </c>
      <c r="E796" s="30" t="s">
        <v>51</v>
      </c>
      <c r="F796" s="30" t="s">
        <v>52</v>
      </c>
      <c r="G796" s="30" t="s">
        <v>53</v>
      </c>
      <c r="H796" s="39">
        <v>45735</v>
      </c>
      <c r="I796" s="79">
        <v>276</v>
      </c>
      <c r="J796" s="91">
        <v>750</v>
      </c>
      <c r="K796" s="84">
        <v>0</v>
      </c>
      <c r="L796" s="30" t="s">
        <v>36</v>
      </c>
      <c r="M796" s="160">
        <v>207000</v>
      </c>
      <c r="N796" s="160">
        <v>207000</v>
      </c>
      <c r="O796" s="30" t="s">
        <v>267</v>
      </c>
    </row>
    <row r="797" spans="1:15" x14ac:dyDescent="0.3">
      <c r="A797" s="115" t="s">
        <v>441</v>
      </c>
      <c r="B797" s="10" t="s">
        <v>55</v>
      </c>
      <c r="C797" s="32" t="s">
        <v>249</v>
      </c>
      <c r="D797" s="32" t="s">
        <v>39</v>
      </c>
      <c r="E797" s="32" t="s">
        <v>51</v>
      </c>
      <c r="F797" s="32" t="s">
        <v>34</v>
      </c>
      <c r="G797" s="32" t="s">
        <v>42</v>
      </c>
      <c r="H797" s="41">
        <v>45735</v>
      </c>
      <c r="I797" s="81">
        <v>214</v>
      </c>
      <c r="J797" s="93">
        <v>650</v>
      </c>
      <c r="K797" s="86">
        <v>0.03</v>
      </c>
      <c r="L797" s="32" t="s">
        <v>36</v>
      </c>
      <c r="M797" s="162">
        <v>139100</v>
      </c>
      <c r="N797" s="162">
        <v>134927</v>
      </c>
      <c r="O797" s="32" t="s">
        <v>267</v>
      </c>
    </row>
    <row r="798" spans="1:15" x14ac:dyDescent="0.3">
      <c r="A798" s="115" t="s">
        <v>442</v>
      </c>
      <c r="B798" s="11" t="s">
        <v>16</v>
      </c>
      <c r="C798" s="30" t="s">
        <v>250</v>
      </c>
      <c r="D798" s="30" t="s">
        <v>39</v>
      </c>
      <c r="E798" s="30" t="s">
        <v>27</v>
      </c>
      <c r="F798" s="30" t="s">
        <v>46</v>
      </c>
      <c r="G798" s="30" t="s">
        <v>35</v>
      </c>
      <c r="H798" s="39">
        <v>45735</v>
      </c>
      <c r="I798" s="79">
        <v>317</v>
      </c>
      <c r="J798" s="91">
        <v>990</v>
      </c>
      <c r="K798" s="84">
        <v>0.08</v>
      </c>
      <c r="L798" s="30" t="s">
        <v>30</v>
      </c>
      <c r="M798" s="160">
        <v>313830</v>
      </c>
      <c r="N798" s="160">
        <v>288723.59999999998</v>
      </c>
      <c r="O798" s="30" t="s">
        <v>267</v>
      </c>
    </row>
    <row r="799" spans="1:15" x14ac:dyDescent="0.3">
      <c r="A799" s="115" t="s">
        <v>443</v>
      </c>
      <c r="B799" s="10" t="s">
        <v>61</v>
      </c>
      <c r="C799" s="32" t="s">
        <v>244</v>
      </c>
      <c r="D799" s="32" t="s">
        <v>26</v>
      </c>
      <c r="E799" s="32" t="s">
        <v>33</v>
      </c>
      <c r="F799" s="32" t="s">
        <v>28</v>
      </c>
      <c r="G799" s="32" t="s">
        <v>42</v>
      </c>
      <c r="H799" s="41">
        <v>45736</v>
      </c>
      <c r="I799" s="81">
        <v>217</v>
      </c>
      <c r="J799" s="93">
        <v>280</v>
      </c>
      <c r="K799" s="86">
        <v>0.1</v>
      </c>
      <c r="L799" s="32" t="s">
        <v>36</v>
      </c>
      <c r="M799" s="162">
        <v>60760</v>
      </c>
      <c r="N799" s="162">
        <v>54684</v>
      </c>
      <c r="O799" s="32" t="s">
        <v>265</v>
      </c>
    </row>
    <row r="800" spans="1:15" x14ac:dyDescent="0.3">
      <c r="A800" s="115" t="s">
        <v>444</v>
      </c>
      <c r="B800" s="11" t="s">
        <v>25</v>
      </c>
      <c r="C800" s="30" t="s">
        <v>257</v>
      </c>
      <c r="D800" s="30" t="s">
        <v>26</v>
      </c>
      <c r="E800" s="30" t="s">
        <v>45</v>
      </c>
      <c r="F800" s="30" t="s">
        <v>52</v>
      </c>
      <c r="G800" s="30" t="s">
        <v>53</v>
      </c>
      <c r="H800" s="39">
        <v>45736</v>
      </c>
      <c r="I800" s="79">
        <v>81</v>
      </c>
      <c r="J800" s="91">
        <v>350</v>
      </c>
      <c r="K800" s="84">
        <v>0</v>
      </c>
      <c r="L800" s="30" t="s">
        <v>30</v>
      </c>
      <c r="M800" s="160">
        <v>28350</v>
      </c>
      <c r="N800" s="160">
        <v>28350</v>
      </c>
      <c r="O800" s="30" t="s">
        <v>265</v>
      </c>
    </row>
    <row r="801" spans="1:15" x14ac:dyDescent="0.3">
      <c r="A801" s="115" t="s">
        <v>445</v>
      </c>
      <c r="B801" s="10" t="s">
        <v>44</v>
      </c>
      <c r="C801" s="32" t="s">
        <v>254</v>
      </c>
      <c r="D801" s="32" t="s">
        <v>39</v>
      </c>
      <c r="E801" s="32" t="s">
        <v>51</v>
      </c>
      <c r="F801" s="32" t="s">
        <v>28</v>
      </c>
      <c r="G801" s="32" t="s">
        <v>35</v>
      </c>
      <c r="H801" s="41">
        <v>45737</v>
      </c>
      <c r="I801" s="81">
        <v>413</v>
      </c>
      <c r="J801" s="93">
        <v>200</v>
      </c>
      <c r="K801" s="86">
        <v>7.0000000000000007E-2</v>
      </c>
      <c r="L801" s="32" t="s">
        <v>36</v>
      </c>
      <c r="M801" s="162">
        <v>82600</v>
      </c>
      <c r="N801" s="162">
        <v>76818</v>
      </c>
      <c r="O801" s="32" t="s">
        <v>265</v>
      </c>
    </row>
    <row r="802" spans="1:15" x14ac:dyDescent="0.3">
      <c r="A802" s="115" t="s">
        <v>446</v>
      </c>
      <c r="B802" s="11" t="s">
        <v>32</v>
      </c>
      <c r="C802" s="30" t="s">
        <v>246</v>
      </c>
      <c r="D802" s="30" t="s">
        <v>26</v>
      </c>
      <c r="E802" s="30" t="s">
        <v>27</v>
      </c>
      <c r="F802" s="30" t="s">
        <v>52</v>
      </c>
      <c r="G802" s="30" t="s">
        <v>29</v>
      </c>
      <c r="H802" s="39">
        <v>45737</v>
      </c>
      <c r="I802" s="79">
        <v>179</v>
      </c>
      <c r="J802" s="91">
        <v>420</v>
      </c>
      <c r="K802" s="84">
        <v>0.08</v>
      </c>
      <c r="L802" s="30" t="s">
        <v>36</v>
      </c>
      <c r="M802" s="160">
        <v>75180</v>
      </c>
      <c r="N802" s="160">
        <v>69165.600000000006</v>
      </c>
      <c r="O802" s="30" t="s">
        <v>265</v>
      </c>
    </row>
    <row r="803" spans="1:15" x14ac:dyDescent="0.3">
      <c r="A803" s="115" t="s">
        <v>447</v>
      </c>
      <c r="B803" s="10" t="s">
        <v>61</v>
      </c>
      <c r="C803" s="32" t="s">
        <v>244</v>
      </c>
      <c r="D803" s="32" t="s">
        <v>26</v>
      </c>
      <c r="E803" s="32" t="s">
        <v>51</v>
      </c>
      <c r="F803" s="32" t="s">
        <v>46</v>
      </c>
      <c r="G803" s="32" t="s">
        <v>29</v>
      </c>
      <c r="H803" s="41">
        <v>45737</v>
      </c>
      <c r="I803" s="81">
        <v>80</v>
      </c>
      <c r="J803" s="93">
        <v>280</v>
      </c>
      <c r="K803" s="86">
        <v>0.13</v>
      </c>
      <c r="L803" s="32" t="s">
        <v>36</v>
      </c>
      <c r="M803" s="162">
        <v>22400</v>
      </c>
      <c r="N803" s="162">
        <v>19488</v>
      </c>
      <c r="O803" s="32" t="s">
        <v>265</v>
      </c>
    </row>
    <row r="804" spans="1:15" x14ac:dyDescent="0.3">
      <c r="A804" s="115" t="s">
        <v>448</v>
      </c>
      <c r="B804" s="11" t="s">
        <v>44</v>
      </c>
      <c r="C804" s="30" t="s">
        <v>254</v>
      </c>
      <c r="D804" s="30" t="s">
        <v>39</v>
      </c>
      <c r="E804" s="30" t="s">
        <v>33</v>
      </c>
      <c r="F804" s="30" t="s">
        <v>28</v>
      </c>
      <c r="G804" s="30" t="s">
        <v>47</v>
      </c>
      <c r="H804" s="39">
        <v>45738</v>
      </c>
      <c r="I804" s="79">
        <v>477</v>
      </c>
      <c r="J804" s="91">
        <v>200</v>
      </c>
      <c r="K804" s="84">
        <v>0.03</v>
      </c>
      <c r="L804" s="30" t="s">
        <v>30</v>
      </c>
      <c r="M804" s="160">
        <v>95400</v>
      </c>
      <c r="N804" s="160">
        <v>92538</v>
      </c>
      <c r="O804" s="30" t="s">
        <v>265</v>
      </c>
    </row>
    <row r="805" spans="1:15" x14ac:dyDescent="0.3">
      <c r="A805" s="115" t="s">
        <v>449</v>
      </c>
      <c r="B805" s="10" t="s">
        <v>49</v>
      </c>
      <c r="C805" s="32" t="s">
        <v>251</v>
      </c>
      <c r="D805" s="32" t="s">
        <v>50</v>
      </c>
      <c r="E805" s="32" t="s">
        <v>33</v>
      </c>
      <c r="F805" s="32" t="s">
        <v>41</v>
      </c>
      <c r="G805" s="32" t="s">
        <v>29</v>
      </c>
      <c r="H805" s="41">
        <v>45739</v>
      </c>
      <c r="I805" s="81">
        <v>258</v>
      </c>
      <c r="J805" s="93">
        <v>895</v>
      </c>
      <c r="K805" s="86">
        <v>0.03</v>
      </c>
      <c r="L805" s="32" t="s">
        <v>36</v>
      </c>
      <c r="M805" s="162">
        <v>230910</v>
      </c>
      <c r="N805" s="162">
        <v>223982.7</v>
      </c>
      <c r="O805" s="32" t="s">
        <v>267</v>
      </c>
    </row>
    <row r="806" spans="1:15" x14ac:dyDescent="0.3">
      <c r="A806" s="115" t="s">
        <v>450</v>
      </c>
      <c r="B806" s="11" t="s">
        <v>32</v>
      </c>
      <c r="C806" s="30" t="s">
        <v>246</v>
      </c>
      <c r="D806" s="30" t="s">
        <v>26</v>
      </c>
      <c r="E806" s="30" t="s">
        <v>51</v>
      </c>
      <c r="F806" s="30" t="s">
        <v>28</v>
      </c>
      <c r="G806" s="30" t="s">
        <v>35</v>
      </c>
      <c r="H806" s="39">
        <v>45739</v>
      </c>
      <c r="I806" s="79">
        <v>289</v>
      </c>
      <c r="J806" s="91">
        <v>420</v>
      </c>
      <c r="K806" s="84">
        <v>0.15</v>
      </c>
      <c r="L806" s="30" t="s">
        <v>36</v>
      </c>
      <c r="M806" s="160">
        <v>121380</v>
      </c>
      <c r="N806" s="160">
        <v>103173</v>
      </c>
      <c r="O806" s="30" t="s">
        <v>267</v>
      </c>
    </row>
    <row r="807" spans="1:15" x14ac:dyDescent="0.3">
      <c r="A807" s="115" t="s">
        <v>451</v>
      </c>
      <c r="B807" s="10" t="s">
        <v>16</v>
      </c>
      <c r="C807" s="32" t="s">
        <v>250</v>
      </c>
      <c r="D807" s="32" t="s">
        <v>39</v>
      </c>
      <c r="E807" s="32" t="s">
        <v>51</v>
      </c>
      <c r="F807" s="32" t="s">
        <v>28</v>
      </c>
      <c r="G807" s="32" t="s">
        <v>35</v>
      </c>
      <c r="H807" s="41">
        <v>45741</v>
      </c>
      <c r="I807" s="81">
        <v>253</v>
      </c>
      <c r="J807" s="93">
        <v>990</v>
      </c>
      <c r="K807" s="86">
        <v>0</v>
      </c>
      <c r="L807" s="32" t="s">
        <v>30</v>
      </c>
      <c r="M807" s="162">
        <v>250470</v>
      </c>
      <c r="N807" s="162">
        <v>250470</v>
      </c>
      <c r="O807" s="32" t="s">
        <v>267</v>
      </c>
    </row>
    <row r="808" spans="1:15" x14ac:dyDescent="0.3">
      <c r="A808" s="115" t="s">
        <v>452</v>
      </c>
      <c r="B808" s="11" t="s">
        <v>25</v>
      </c>
      <c r="C808" s="30" t="s">
        <v>257</v>
      </c>
      <c r="D808" s="30" t="s">
        <v>26</v>
      </c>
      <c r="E808" s="30" t="s">
        <v>27</v>
      </c>
      <c r="F808" s="30" t="s">
        <v>52</v>
      </c>
      <c r="G808" s="30" t="s">
        <v>56</v>
      </c>
      <c r="H808" s="39">
        <v>45741</v>
      </c>
      <c r="I808" s="79">
        <v>88</v>
      </c>
      <c r="J808" s="91">
        <v>350</v>
      </c>
      <c r="K808" s="84">
        <v>0</v>
      </c>
      <c r="L808" s="30" t="s">
        <v>30</v>
      </c>
      <c r="M808" s="160">
        <v>30800</v>
      </c>
      <c r="N808" s="160">
        <v>30800</v>
      </c>
      <c r="O808" s="30" t="s">
        <v>265</v>
      </c>
    </row>
    <row r="809" spans="1:15" x14ac:dyDescent="0.3">
      <c r="A809" s="115" t="s">
        <v>453</v>
      </c>
      <c r="B809" s="10" t="s">
        <v>63</v>
      </c>
      <c r="C809" s="32" t="s">
        <v>253</v>
      </c>
      <c r="D809" s="32" t="s">
        <v>50</v>
      </c>
      <c r="E809" s="32" t="s">
        <v>33</v>
      </c>
      <c r="F809" s="32" t="s">
        <v>34</v>
      </c>
      <c r="G809" s="32" t="s">
        <v>29</v>
      </c>
      <c r="H809" s="41">
        <v>45742</v>
      </c>
      <c r="I809" s="81">
        <v>257</v>
      </c>
      <c r="J809" s="93">
        <v>750</v>
      </c>
      <c r="K809" s="86">
        <v>0.08</v>
      </c>
      <c r="L809" s="32" t="s">
        <v>36</v>
      </c>
      <c r="M809" s="162">
        <v>192750</v>
      </c>
      <c r="N809" s="162">
        <v>177330</v>
      </c>
      <c r="O809" s="32" t="s">
        <v>267</v>
      </c>
    </row>
    <row r="810" spans="1:15" x14ac:dyDescent="0.3">
      <c r="A810" s="115" t="s">
        <v>454</v>
      </c>
      <c r="B810" s="11" t="s">
        <v>44</v>
      </c>
      <c r="C810" s="30" t="s">
        <v>254</v>
      </c>
      <c r="D810" s="30" t="s">
        <v>39</v>
      </c>
      <c r="E810" s="30" t="s">
        <v>40</v>
      </c>
      <c r="F810" s="30" t="s">
        <v>28</v>
      </c>
      <c r="G810" s="30" t="s">
        <v>47</v>
      </c>
      <c r="H810" s="39">
        <v>45742</v>
      </c>
      <c r="I810" s="79">
        <v>317</v>
      </c>
      <c r="J810" s="91">
        <v>200</v>
      </c>
      <c r="K810" s="84">
        <v>7.0000000000000007E-2</v>
      </c>
      <c r="L810" s="30" t="s">
        <v>36</v>
      </c>
      <c r="M810" s="160">
        <v>63400</v>
      </c>
      <c r="N810" s="160">
        <v>58962</v>
      </c>
      <c r="O810" s="30" t="s">
        <v>265</v>
      </c>
    </row>
    <row r="811" spans="1:15" x14ac:dyDescent="0.3">
      <c r="A811" s="115" t="s">
        <v>455</v>
      </c>
      <c r="B811" s="10" t="s">
        <v>38</v>
      </c>
      <c r="C811" s="32" t="s">
        <v>247</v>
      </c>
      <c r="D811" s="32" t="s">
        <v>39</v>
      </c>
      <c r="E811" s="32" t="s">
        <v>33</v>
      </c>
      <c r="F811" s="32" t="s">
        <v>34</v>
      </c>
      <c r="G811" s="32" t="s">
        <v>47</v>
      </c>
      <c r="H811" s="41">
        <v>45742</v>
      </c>
      <c r="I811" s="81">
        <v>51</v>
      </c>
      <c r="J811" s="93">
        <v>1200</v>
      </c>
      <c r="K811" s="86">
        <v>0.13</v>
      </c>
      <c r="L811" s="32" t="s">
        <v>30</v>
      </c>
      <c r="M811" s="162">
        <v>61200</v>
      </c>
      <c r="N811" s="162">
        <v>53244</v>
      </c>
      <c r="O811" s="32" t="s">
        <v>265</v>
      </c>
    </row>
    <row r="812" spans="1:15" x14ac:dyDescent="0.3">
      <c r="A812" s="115" t="s">
        <v>456</v>
      </c>
      <c r="B812" s="11" t="s">
        <v>38</v>
      </c>
      <c r="C812" s="30" t="s">
        <v>247</v>
      </c>
      <c r="D812" s="30" t="s">
        <v>39</v>
      </c>
      <c r="E812" s="30" t="s">
        <v>27</v>
      </c>
      <c r="F812" s="30" t="s">
        <v>46</v>
      </c>
      <c r="G812" s="30" t="s">
        <v>42</v>
      </c>
      <c r="H812" s="39">
        <v>45744</v>
      </c>
      <c r="I812" s="79">
        <v>86</v>
      </c>
      <c r="J812" s="91">
        <v>1200</v>
      </c>
      <c r="K812" s="84">
        <v>0.05</v>
      </c>
      <c r="L812" s="30" t="s">
        <v>36</v>
      </c>
      <c r="M812" s="160">
        <v>103200</v>
      </c>
      <c r="N812" s="160">
        <v>98040</v>
      </c>
      <c r="O812" s="30" t="s">
        <v>265</v>
      </c>
    </row>
    <row r="813" spans="1:15" x14ac:dyDescent="0.3">
      <c r="A813" s="115" t="s">
        <v>457</v>
      </c>
      <c r="B813" s="10" t="s">
        <v>32</v>
      </c>
      <c r="C813" s="32" t="s">
        <v>246</v>
      </c>
      <c r="D813" s="32" t="s">
        <v>26</v>
      </c>
      <c r="E813" s="32" t="s">
        <v>51</v>
      </c>
      <c r="F813" s="32" t="s">
        <v>28</v>
      </c>
      <c r="G813" s="32" t="s">
        <v>42</v>
      </c>
      <c r="H813" s="41">
        <v>45745</v>
      </c>
      <c r="I813" s="81">
        <v>111</v>
      </c>
      <c r="J813" s="93">
        <v>420</v>
      </c>
      <c r="K813" s="86">
        <v>0.15</v>
      </c>
      <c r="L813" s="32" t="s">
        <v>36</v>
      </c>
      <c r="M813" s="162">
        <v>46620</v>
      </c>
      <c r="N813" s="162">
        <v>39627</v>
      </c>
      <c r="O813" s="32" t="s">
        <v>265</v>
      </c>
    </row>
    <row r="814" spans="1:15" x14ac:dyDescent="0.3">
      <c r="A814" s="115" t="s">
        <v>458</v>
      </c>
      <c r="B814" s="11" t="s">
        <v>32</v>
      </c>
      <c r="C814" s="30" t="s">
        <v>246</v>
      </c>
      <c r="D814" s="30" t="s">
        <v>26</v>
      </c>
      <c r="E814" s="30" t="s">
        <v>27</v>
      </c>
      <c r="F814" s="30" t="s">
        <v>41</v>
      </c>
      <c r="G814" s="30" t="s">
        <v>56</v>
      </c>
      <c r="H814" s="39">
        <v>45745</v>
      </c>
      <c r="I814" s="79">
        <v>351</v>
      </c>
      <c r="J814" s="91">
        <v>420</v>
      </c>
      <c r="K814" s="84">
        <v>0.05</v>
      </c>
      <c r="L814" s="30" t="s">
        <v>30</v>
      </c>
      <c r="M814" s="160">
        <v>147420</v>
      </c>
      <c r="N814" s="160">
        <v>140049</v>
      </c>
      <c r="O814" s="30" t="s">
        <v>267</v>
      </c>
    </row>
    <row r="815" spans="1:15" x14ac:dyDescent="0.3">
      <c r="A815" s="115" t="s">
        <v>459</v>
      </c>
      <c r="B815" s="10" t="s">
        <v>61</v>
      </c>
      <c r="C815" s="32" t="s">
        <v>244</v>
      </c>
      <c r="D815" s="32" t="s">
        <v>26</v>
      </c>
      <c r="E815" s="32" t="s">
        <v>45</v>
      </c>
      <c r="F815" s="32" t="s">
        <v>52</v>
      </c>
      <c r="G815" s="32" t="s">
        <v>53</v>
      </c>
      <c r="H815" s="41">
        <v>45746</v>
      </c>
      <c r="I815" s="81">
        <v>395</v>
      </c>
      <c r="J815" s="93">
        <v>280</v>
      </c>
      <c r="K815" s="86">
        <v>0.1</v>
      </c>
      <c r="L815" s="32" t="s">
        <v>36</v>
      </c>
      <c r="M815" s="162">
        <v>110600</v>
      </c>
      <c r="N815" s="162">
        <v>99540</v>
      </c>
      <c r="O815" s="32" t="s">
        <v>265</v>
      </c>
    </row>
    <row r="816" spans="1:15" x14ac:dyDescent="0.3">
      <c r="A816" s="115" t="s">
        <v>460</v>
      </c>
      <c r="B816" s="11" t="s">
        <v>32</v>
      </c>
      <c r="C816" s="30" t="s">
        <v>246</v>
      </c>
      <c r="D816" s="30" t="s">
        <v>26</v>
      </c>
      <c r="E816" s="30" t="s">
        <v>45</v>
      </c>
      <c r="F816" s="30" t="s">
        <v>34</v>
      </c>
      <c r="G816" s="30" t="s">
        <v>47</v>
      </c>
      <c r="H816" s="39">
        <v>45747</v>
      </c>
      <c r="I816" s="79">
        <v>275</v>
      </c>
      <c r="J816" s="91">
        <v>420</v>
      </c>
      <c r="K816" s="84">
        <v>0</v>
      </c>
      <c r="L816" s="30" t="s">
        <v>36</v>
      </c>
      <c r="M816" s="160">
        <v>115500</v>
      </c>
      <c r="N816" s="160">
        <v>115500</v>
      </c>
      <c r="O816" s="30" t="s">
        <v>267</v>
      </c>
    </row>
    <row r="817" spans="1:15" x14ac:dyDescent="0.3">
      <c r="A817" s="115" t="s">
        <v>461</v>
      </c>
      <c r="B817" s="10" t="s">
        <v>44</v>
      </c>
      <c r="C817" s="32" t="s">
        <v>254</v>
      </c>
      <c r="D817" s="32" t="s">
        <v>39</v>
      </c>
      <c r="E817" s="32" t="s">
        <v>33</v>
      </c>
      <c r="F817" s="32" t="s">
        <v>41</v>
      </c>
      <c r="G817" s="32" t="s">
        <v>29</v>
      </c>
      <c r="H817" s="41">
        <v>45748</v>
      </c>
      <c r="I817" s="81">
        <v>485</v>
      </c>
      <c r="J817" s="93">
        <v>200</v>
      </c>
      <c r="K817" s="86">
        <v>0.11</v>
      </c>
      <c r="L817" s="32" t="s">
        <v>36</v>
      </c>
      <c r="M817" s="162">
        <v>97000</v>
      </c>
      <c r="N817" s="162">
        <v>86330</v>
      </c>
      <c r="O817" s="32" t="s">
        <v>265</v>
      </c>
    </row>
    <row r="818" spans="1:15" x14ac:dyDescent="0.3">
      <c r="A818" s="115" t="s">
        <v>462</v>
      </c>
      <c r="B818" s="11" t="s">
        <v>25</v>
      </c>
      <c r="C818" s="30" t="s">
        <v>257</v>
      </c>
      <c r="D818" s="30" t="s">
        <v>26</v>
      </c>
      <c r="E818" s="30" t="s">
        <v>27</v>
      </c>
      <c r="F818" s="30" t="s">
        <v>52</v>
      </c>
      <c r="G818" s="30" t="s">
        <v>53</v>
      </c>
      <c r="H818" s="39">
        <v>45748</v>
      </c>
      <c r="I818" s="79">
        <v>85</v>
      </c>
      <c r="J818" s="91">
        <v>350</v>
      </c>
      <c r="K818" s="84">
        <v>0</v>
      </c>
      <c r="L818" s="30" t="s">
        <v>36</v>
      </c>
      <c r="M818" s="160">
        <v>29750</v>
      </c>
      <c r="N818" s="160">
        <v>29750</v>
      </c>
      <c r="O818" s="30" t="s">
        <v>265</v>
      </c>
    </row>
    <row r="819" spans="1:15" x14ac:dyDescent="0.3">
      <c r="A819" s="115" t="s">
        <v>463</v>
      </c>
      <c r="B819" s="10" t="s">
        <v>49</v>
      </c>
      <c r="C819" s="32" t="s">
        <v>251</v>
      </c>
      <c r="D819" s="32" t="s">
        <v>50</v>
      </c>
      <c r="E819" s="32" t="s">
        <v>45</v>
      </c>
      <c r="F819" s="32" t="s">
        <v>46</v>
      </c>
      <c r="G819" s="32" t="s">
        <v>42</v>
      </c>
      <c r="H819" s="41">
        <v>45749</v>
      </c>
      <c r="I819" s="81">
        <v>367</v>
      </c>
      <c r="J819" s="93">
        <v>895</v>
      </c>
      <c r="K819" s="86">
        <v>0.05</v>
      </c>
      <c r="L819" s="32" t="s">
        <v>36</v>
      </c>
      <c r="M819" s="162">
        <v>328465</v>
      </c>
      <c r="N819" s="162">
        <v>312041.75</v>
      </c>
      <c r="O819" s="32" t="s">
        <v>267</v>
      </c>
    </row>
    <row r="820" spans="1:15" x14ac:dyDescent="0.3">
      <c r="A820" s="115" t="s">
        <v>464</v>
      </c>
      <c r="B820" s="11" t="s">
        <v>32</v>
      </c>
      <c r="C820" s="30" t="s">
        <v>246</v>
      </c>
      <c r="D820" s="30" t="s">
        <v>26</v>
      </c>
      <c r="E820" s="30" t="s">
        <v>27</v>
      </c>
      <c r="F820" s="30" t="s">
        <v>34</v>
      </c>
      <c r="G820" s="30" t="s">
        <v>47</v>
      </c>
      <c r="H820" s="39">
        <v>45749</v>
      </c>
      <c r="I820" s="79">
        <v>76</v>
      </c>
      <c r="J820" s="91">
        <v>420</v>
      </c>
      <c r="K820" s="84">
        <v>0</v>
      </c>
      <c r="L820" s="30" t="s">
        <v>36</v>
      </c>
      <c r="M820" s="160">
        <v>31920</v>
      </c>
      <c r="N820" s="160">
        <v>31920</v>
      </c>
      <c r="O820" s="30" t="s">
        <v>265</v>
      </c>
    </row>
    <row r="821" spans="1:15" x14ac:dyDescent="0.3">
      <c r="A821" s="115" t="s">
        <v>465</v>
      </c>
      <c r="B821" s="10" t="s">
        <v>58</v>
      </c>
      <c r="C821" s="32" t="s">
        <v>255</v>
      </c>
      <c r="D821" s="32" t="s">
        <v>59</v>
      </c>
      <c r="E821" s="32" t="s">
        <v>33</v>
      </c>
      <c r="F821" s="32" t="s">
        <v>34</v>
      </c>
      <c r="G821" s="32" t="s">
        <v>29</v>
      </c>
      <c r="H821" s="41">
        <v>45749</v>
      </c>
      <c r="I821" s="81">
        <v>94</v>
      </c>
      <c r="J821" s="93">
        <v>2800</v>
      </c>
      <c r="K821" s="86">
        <v>0.13</v>
      </c>
      <c r="L821" s="32" t="s">
        <v>36</v>
      </c>
      <c r="M821" s="162">
        <v>263200</v>
      </c>
      <c r="N821" s="162">
        <v>228984</v>
      </c>
      <c r="O821" s="32" t="s">
        <v>267</v>
      </c>
    </row>
    <row r="822" spans="1:15" x14ac:dyDescent="0.3">
      <c r="A822" s="115" t="s">
        <v>466</v>
      </c>
      <c r="B822" s="11" t="s">
        <v>61</v>
      </c>
      <c r="C822" s="30" t="s">
        <v>244</v>
      </c>
      <c r="D822" s="30" t="s">
        <v>26</v>
      </c>
      <c r="E822" s="30" t="s">
        <v>27</v>
      </c>
      <c r="F822" s="30" t="s">
        <v>34</v>
      </c>
      <c r="G822" s="30" t="s">
        <v>35</v>
      </c>
      <c r="H822" s="39">
        <v>45750</v>
      </c>
      <c r="I822" s="79">
        <v>424</v>
      </c>
      <c r="J822" s="91">
        <v>280</v>
      </c>
      <c r="K822" s="84">
        <v>0.03</v>
      </c>
      <c r="L822" s="30" t="s">
        <v>30</v>
      </c>
      <c r="M822" s="160">
        <v>118720</v>
      </c>
      <c r="N822" s="160">
        <v>115158.39999999999</v>
      </c>
      <c r="O822" s="30" t="s">
        <v>267</v>
      </c>
    </row>
    <row r="823" spans="1:15" x14ac:dyDescent="0.3">
      <c r="A823" s="115" t="s">
        <v>467</v>
      </c>
      <c r="B823" s="10" t="s">
        <v>49</v>
      </c>
      <c r="C823" s="32" t="s">
        <v>251</v>
      </c>
      <c r="D823" s="32" t="s">
        <v>50</v>
      </c>
      <c r="E823" s="32" t="s">
        <v>51</v>
      </c>
      <c r="F823" s="32" t="s">
        <v>41</v>
      </c>
      <c r="G823" s="32" t="s">
        <v>53</v>
      </c>
      <c r="H823" s="41">
        <v>45752</v>
      </c>
      <c r="I823" s="81">
        <v>323</v>
      </c>
      <c r="J823" s="93">
        <v>895</v>
      </c>
      <c r="K823" s="86">
        <v>0</v>
      </c>
      <c r="L823" s="32" t="s">
        <v>36</v>
      </c>
      <c r="M823" s="162">
        <v>289085</v>
      </c>
      <c r="N823" s="162">
        <v>289085</v>
      </c>
      <c r="O823" s="32" t="s">
        <v>267</v>
      </c>
    </row>
    <row r="824" spans="1:15" x14ac:dyDescent="0.3">
      <c r="A824" s="115" t="s">
        <v>468</v>
      </c>
      <c r="B824" s="11" t="s">
        <v>44</v>
      </c>
      <c r="C824" s="30" t="s">
        <v>254</v>
      </c>
      <c r="D824" s="30" t="s">
        <v>39</v>
      </c>
      <c r="E824" s="30" t="s">
        <v>27</v>
      </c>
      <c r="F824" s="30" t="s">
        <v>28</v>
      </c>
      <c r="G824" s="30" t="s">
        <v>47</v>
      </c>
      <c r="H824" s="39">
        <v>45753</v>
      </c>
      <c r="I824" s="79">
        <v>235</v>
      </c>
      <c r="J824" s="91">
        <v>200</v>
      </c>
      <c r="K824" s="84">
        <v>0.15</v>
      </c>
      <c r="L824" s="30" t="s">
        <v>30</v>
      </c>
      <c r="M824" s="160">
        <v>47000</v>
      </c>
      <c r="N824" s="160">
        <v>39950</v>
      </c>
      <c r="O824" s="30" t="s">
        <v>265</v>
      </c>
    </row>
    <row r="825" spans="1:15" x14ac:dyDescent="0.3">
      <c r="A825" s="115" t="s">
        <v>469</v>
      </c>
      <c r="B825" s="10" t="s">
        <v>44</v>
      </c>
      <c r="C825" s="32" t="s">
        <v>254</v>
      </c>
      <c r="D825" s="32" t="s">
        <v>39</v>
      </c>
      <c r="E825" s="32" t="s">
        <v>51</v>
      </c>
      <c r="F825" s="32" t="s">
        <v>34</v>
      </c>
      <c r="G825" s="32" t="s">
        <v>56</v>
      </c>
      <c r="H825" s="41">
        <v>45753</v>
      </c>
      <c r="I825" s="81">
        <v>474</v>
      </c>
      <c r="J825" s="93">
        <v>200</v>
      </c>
      <c r="K825" s="86">
        <v>0.08</v>
      </c>
      <c r="L825" s="32" t="s">
        <v>36</v>
      </c>
      <c r="M825" s="162">
        <v>94800</v>
      </c>
      <c r="N825" s="162">
        <v>87216</v>
      </c>
      <c r="O825" s="32" t="s">
        <v>265</v>
      </c>
    </row>
    <row r="826" spans="1:15" x14ac:dyDescent="0.3">
      <c r="A826" s="115" t="s">
        <v>470</v>
      </c>
      <c r="B826" s="11" t="s">
        <v>55</v>
      </c>
      <c r="C826" s="30" t="s">
        <v>249</v>
      </c>
      <c r="D826" s="30" t="s">
        <v>39</v>
      </c>
      <c r="E826" s="30" t="s">
        <v>33</v>
      </c>
      <c r="F826" s="30" t="s">
        <v>46</v>
      </c>
      <c r="G826" s="30" t="s">
        <v>56</v>
      </c>
      <c r="H826" s="39">
        <v>45753</v>
      </c>
      <c r="I826" s="79">
        <v>121</v>
      </c>
      <c r="J826" s="91">
        <v>650</v>
      </c>
      <c r="K826" s="84">
        <v>0.08</v>
      </c>
      <c r="L826" s="30" t="s">
        <v>36</v>
      </c>
      <c r="M826" s="160">
        <v>78650</v>
      </c>
      <c r="N826" s="160">
        <v>72358</v>
      </c>
      <c r="O826" s="30" t="s">
        <v>265</v>
      </c>
    </row>
    <row r="827" spans="1:15" x14ac:dyDescent="0.3">
      <c r="A827" s="115" t="s">
        <v>471</v>
      </c>
      <c r="B827" s="10" t="s">
        <v>55</v>
      </c>
      <c r="C827" s="32" t="s">
        <v>249</v>
      </c>
      <c r="D827" s="32" t="s">
        <v>39</v>
      </c>
      <c r="E827" s="32" t="s">
        <v>45</v>
      </c>
      <c r="F827" s="32" t="s">
        <v>34</v>
      </c>
      <c r="G827" s="32" t="s">
        <v>29</v>
      </c>
      <c r="H827" s="41">
        <v>45754</v>
      </c>
      <c r="I827" s="81">
        <v>129</v>
      </c>
      <c r="J827" s="93">
        <v>650</v>
      </c>
      <c r="K827" s="86">
        <v>0</v>
      </c>
      <c r="L827" s="32" t="s">
        <v>36</v>
      </c>
      <c r="M827" s="162">
        <v>83850</v>
      </c>
      <c r="N827" s="162">
        <v>83850</v>
      </c>
      <c r="O827" s="32" t="s">
        <v>265</v>
      </c>
    </row>
    <row r="828" spans="1:15" x14ac:dyDescent="0.3">
      <c r="A828" s="115" t="s">
        <v>472</v>
      </c>
      <c r="B828" s="11" t="s">
        <v>25</v>
      </c>
      <c r="C828" s="30" t="s">
        <v>257</v>
      </c>
      <c r="D828" s="30" t="s">
        <v>26</v>
      </c>
      <c r="E828" s="30" t="s">
        <v>51</v>
      </c>
      <c r="F828" s="30" t="s">
        <v>46</v>
      </c>
      <c r="G828" s="30" t="s">
        <v>42</v>
      </c>
      <c r="H828" s="39">
        <v>45754</v>
      </c>
      <c r="I828" s="79">
        <v>206</v>
      </c>
      <c r="J828" s="91">
        <v>350</v>
      </c>
      <c r="K828" s="84">
        <v>0.13</v>
      </c>
      <c r="L828" s="30" t="s">
        <v>36</v>
      </c>
      <c r="M828" s="160">
        <v>72100</v>
      </c>
      <c r="N828" s="160">
        <v>62727</v>
      </c>
      <c r="O828" s="30" t="s">
        <v>265</v>
      </c>
    </row>
    <row r="829" spans="1:15" x14ac:dyDescent="0.3">
      <c r="A829" s="115" t="s">
        <v>473</v>
      </c>
      <c r="B829" s="10" t="s">
        <v>63</v>
      </c>
      <c r="C829" s="32" t="s">
        <v>253</v>
      </c>
      <c r="D829" s="32" t="s">
        <v>50</v>
      </c>
      <c r="E829" s="32" t="s">
        <v>45</v>
      </c>
      <c r="F829" s="32" t="s">
        <v>46</v>
      </c>
      <c r="G829" s="32" t="s">
        <v>53</v>
      </c>
      <c r="H829" s="41">
        <v>45754</v>
      </c>
      <c r="I829" s="81">
        <v>279</v>
      </c>
      <c r="J829" s="93">
        <v>750</v>
      </c>
      <c r="K829" s="86">
        <v>0</v>
      </c>
      <c r="L829" s="32" t="s">
        <v>36</v>
      </c>
      <c r="M829" s="162">
        <v>209250</v>
      </c>
      <c r="N829" s="162">
        <v>209250</v>
      </c>
      <c r="O829" s="32" t="s">
        <v>267</v>
      </c>
    </row>
    <row r="830" spans="1:15" x14ac:dyDescent="0.3">
      <c r="A830" s="115" t="s">
        <v>474</v>
      </c>
      <c r="B830" s="11" t="s">
        <v>61</v>
      </c>
      <c r="C830" s="30" t="s">
        <v>244</v>
      </c>
      <c r="D830" s="30" t="s">
        <v>26</v>
      </c>
      <c r="E830" s="30" t="s">
        <v>45</v>
      </c>
      <c r="F830" s="30" t="s">
        <v>34</v>
      </c>
      <c r="G830" s="30" t="s">
        <v>29</v>
      </c>
      <c r="H830" s="39">
        <v>45755</v>
      </c>
      <c r="I830" s="79">
        <v>256</v>
      </c>
      <c r="J830" s="91">
        <v>280</v>
      </c>
      <c r="K830" s="84">
        <v>7.0000000000000007E-2</v>
      </c>
      <c r="L830" s="30" t="s">
        <v>30</v>
      </c>
      <c r="M830" s="160">
        <v>71680</v>
      </c>
      <c r="N830" s="160">
        <v>66662.399999999994</v>
      </c>
      <c r="O830" s="30" t="s">
        <v>265</v>
      </c>
    </row>
    <row r="831" spans="1:15" x14ac:dyDescent="0.3">
      <c r="A831" s="115" t="s">
        <v>475</v>
      </c>
      <c r="B831" s="10" t="s">
        <v>55</v>
      </c>
      <c r="C831" s="32" t="s">
        <v>249</v>
      </c>
      <c r="D831" s="32" t="s">
        <v>39</v>
      </c>
      <c r="E831" s="32" t="s">
        <v>51</v>
      </c>
      <c r="F831" s="32" t="s">
        <v>28</v>
      </c>
      <c r="G831" s="32" t="s">
        <v>53</v>
      </c>
      <c r="H831" s="41">
        <v>45756</v>
      </c>
      <c r="I831" s="81">
        <v>174</v>
      </c>
      <c r="J831" s="93">
        <v>650</v>
      </c>
      <c r="K831" s="86">
        <v>0.14000000000000001</v>
      </c>
      <c r="L831" s="32" t="s">
        <v>30</v>
      </c>
      <c r="M831" s="162">
        <v>113100</v>
      </c>
      <c r="N831" s="162">
        <v>97266</v>
      </c>
      <c r="O831" s="32" t="s">
        <v>265</v>
      </c>
    </row>
    <row r="832" spans="1:15" x14ac:dyDescent="0.3">
      <c r="A832" s="115" t="s">
        <v>476</v>
      </c>
      <c r="B832" s="11" t="s">
        <v>49</v>
      </c>
      <c r="C832" s="30" t="s">
        <v>251</v>
      </c>
      <c r="D832" s="30" t="s">
        <v>50</v>
      </c>
      <c r="E832" s="30" t="s">
        <v>27</v>
      </c>
      <c r="F832" s="30" t="s">
        <v>46</v>
      </c>
      <c r="G832" s="30" t="s">
        <v>42</v>
      </c>
      <c r="H832" s="39">
        <v>45756</v>
      </c>
      <c r="I832" s="79">
        <v>52</v>
      </c>
      <c r="J832" s="91">
        <v>895</v>
      </c>
      <c r="K832" s="84">
        <v>0.05</v>
      </c>
      <c r="L832" s="30" t="s">
        <v>30</v>
      </c>
      <c r="M832" s="160">
        <v>46540</v>
      </c>
      <c r="N832" s="160">
        <v>44213</v>
      </c>
      <c r="O832" s="30" t="s">
        <v>265</v>
      </c>
    </row>
    <row r="833" spans="1:15" x14ac:dyDescent="0.3">
      <c r="A833" s="115" t="s">
        <v>477</v>
      </c>
      <c r="B833" s="10" t="s">
        <v>44</v>
      </c>
      <c r="C833" s="32" t="s">
        <v>254</v>
      </c>
      <c r="D833" s="32" t="s">
        <v>39</v>
      </c>
      <c r="E833" s="32" t="s">
        <v>33</v>
      </c>
      <c r="F833" s="32" t="s">
        <v>52</v>
      </c>
      <c r="G833" s="32" t="s">
        <v>29</v>
      </c>
      <c r="H833" s="41">
        <v>45757</v>
      </c>
      <c r="I833" s="81">
        <v>185</v>
      </c>
      <c r="J833" s="93">
        <v>200</v>
      </c>
      <c r="K833" s="86">
        <v>0.12</v>
      </c>
      <c r="L833" s="32" t="s">
        <v>30</v>
      </c>
      <c r="M833" s="162">
        <v>37000</v>
      </c>
      <c r="N833" s="162">
        <v>32560</v>
      </c>
      <c r="O833" s="32" t="s">
        <v>265</v>
      </c>
    </row>
    <row r="834" spans="1:15" x14ac:dyDescent="0.3">
      <c r="A834" s="115" t="s">
        <v>478</v>
      </c>
      <c r="B834" s="11" t="s">
        <v>38</v>
      </c>
      <c r="C834" s="30" t="s">
        <v>247</v>
      </c>
      <c r="D834" s="30" t="s">
        <v>39</v>
      </c>
      <c r="E834" s="30" t="s">
        <v>45</v>
      </c>
      <c r="F834" s="30" t="s">
        <v>41</v>
      </c>
      <c r="G834" s="30" t="s">
        <v>53</v>
      </c>
      <c r="H834" s="39">
        <v>45757</v>
      </c>
      <c r="I834" s="79">
        <v>349</v>
      </c>
      <c r="J834" s="91">
        <v>1200</v>
      </c>
      <c r="K834" s="84">
        <v>0</v>
      </c>
      <c r="L834" s="30" t="s">
        <v>30</v>
      </c>
      <c r="M834" s="160">
        <v>418800</v>
      </c>
      <c r="N834" s="160">
        <v>418800</v>
      </c>
      <c r="O834" s="30" t="s">
        <v>277</v>
      </c>
    </row>
    <row r="835" spans="1:15" x14ac:dyDescent="0.3">
      <c r="A835" s="115" t="s">
        <v>479</v>
      </c>
      <c r="B835" s="10" t="s">
        <v>44</v>
      </c>
      <c r="C835" s="32" t="s">
        <v>254</v>
      </c>
      <c r="D835" s="32" t="s">
        <v>39</v>
      </c>
      <c r="E835" s="32" t="s">
        <v>33</v>
      </c>
      <c r="F835" s="32" t="s">
        <v>52</v>
      </c>
      <c r="G835" s="32" t="s">
        <v>56</v>
      </c>
      <c r="H835" s="41">
        <v>45757</v>
      </c>
      <c r="I835" s="81">
        <v>115</v>
      </c>
      <c r="J835" s="93">
        <v>200</v>
      </c>
      <c r="K835" s="86">
        <v>7.0000000000000007E-2</v>
      </c>
      <c r="L835" s="32" t="s">
        <v>36</v>
      </c>
      <c r="M835" s="162">
        <v>23000</v>
      </c>
      <c r="N835" s="162">
        <v>21390</v>
      </c>
      <c r="O835" s="32" t="s">
        <v>265</v>
      </c>
    </row>
    <row r="836" spans="1:15" x14ac:dyDescent="0.3">
      <c r="A836" s="115" t="s">
        <v>480</v>
      </c>
      <c r="B836" s="11" t="s">
        <v>63</v>
      </c>
      <c r="C836" s="30" t="s">
        <v>253</v>
      </c>
      <c r="D836" s="30" t="s">
        <v>50</v>
      </c>
      <c r="E836" s="30" t="s">
        <v>51</v>
      </c>
      <c r="F836" s="30" t="s">
        <v>41</v>
      </c>
      <c r="G836" s="30" t="s">
        <v>29</v>
      </c>
      <c r="H836" s="39">
        <v>45759</v>
      </c>
      <c r="I836" s="79">
        <v>292</v>
      </c>
      <c r="J836" s="91">
        <v>750</v>
      </c>
      <c r="K836" s="84">
        <v>0.05</v>
      </c>
      <c r="L836" s="30" t="s">
        <v>36</v>
      </c>
      <c r="M836" s="160">
        <v>219000</v>
      </c>
      <c r="N836" s="160">
        <v>208050</v>
      </c>
      <c r="O836" s="30" t="s">
        <v>267</v>
      </c>
    </row>
    <row r="837" spans="1:15" x14ac:dyDescent="0.3">
      <c r="A837" s="115" t="s">
        <v>481</v>
      </c>
      <c r="B837" s="10" t="s">
        <v>61</v>
      </c>
      <c r="C837" s="32" t="s">
        <v>244</v>
      </c>
      <c r="D837" s="32" t="s">
        <v>26</v>
      </c>
      <c r="E837" s="32" t="s">
        <v>33</v>
      </c>
      <c r="F837" s="32" t="s">
        <v>46</v>
      </c>
      <c r="G837" s="32" t="s">
        <v>42</v>
      </c>
      <c r="H837" s="41">
        <v>45759</v>
      </c>
      <c r="I837" s="81">
        <v>381</v>
      </c>
      <c r="J837" s="93">
        <v>280</v>
      </c>
      <c r="K837" s="86">
        <v>0.12</v>
      </c>
      <c r="L837" s="32" t="s">
        <v>30</v>
      </c>
      <c r="M837" s="162">
        <v>106680</v>
      </c>
      <c r="N837" s="162">
        <v>93878.399999999994</v>
      </c>
      <c r="O837" s="32" t="s">
        <v>265</v>
      </c>
    </row>
    <row r="838" spans="1:15" x14ac:dyDescent="0.3">
      <c r="A838" s="115" t="s">
        <v>482</v>
      </c>
      <c r="B838" s="11" t="s">
        <v>25</v>
      </c>
      <c r="C838" s="30" t="s">
        <v>257</v>
      </c>
      <c r="D838" s="30" t="s">
        <v>26</v>
      </c>
      <c r="E838" s="30" t="s">
        <v>27</v>
      </c>
      <c r="F838" s="30" t="s">
        <v>28</v>
      </c>
      <c r="G838" s="30" t="s">
        <v>29</v>
      </c>
      <c r="H838" s="39">
        <v>45759</v>
      </c>
      <c r="I838" s="79">
        <v>258</v>
      </c>
      <c r="J838" s="91">
        <v>350</v>
      </c>
      <c r="K838" s="84">
        <v>0.1</v>
      </c>
      <c r="L838" s="30" t="s">
        <v>36</v>
      </c>
      <c r="M838" s="160">
        <v>90300</v>
      </c>
      <c r="N838" s="160">
        <v>81270</v>
      </c>
      <c r="O838" s="30" t="s">
        <v>265</v>
      </c>
    </row>
    <row r="839" spans="1:15" x14ac:dyDescent="0.3">
      <c r="A839" s="115" t="s">
        <v>483</v>
      </c>
      <c r="B839" s="10" t="s">
        <v>55</v>
      </c>
      <c r="C839" s="32" t="s">
        <v>249</v>
      </c>
      <c r="D839" s="32" t="s">
        <v>39</v>
      </c>
      <c r="E839" s="32" t="s">
        <v>33</v>
      </c>
      <c r="F839" s="32" t="s">
        <v>52</v>
      </c>
      <c r="G839" s="32" t="s">
        <v>47</v>
      </c>
      <c r="H839" s="41">
        <v>45760</v>
      </c>
      <c r="I839" s="81">
        <v>313</v>
      </c>
      <c r="J839" s="93">
        <v>650</v>
      </c>
      <c r="K839" s="86">
        <v>0</v>
      </c>
      <c r="L839" s="32" t="s">
        <v>30</v>
      </c>
      <c r="M839" s="162">
        <v>203450</v>
      </c>
      <c r="N839" s="162">
        <v>203450</v>
      </c>
      <c r="O839" s="32" t="s">
        <v>267</v>
      </c>
    </row>
    <row r="840" spans="1:15" x14ac:dyDescent="0.3">
      <c r="A840" s="115" t="s">
        <v>484</v>
      </c>
      <c r="B840" s="11" t="s">
        <v>49</v>
      </c>
      <c r="C840" s="30" t="s">
        <v>251</v>
      </c>
      <c r="D840" s="30" t="s">
        <v>50</v>
      </c>
      <c r="E840" s="30" t="s">
        <v>45</v>
      </c>
      <c r="F840" s="30" t="s">
        <v>52</v>
      </c>
      <c r="G840" s="30" t="s">
        <v>42</v>
      </c>
      <c r="H840" s="39">
        <v>45760</v>
      </c>
      <c r="I840" s="79">
        <v>377</v>
      </c>
      <c r="J840" s="91">
        <v>895</v>
      </c>
      <c r="K840" s="84">
        <v>0.08</v>
      </c>
      <c r="L840" s="30" t="s">
        <v>36</v>
      </c>
      <c r="M840" s="160">
        <v>337415</v>
      </c>
      <c r="N840" s="160">
        <v>310421.8</v>
      </c>
      <c r="O840" s="30" t="s">
        <v>267</v>
      </c>
    </row>
    <row r="841" spans="1:15" x14ac:dyDescent="0.3">
      <c r="A841" s="115" t="s">
        <v>485</v>
      </c>
      <c r="B841" s="10" t="s">
        <v>55</v>
      </c>
      <c r="C841" s="32" t="s">
        <v>249</v>
      </c>
      <c r="D841" s="32" t="s">
        <v>39</v>
      </c>
      <c r="E841" s="32" t="s">
        <v>51</v>
      </c>
      <c r="F841" s="32" t="s">
        <v>41</v>
      </c>
      <c r="G841" s="32" t="s">
        <v>47</v>
      </c>
      <c r="H841" s="41">
        <v>45760</v>
      </c>
      <c r="I841" s="81">
        <v>370</v>
      </c>
      <c r="J841" s="93">
        <v>650</v>
      </c>
      <c r="K841" s="86">
        <v>0.08</v>
      </c>
      <c r="L841" s="32" t="s">
        <v>36</v>
      </c>
      <c r="M841" s="162">
        <v>240500</v>
      </c>
      <c r="N841" s="162">
        <v>221260</v>
      </c>
      <c r="O841" s="32" t="s">
        <v>267</v>
      </c>
    </row>
    <row r="842" spans="1:15" x14ac:dyDescent="0.3">
      <c r="A842" s="115" t="s">
        <v>486</v>
      </c>
      <c r="B842" s="11" t="s">
        <v>38</v>
      </c>
      <c r="C842" s="30" t="s">
        <v>247</v>
      </c>
      <c r="D842" s="30" t="s">
        <v>39</v>
      </c>
      <c r="E842" s="30" t="s">
        <v>27</v>
      </c>
      <c r="F842" s="30" t="s">
        <v>28</v>
      </c>
      <c r="G842" s="30" t="s">
        <v>35</v>
      </c>
      <c r="H842" s="39">
        <v>45763</v>
      </c>
      <c r="I842" s="79">
        <v>226</v>
      </c>
      <c r="J842" s="91">
        <v>1200</v>
      </c>
      <c r="K842" s="84">
        <v>0.13</v>
      </c>
      <c r="L842" s="30" t="s">
        <v>36</v>
      </c>
      <c r="M842" s="160">
        <v>271200</v>
      </c>
      <c r="N842" s="160">
        <v>235944</v>
      </c>
      <c r="O842" s="30" t="s">
        <v>267</v>
      </c>
    </row>
    <row r="843" spans="1:15" x14ac:dyDescent="0.3">
      <c r="A843" s="115" t="s">
        <v>487</v>
      </c>
      <c r="B843" s="10" t="s">
        <v>38</v>
      </c>
      <c r="C843" s="32" t="s">
        <v>247</v>
      </c>
      <c r="D843" s="32" t="s">
        <v>39</v>
      </c>
      <c r="E843" s="32" t="s">
        <v>51</v>
      </c>
      <c r="F843" s="32" t="s">
        <v>46</v>
      </c>
      <c r="G843" s="32" t="s">
        <v>47</v>
      </c>
      <c r="H843" s="41">
        <v>45764</v>
      </c>
      <c r="I843" s="81">
        <v>354</v>
      </c>
      <c r="J843" s="93">
        <v>1200</v>
      </c>
      <c r="K843" s="86">
        <v>0.1</v>
      </c>
      <c r="L843" s="32" t="s">
        <v>30</v>
      </c>
      <c r="M843" s="162">
        <v>424800</v>
      </c>
      <c r="N843" s="162">
        <v>382320</v>
      </c>
      <c r="O843" s="32" t="s">
        <v>277</v>
      </c>
    </row>
    <row r="844" spans="1:15" x14ac:dyDescent="0.3">
      <c r="A844" s="115" t="s">
        <v>488</v>
      </c>
      <c r="B844" s="11" t="s">
        <v>25</v>
      </c>
      <c r="C844" s="30" t="s">
        <v>257</v>
      </c>
      <c r="D844" s="30" t="s">
        <v>26</v>
      </c>
      <c r="E844" s="30" t="s">
        <v>45</v>
      </c>
      <c r="F844" s="30" t="s">
        <v>41</v>
      </c>
      <c r="G844" s="30" t="s">
        <v>53</v>
      </c>
      <c r="H844" s="39">
        <v>45764</v>
      </c>
      <c r="I844" s="79">
        <v>118</v>
      </c>
      <c r="J844" s="91">
        <v>350</v>
      </c>
      <c r="K844" s="84">
        <v>0</v>
      </c>
      <c r="L844" s="30" t="s">
        <v>36</v>
      </c>
      <c r="M844" s="160">
        <v>41300</v>
      </c>
      <c r="N844" s="160">
        <v>41300</v>
      </c>
      <c r="O844" s="30" t="s">
        <v>265</v>
      </c>
    </row>
    <row r="845" spans="1:15" x14ac:dyDescent="0.3">
      <c r="A845" s="115" t="s">
        <v>489</v>
      </c>
      <c r="B845" s="10" t="s">
        <v>25</v>
      </c>
      <c r="C845" s="32" t="s">
        <v>257</v>
      </c>
      <c r="D845" s="32" t="s">
        <v>26</v>
      </c>
      <c r="E845" s="32" t="s">
        <v>33</v>
      </c>
      <c r="F845" s="32" t="s">
        <v>52</v>
      </c>
      <c r="G845" s="32" t="s">
        <v>29</v>
      </c>
      <c r="H845" s="41">
        <v>45765</v>
      </c>
      <c r="I845" s="81">
        <v>291</v>
      </c>
      <c r="J845" s="93">
        <v>350</v>
      </c>
      <c r="K845" s="86">
        <v>0.05</v>
      </c>
      <c r="L845" s="32" t="s">
        <v>36</v>
      </c>
      <c r="M845" s="162">
        <v>101850</v>
      </c>
      <c r="N845" s="162">
        <v>96757.5</v>
      </c>
      <c r="O845" s="32" t="s">
        <v>265</v>
      </c>
    </row>
    <row r="846" spans="1:15" x14ac:dyDescent="0.3">
      <c r="A846" s="115" t="s">
        <v>490</v>
      </c>
      <c r="B846" s="11" t="s">
        <v>38</v>
      </c>
      <c r="C846" s="30" t="s">
        <v>247</v>
      </c>
      <c r="D846" s="30" t="s">
        <v>39</v>
      </c>
      <c r="E846" s="30" t="s">
        <v>27</v>
      </c>
      <c r="F846" s="30" t="s">
        <v>52</v>
      </c>
      <c r="G846" s="30" t="s">
        <v>56</v>
      </c>
      <c r="H846" s="39">
        <v>45766</v>
      </c>
      <c r="I846" s="79">
        <v>328</v>
      </c>
      <c r="J846" s="91">
        <v>1200</v>
      </c>
      <c r="K846" s="84">
        <v>0.11</v>
      </c>
      <c r="L846" s="30" t="s">
        <v>30</v>
      </c>
      <c r="M846" s="160">
        <v>393600</v>
      </c>
      <c r="N846" s="160">
        <v>350304</v>
      </c>
      <c r="O846" s="30" t="s">
        <v>277</v>
      </c>
    </row>
    <row r="847" spans="1:15" x14ac:dyDescent="0.3">
      <c r="A847" s="115" t="s">
        <v>491</v>
      </c>
      <c r="B847" s="10" t="s">
        <v>63</v>
      </c>
      <c r="C847" s="32" t="s">
        <v>253</v>
      </c>
      <c r="D847" s="32" t="s">
        <v>50</v>
      </c>
      <c r="E847" s="32" t="s">
        <v>33</v>
      </c>
      <c r="F847" s="32" t="s">
        <v>46</v>
      </c>
      <c r="G847" s="32" t="s">
        <v>35</v>
      </c>
      <c r="H847" s="41">
        <v>45766</v>
      </c>
      <c r="I847" s="81">
        <v>267</v>
      </c>
      <c r="J847" s="93">
        <v>750</v>
      </c>
      <c r="K847" s="86">
        <v>0</v>
      </c>
      <c r="L847" s="32" t="s">
        <v>36</v>
      </c>
      <c r="M847" s="162">
        <v>200250</v>
      </c>
      <c r="N847" s="162">
        <v>200250</v>
      </c>
      <c r="O847" s="32" t="s">
        <v>267</v>
      </c>
    </row>
    <row r="848" spans="1:15" x14ac:dyDescent="0.3">
      <c r="A848" s="115" t="s">
        <v>492</v>
      </c>
      <c r="B848" s="11" t="s">
        <v>58</v>
      </c>
      <c r="C848" s="30" t="s">
        <v>255</v>
      </c>
      <c r="D848" s="30" t="s">
        <v>59</v>
      </c>
      <c r="E848" s="30" t="s">
        <v>40</v>
      </c>
      <c r="F848" s="30" t="s">
        <v>28</v>
      </c>
      <c r="G848" s="30" t="s">
        <v>29</v>
      </c>
      <c r="H848" s="39">
        <v>45766</v>
      </c>
      <c r="I848" s="79">
        <v>162</v>
      </c>
      <c r="J848" s="91">
        <v>2800</v>
      </c>
      <c r="K848" s="84">
        <v>0.13</v>
      </c>
      <c r="L848" s="30" t="s">
        <v>36</v>
      </c>
      <c r="M848" s="160">
        <v>453600</v>
      </c>
      <c r="N848" s="160">
        <v>394632</v>
      </c>
      <c r="O848" s="30" t="s">
        <v>277</v>
      </c>
    </row>
    <row r="849" spans="1:15" x14ac:dyDescent="0.3">
      <c r="A849" s="115" t="s">
        <v>493</v>
      </c>
      <c r="B849" s="10" t="s">
        <v>49</v>
      </c>
      <c r="C849" s="32" t="s">
        <v>251</v>
      </c>
      <c r="D849" s="32" t="s">
        <v>50</v>
      </c>
      <c r="E849" s="32" t="s">
        <v>45</v>
      </c>
      <c r="F849" s="32" t="s">
        <v>46</v>
      </c>
      <c r="G849" s="32" t="s">
        <v>47</v>
      </c>
      <c r="H849" s="41">
        <v>45768</v>
      </c>
      <c r="I849" s="81">
        <v>232</v>
      </c>
      <c r="J849" s="93">
        <v>895</v>
      </c>
      <c r="K849" s="86">
        <v>0</v>
      </c>
      <c r="L849" s="32" t="s">
        <v>30</v>
      </c>
      <c r="M849" s="162">
        <v>207640</v>
      </c>
      <c r="N849" s="162">
        <v>207640</v>
      </c>
      <c r="O849" s="32" t="s">
        <v>267</v>
      </c>
    </row>
    <row r="850" spans="1:15" x14ac:dyDescent="0.3">
      <c r="A850" s="115" t="s">
        <v>494</v>
      </c>
      <c r="B850" s="11" t="s">
        <v>61</v>
      </c>
      <c r="C850" s="30" t="s">
        <v>244</v>
      </c>
      <c r="D850" s="30" t="s">
        <v>26</v>
      </c>
      <c r="E850" s="30" t="s">
        <v>40</v>
      </c>
      <c r="F850" s="30" t="s">
        <v>46</v>
      </c>
      <c r="G850" s="30" t="s">
        <v>29</v>
      </c>
      <c r="H850" s="39">
        <v>45768</v>
      </c>
      <c r="I850" s="79">
        <v>190</v>
      </c>
      <c r="J850" s="91">
        <v>280</v>
      </c>
      <c r="K850" s="84">
        <v>0</v>
      </c>
      <c r="L850" s="30" t="s">
        <v>36</v>
      </c>
      <c r="M850" s="160">
        <v>53200</v>
      </c>
      <c r="N850" s="160">
        <v>53200</v>
      </c>
      <c r="O850" s="30" t="s">
        <v>265</v>
      </c>
    </row>
    <row r="851" spans="1:15" x14ac:dyDescent="0.3">
      <c r="A851" s="115" t="s">
        <v>495</v>
      </c>
      <c r="B851" s="10" t="s">
        <v>25</v>
      </c>
      <c r="C851" s="32" t="s">
        <v>257</v>
      </c>
      <c r="D851" s="32" t="s">
        <v>26</v>
      </c>
      <c r="E851" s="32" t="s">
        <v>45</v>
      </c>
      <c r="F851" s="32" t="s">
        <v>52</v>
      </c>
      <c r="G851" s="32" t="s">
        <v>42</v>
      </c>
      <c r="H851" s="41">
        <v>45769</v>
      </c>
      <c r="I851" s="81">
        <v>414</v>
      </c>
      <c r="J851" s="93">
        <v>350</v>
      </c>
      <c r="K851" s="86">
        <v>0.12</v>
      </c>
      <c r="L851" s="32" t="s">
        <v>36</v>
      </c>
      <c r="M851" s="162">
        <v>144900</v>
      </c>
      <c r="N851" s="162">
        <v>127512</v>
      </c>
      <c r="O851" s="32" t="s">
        <v>267</v>
      </c>
    </row>
    <row r="852" spans="1:15" x14ac:dyDescent="0.3">
      <c r="A852" s="115" t="s">
        <v>496</v>
      </c>
      <c r="B852" s="11" t="s">
        <v>63</v>
      </c>
      <c r="C852" s="30" t="s">
        <v>253</v>
      </c>
      <c r="D852" s="30" t="s">
        <v>50</v>
      </c>
      <c r="E852" s="30" t="s">
        <v>51</v>
      </c>
      <c r="F852" s="30" t="s">
        <v>46</v>
      </c>
      <c r="G852" s="30" t="s">
        <v>29</v>
      </c>
      <c r="H852" s="39">
        <v>45770</v>
      </c>
      <c r="I852" s="79">
        <v>230</v>
      </c>
      <c r="J852" s="91">
        <v>750</v>
      </c>
      <c r="K852" s="84">
        <v>0.03</v>
      </c>
      <c r="L852" s="30" t="s">
        <v>36</v>
      </c>
      <c r="M852" s="160">
        <v>172500</v>
      </c>
      <c r="N852" s="160">
        <v>167325</v>
      </c>
      <c r="O852" s="30" t="s">
        <v>267</v>
      </c>
    </row>
    <row r="853" spans="1:15" x14ac:dyDescent="0.3">
      <c r="A853" s="115" t="s">
        <v>497</v>
      </c>
      <c r="B853" s="10" t="s">
        <v>32</v>
      </c>
      <c r="C853" s="32" t="s">
        <v>246</v>
      </c>
      <c r="D853" s="32" t="s">
        <v>26</v>
      </c>
      <c r="E853" s="32" t="s">
        <v>27</v>
      </c>
      <c r="F853" s="32" t="s">
        <v>28</v>
      </c>
      <c r="G853" s="32" t="s">
        <v>56</v>
      </c>
      <c r="H853" s="41">
        <v>45770</v>
      </c>
      <c r="I853" s="81">
        <v>181</v>
      </c>
      <c r="J853" s="93">
        <v>420</v>
      </c>
      <c r="K853" s="86">
        <v>0.05</v>
      </c>
      <c r="L853" s="32" t="s">
        <v>30</v>
      </c>
      <c r="M853" s="162">
        <v>76020</v>
      </c>
      <c r="N853" s="162">
        <v>72219</v>
      </c>
      <c r="O853" s="32" t="s">
        <v>265</v>
      </c>
    </row>
    <row r="854" spans="1:15" x14ac:dyDescent="0.3">
      <c r="A854" s="115" t="s">
        <v>498</v>
      </c>
      <c r="B854" s="11" t="s">
        <v>61</v>
      </c>
      <c r="C854" s="30" t="s">
        <v>244</v>
      </c>
      <c r="D854" s="30" t="s">
        <v>26</v>
      </c>
      <c r="E854" s="30" t="s">
        <v>40</v>
      </c>
      <c r="F854" s="30" t="s">
        <v>41</v>
      </c>
      <c r="G854" s="30" t="s">
        <v>47</v>
      </c>
      <c r="H854" s="39">
        <v>45770</v>
      </c>
      <c r="I854" s="79">
        <v>238</v>
      </c>
      <c r="J854" s="91">
        <v>280</v>
      </c>
      <c r="K854" s="84">
        <v>0</v>
      </c>
      <c r="L854" s="30" t="s">
        <v>36</v>
      </c>
      <c r="M854" s="160">
        <v>66640</v>
      </c>
      <c r="N854" s="160">
        <v>66640</v>
      </c>
      <c r="O854" s="30" t="s">
        <v>265</v>
      </c>
    </row>
    <row r="855" spans="1:15" x14ac:dyDescent="0.3">
      <c r="A855" s="115" t="s">
        <v>499</v>
      </c>
      <c r="B855" s="10" t="s">
        <v>63</v>
      </c>
      <c r="C855" s="32" t="s">
        <v>253</v>
      </c>
      <c r="D855" s="32" t="s">
        <v>50</v>
      </c>
      <c r="E855" s="32" t="s">
        <v>51</v>
      </c>
      <c r="F855" s="32" t="s">
        <v>34</v>
      </c>
      <c r="G855" s="32" t="s">
        <v>29</v>
      </c>
      <c r="H855" s="41">
        <v>45771</v>
      </c>
      <c r="I855" s="81">
        <v>360</v>
      </c>
      <c r="J855" s="93">
        <v>750</v>
      </c>
      <c r="K855" s="86">
        <v>0.15</v>
      </c>
      <c r="L855" s="32" t="s">
        <v>30</v>
      </c>
      <c r="M855" s="162">
        <v>270000</v>
      </c>
      <c r="N855" s="162">
        <v>229500</v>
      </c>
      <c r="O855" s="32" t="s">
        <v>267</v>
      </c>
    </row>
    <row r="856" spans="1:15" x14ac:dyDescent="0.3">
      <c r="A856" s="115" t="s">
        <v>500</v>
      </c>
      <c r="B856" s="11" t="s">
        <v>16</v>
      </c>
      <c r="C856" s="30" t="s">
        <v>250</v>
      </c>
      <c r="D856" s="30" t="s">
        <v>39</v>
      </c>
      <c r="E856" s="30" t="s">
        <v>27</v>
      </c>
      <c r="F856" s="30" t="s">
        <v>41</v>
      </c>
      <c r="G856" s="30" t="s">
        <v>47</v>
      </c>
      <c r="H856" s="39">
        <v>45771</v>
      </c>
      <c r="I856" s="79">
        <v>34</v>
      </c>
      <c r="J856" s="91">
        <v>990</v>
      </c>
      <c r="K856" s="84">
        <v>7.0000000000000007E-2</v>
      </c>
      <c r="L856" s="30" t="s">
        <v>36</v>
      </c>
      <c r="M856" s="160">
        <v>33660</v>
      </c>
      <c r="N856" s="160">
        <v>31303.8</v>
      </c>
      <c r="O856" s="30" t="s">
        <v>265</v>
      </c>
    </row>
    <row r="857" spans="1:15" x14ac:dyDescent="0.3">
      <c r="A857" s="115" t="s">
        <v>501</v>
      </c>
      <c r="B857" s="10" t="s">
        <v>58</v>
      </c>
      <c r="C857" s="32" t="s">
        <v>255</v>
      </c>
      <c r="D857" s="32" t="s">
        <v>59</v>
      </c>
      <c r="E857" s="32" t="s">
        <v>40</v>
      </c>
      <c r="F857" s="32" t="s">
        <v>34</v>
      </c>
      <c r="G857" s="32" t="s">
        <v>29</v>
      </c>
      <c r="H857" s="41">
        <v>45771</v>
      </c>
      <c r="I857" s="81">
        <v>49</v>
      </c>
      <c r="J857" s="93">
        <v>2800</v>
      </c>
      <c r="K857" s="86">
        <v>7.0000000000000007E-2</v>
      </c>
      <c r="L857" s="32" t="s">
        <v>36</v>
      </c>
      <c r="M857" s="162">
        <v>137200</v>
      </c>
      <c r="N857" s="162">
        <v>127596</v>
      </c>
      <c r="O857" s="32" t="s">
        <v>267</v>
      </c>
    </row>
    <row r="858" spans="1:15" x14ac:dyDescent="0.3">
      <c r="A858" s="115" t="s">
        <v>502</v>
      </c>
      <c r="B858" s="11" t="s">
        <v>58</v>
      </c>
      <c r="C858" s="30" t="s">
        <v>255</v>
      </c>
      <c r="D858" s="30" t="s">
        <v>59</v>
      </c>
      <c r="E858" s="30" t="s">
        <v>51</v>
      </c>
      <c r="F858" s="30" t="s">
        <v>46</v>
      </c>
      <c r="G858" s="30" t="s">
        <v>35</v>
      </c>
      <c r="H858" s="39">
        <v>45773</v>
      </c>
      <c r="I858" s="79">
        <v>220</v>
      </c>
      <c r="J858" s="91">
        <v>2800</v>
      </c>
      <c r="K858" s="84">
        <v>0</v>
      </c>
      <c r="L858" s="30" t="s">
        <v>30</v>
      </c>
      <c r="M858" s="160">
        <v>616000</v>
      </c>
      <c r="N858" s="160">
        <v>616000</v>
      </c>
      <c r="O858" s="30" t="s">
        <v>277</v>
      </c>
    </row>
    <row r="859" spans="1:15" x14ac:dyDescent="0.3">
      <c r="A859" s="115" t="s">
        <v>503</v>
      </c>
      <c r="B859" s="10" t="s">
        <v>63</v>
      </c>
      <c r="C859" s="32" t="s">
        <v>253</v>
      </c>
      <c r="D859" s="32" t="s">
        <v>50</v>
      </c>
      <c r="E859" s="32" t="s">
        <v>33</v>
      </c>
      <c r="F859" s="32" t="s">
        <v>28</v>
      </c>
      <c r="G859" s="32" t="s">
        <v>53</v>
      </c>
      <c r="H859" s="41">
        <v>45773</v>
      </c>
      <c r="I859" s="81">
        <v>69</v>
      </c>
      <c r="J859" s="93">
        <v>750</v>
      </c>
      <c r="K859" s="86">
        <v>0.03</v>
      </c>
      <c r="L859" s="32" t="s">
        <v>36</v>
      </c>
      <c r="M859" s="162">
        <v>51750</v>
      </c>
      <c r="N859" s="162">
        <v>50197.5</v>
      </c>
      <c r="O859" s="32" t="s">
        <v>265</v>
      </c>
    </row>
    <row r="860" spans="1:15" x14ac:dyDescent="0.3">
      <c r="A860" s="115" t="s">
        <v>504</v>
      </c>
      <c r="B860" s="11" t="s">
        <v>32</v>
      </c>
      <c r="C860" s="30" t="s">
        <v>246</v>
      </c>
      <c r="D860" s="30" t="s">
        <v>26</v>
      </c>
      <c r="E860" s="30" t="s">
        <v>45</v>
      </c>
      <c r="F860" s="30" t="s">
        <v>52</v>
      </c>
      <c r="G860" s="30" t="s">
        <v>47</v>
      </c>
      <c r="H860" s="39">
        <v>45773</v>
      </c>
      <c r="I860" s="79">
        <v>273</v>
      </c>
      <c r="J860" s="91">
        <v>420</v>
      </c>
      <c r="K860" s="84">
        <v>0.11</v>
      </c>
      <c r="L860" s="30" t="s">
        <v>30</v>
      </c>
      <c r="M860" s="160">
        <v>114660</v>
      </c>
      <c r="N860" s="160">
        <v>102047.4</v>
      </c>
      <c r="O860" s="30" t="s">
        <v>267</v>
      </c>
    </row>
    <row r="861" spans="1:15" x14ac:dyDescent="0.3">
      <c r="A861" s="115" t="s">
        <v>505</v>
      </c>
      <c r="B861" s="10" t="s">
        <v>63</v>
      </c>
      <c r="C861" s="32" t="s">
        <v>253</v>
      </c>
      <c r="D861" s="32" t="s">
        <v>50</v>
      </c>
      <c r="E861" s="32" t="s">
        <v>40</v>
      </c>
      <c r="F861" s="32" t="s">
        <v>28</v>
      </c>
      <c r="G861" s="32" t="s">
        <v>29</v>
      </c>
      <c r="H861" s="41">
        <v>45774</v>
      </c>
      <c r="I861" s="81">
        <v>99</v>
      </c>
      <c r="J861" s="93">
        <v>750</v>
      </c>
      <c r="K861" s="86">
        <v>7.0000000000000007E-2</v>
      </c>
      <c r="L861" s="32" t="s">
        <v>36</v>
      </c>
      <c r="M861" s="162">
        <v>74250</v>
      </c>
      <c r="N861" s="162">
        <v>69052.5</v>
      </c>
      <c r="O861" s="32" t="s">
        <v>265</v>
      </c>
    </row>
    <row r="862" spans="1:15" x14ac:dyDescent="0.3">
      <c r="A862" s="115" t="s">
        <v>506</v>
      </c>
      <c r="B862" s="11" t="s">
        <v>38</v>
      </c>
      <c r="C862" s="30" t="s">
        <v>247</v>
      </c>
      <c r="D862" s="30" t="s">
        <v>39</v>
      </c>
      <c r="E862" s="30" t="s">
        <v>45</v>
      </c>
      <c r="F862" s="30" t="s">
        <v>34</v>
      </c>
      <c r="G862" s="30" t="s">
        <v>42</v>
      </c>
      <c r="H862" s="39">
        <v>45774</v>
      </c>
      <c r="I862" s="79">
        <v>66</v>
      </c>
      <c r="J862" s="91">
        <v>1200</v>
      </c>
      <c r="K862" s="84">
        <v>0.03</v>
      </c>
      <c r="L862" s="30" t="s">
        <v>36</v>
      </c>
      <c r="M862" s="160">
        <v>79200</v>
      </c>
      <c r="N862" s="160">
        <v>76824</v>
      </c>
      <c r="O862" s="30" t="s">
        <v>265</v>
      </c>
    </row>
    <row r="863" spans="1:15" x14ac:dyDescent="0.3">
      <c r="A863" s="115" t="s">
        <v>507</v>
      </c>
      <c r="B863" s="10" t="s">
        <v>63</v>
      </c>
      <c r="C863" s="32" t="s">
        <v>253</v>
      </c>
      <c r="D863" s="32" t="s">
        <v>50</v>
      </c>
      <c r="E863" s="32" t="s">
        <v>40</v>
      </c>
      <c r="F863" s="32" t="s">
        <v>28</v>
      </c>
      <c r="G863" s="32" t="s">
        <v>35</v>
      </c>
      <c r="H863" s="41">
        <v>45774</v>
      </c>
      <c r="I863" s="81">
        <v>358</v>
      </c>
      <c r="J863" s="93">
        <v>750</v>
      </c>
      <c r="K863" s="86">
        <v>0.14000000000000001</v>
      </c>
      <c r="L863" s="32" t="s">
        <v>36</v>
      </c>
      <c r="M863" s="162">
        <v>268500</v>
      </c>
      <c r="N863" s="162">
        <v>230910</v>
      </c>
      <c r="O863" s="32" t="s">
        <v>267</v>
      </c>
    </row>
    <row r="864" spans="1:15" x14ac:dyDescent="0.3">
      <c r="A864" s="115" t="s">
        <v>508</v>
      </c>
      <c r="B864" s="11" t="s">
        <v>44</v>
      </c>
      <c r="C864" s="30" t="s">
        <v>254</v>
      </c>
      <c r="D864" s="30" t="s">
        <v>39</v>
      </c>
      <c r="E864" s="30" t="s">
        <v>51</v>
      </c>
      <c r="F864" s="30" t="s">
        <v>46</v>
      </c>
      <c r="G864" s="30" t="s">
        <v>56</v>
      </c>
      <c r="H864" s="39">
        <v>45776</v>
      </c>
      <c r="I864" s="79">
        <v>162</v>
      </c>
      <c r="J864" s="91">
        <v>200</v>
      </c>
      <c r="K864" s="84">
        <v>0.12</v>
      </c>
      <c r="L864" s="30" t="s">
        <v>30</v>
      </c>
      <c r="M864" s="160">
        <v>32400</v>
      </c>
      <c r="N864" s="160">
        <v>28512</v>
      </c>
      <c r="O864" s="30" t="s">
        <v>265</v>
      </c>
    </row>
    <row r="865" spans="1:15" x14ac:dyDescent="0.3">
      <c r="A865" s="115" t="s">
        <v>509</v>
      </c>
      <c r="B865" s="10" t="s">
        <v>61</v>
      </c>
      <c r="C865" s="32" t="s">
        <v>244</v>
      </c>
      <c r="D865" s="32" t="s">
        <v>26</v>
      </c>
      <c r="E865" s="32" t="s">
        <v>33</v>
      </c>
      <c r="F865" s="32" t="s">
        <v>46</v>
      </c>
      <c r="G865" s="32" t="s">
        <v>42</v>
      </c>
      <c r="H865" s="41">
        <v>45776</v>
      </c>
      <c r="I865" s="81">
        <v>349</v>
      </c>
      <c r="J865" s="93">
        <v>280</v>
      </c>
      <c r="K865" s="86">
        <v>0.03</v>
      </c>
      <c r="L865" s="32" t="s">
        <v>36</v>
      </c>
      <c r="M865" s="162">
        <v>97720</v>
      </c>
      <c r="N865" s="162">
        <v>94788.4</v>
      </c>
      <c r="O865" s="32" t="s">
        <v>265</v>
      </c>
    </row>
    <row r="866" spans="1:15" x14ac:dyDescent="0.3">
      <c r="A866" s="115" t="s">
        <v>510</v>
      </c>
      <c r="B866" s="11" t="s">
        <v>55</v>
      </c>
      <c r="C866" s="30" t="s">
        <v>249</v>
      </c>
      <c r="D866" s="30" t="s">
        <v>39</v>
      </c>
      <c r="E866" s="30" t="s">
        <v>40</v>
      </c>
      <c r="F866" s="30" t="s">
        <v>41</v>
      </c>
      <c r="G866" s="30" t="s">
        <v>29</v>
      </c>
      <c r="H866" s="39">
        <v>45776</v>
      </c>
      <c r="I866" s="79">
        <v>151</v>
      </c>
      <c r="J866" s="91">
        <v>650</v>
      </c>
      <c r="K866" s="84">
        <v>0.1</v>
      </c>
      <c r="L866" s="30" t="s">
        <v>36</v>
      </c>
      <c r="M866" s="160">
        <v>98150</v>
      </c>
      <c r="N866" s="160">
        <v>88335</v>
      </c>
      <c r="O866" s="30" t="s">
        <v>265</v>
      </c>
    </row>
    <row r="867" spans="1:15" x14ac:dyDescent="0.3">
      <c r="A867" s="115" t="s">
        <v>511</v>
      </c>
      <c r="B867" s="10" t="s">
        <v>61</v>
      </c>
      <c r="C867" s="32" t="s">
        <v>244</v>
      </c>
      <c r="D867" s="32" t="s">
        <v>26</v>
      </c>
      <c r="E867" s="32" t="s">
        <v>51</v>
      </c>
      <c r="F867" s="32" t="s">
        <v>46</v>
      </c>
      <c r="G867" s="32" t="s">
        <v>56</v>
      </c>
      <c r="H867" s="41">
        <v>45778</v>
      </c>
      <c r="I867" s="81">
        <v>253</v>
      </c>
      <c r="J867" s="93">
        <v>280</v>
      </c>
      <c r="K867" s="86">
        <v>0.08</v>
      </c>
      <c r="L867" s="32" t="s">
        <v>30</v>
      </c>
      <c r="M867" s="162">
        <v>70840</v>
      </c>
      <c r="N867" s="162">
        <v>65172.800000000003</v>
      </c>
      <c r="O867" s="32" t="s">
        <v>265</v>
      </c>
    </row>
    <row r="868" spans="1:15" x14ac:dyDescent="0.3">
      <c r="A868" s="115" t="s">
        <v>512</v>
      </c>
      <c r="B868" s="11" t="s">
        <v>32</v>
      </c>
      <c r="C868" s="30" t="s">
        <v>246</v>
      </c>
      <c r="D868" s="30" t="s">
        <v>26</v>
      </c>
      <c r="E868" s="30" t="s">
        <v>33</v>
      </c>
      <c r="F868" s="30" t="s">
        <v>52</v>
      </c>
      <c r="G868" s="30" t="s">
        <v>29</v>
      </c>
      <c r="H868" s="39">
        <v>45778</v>
      </c>
      <c r="I868" s="79">
        <v>347</v>
      </c>
      <c r="J868" s="91">
        <v>420</v>
      </c>
      <c r="K868" s="84">
        <v>0</v>
      </c>
      <c r="L868" s="30" t="s">
        <v>30</v>
      </c>
      <c r="M868" s="160">
        <v>145740</v>
      </c>
      <c r="N868" s="160">
        <v>145740</v>
      </c>
      <c r="O868" s="30" t="s">
        <v>267</v>
      </c>
    </row>
    <row r="869" spans="1:15" x14ac:dyDescent="0.3">
      <c r="A869" s="115" t="s">
        <v>513</v>
      </c>
      <c r="B869" s="10" t="s">
        <v>58</v>
      </c>
      <c r="C869" s="32" t="s">
        <v>255</v>
      </c>
      <c r="D869" s="32" t="s">
        <v>59</v>
      </c>
      <c r="E869" s="32" t="s">
        <v>45</v>
      </c>
      <c r="F869" s="32" t="s">
        <v>34</v>
      </c>
      <c r="G869" s="32" t="s">
        <v>47</v>
      </c>
      <c r="H869" s="41">
        <v>45778</v>
      </c>
      <c r="I869" s="81">
        <v>114</v>
      </c>
      <c r="J869" s="93">
        <v>2800</v>
      </c>
      <c r="K869" s="86">
        <v>0</v>
      </c>
      <c r="L869" s="32" t="s">
        <v>30</v>
      </c>
      <c r="M869" s="162">
        <v>319200</v>
      </c>
      <c r="N869" s="162">
        <v>319200</v>
      </c>
      <c r="O869" s="32" t="s">
        <v>267</v>
      </c>
    </row>
    <row r="870" spans="1:15" x14ac:dyDescent="0.3">
      <c r="A870" s="115" t="s">
        <v>514</v>
      </c>
      <c r="B870" s="11" t="s">
        <v>25</v>
      </c>
      <c r="C870" s="30" t="s">
        <v>257</v>
      </c>
      <c r="D870" s="30" t="s">
        <v>26</v>
      </c>
      <c r="E870" s="30" t="s">
        <v>51</v>
      </c>
      <c r="F870" s="30" t="s">
        <v>46</v>
      </c>
      <c r="G870" s="30" t="s">
        <v>56</v>
      </c>
      <c r="H870" s="39">
        <v>45779</v>
      </c>
      <c r="I870" s="79">
        <v>421</v>
      </c>
      <c r="J870" s="91">
        <v>350</v>
      </c>
      <c r="K870" s="84">
        <v>0.15</v>
      </c>
      <c r="L870" s="30" t="s">
        <v>30</v>
      </c>
      <c r="M870" s="160">
        <v>147350</v>
      </c>
      <c r="N870" s="160">
        <v>125247.5</v>
      </c>
      <c r="O870" s="30" t="s">
        <v>267</v>
      </c>
    </row>
    <row r="871" spans="1:15" x14ac:dyDescent="0.3">
      <c r="A871" s="115" t="s">
        <v>515</v>
      </c>
      <c r="B871" s="10" t="s">
        <v>32</v>
      </c>
      <c r="C871" s="32" t="s">
        <v>246</v>
      </c>
      <c r="D871" s="32" t="s">
        <v>26</v>
      </c>
      <c r="E871" s="32" t="s">
        <v>33</v>
      </c>
      <c r="F871" s="32" t="s">
        <v>28</v>
      </c>
      <c r="G871" s="32" t="s">
        <v>47</v>
      </c>
      <c r="H871" s="41">
        <v>45781</v>
      </c>
      <c r="I871" s="81">
        <v>164</v>
      </c>
      <c r="J871" s="93">
        <v>420</v>
      </c>
      <c r="K871" s="86">
        <v>0.15</v>
      </c>
      <c r="L871" s="32" t="s">
        <v>36</v>
      </c>
      <c r="M871" s="162">
        <v>68880</v>
      </c>
      <c r="N871" s="162">
        <v>58548</v>
      </c>
      <c r="O871" s="32" t="s">
        <v>265</v>
      </c>
    </row>
    <row r="872" spans="1:15" x14ac:dyDescent="0.3">
      <c r="A872" s="115" t="s">
        <v>516</v>
      </c>
      <c r="B872" s="11" t="s">
        <v>58</v>
      </c>
      <c r="C872" s="30" t="s">
        <v>255</v>
      </c>
      <c r="D872" s="30" t="s">
        <v>59</v>
      </c>
      <c r="E872" s="30" t="s">
        <v>45</v>
      </c>
      <c r="F872" s="30" t="s">
        <v>34</v>
      </c>
      <c r="G872" s="30" t="s">
        <v>53</v>
      </c>
      <c r="H872" s="39">
        <v>45781</v>
      </c>
      <c r="I872" s="79">
        <v>134</v>
      </c>
      <c r="J872" s="91">
        <v>2800</v>
      </c>
      <c r="K872" s="84">
        <v>0</v>
      </c>
      <c r="L872" s="30" t="s">
        <v>30</v>
      </c>
      <c r="M872" s="160">
        <v>375200</v>
      </c>
      <c r="N872" s="160">
        <v>375200</v>
      </c>
      <c r="O872" s="30" t="s">
        <v>277</v>
      </c>
    </row>
    <row r="873" spans="1:15" x14ac:dyDescent="0.3">
      <c r="A873" s="115" t="s">
        <v>517</v>
      </c>
      <c r="B873" s="10" t="s">
        <v>16</v>
      </c>
      <c r="C873" s="32" t="s">
        <v>250</v>
      </c>
      <c r="D873" s="32" t="s">
        <v>39</v>
      </c>
      <c r="E873" s="32" t="s">
        <v>45</v>
      </c>
      <c r="F873" s="32" t="s">
        <v>52</v>
      </c>
      <c r="G873" s="32" t="s">
        <v>53</v>
      </c>
      <c r="H873" s="41">
        <v>45783</v>
      </c>
      <c r="I873" s="81">
        <v>233</v>
      </c>
      <c r="J873" s="93">
        <v>990</v>
      </c>
      <c r="K873" s="86">
        <v>0</v>
      </c>
      <c r="L873" s="32" t="s">
        <v>30</v>
      </c>
      <c r="M873" s="162">
        <v>230670</v>
      </c>
      <c r="N873" s="162">
        <v>230670</v>
      </c>
      <c r="O873" s="32" t="s">
        <v>267</v>
      </c>
    </row>
    <row r="874" spans="1:15" x14ac:dyDescent="0.3">
      <c r="A874" s="115" t="s">
        <v>518</v>
      </c>
      <c r="B874" s="11" t="s">
        <v>49</v>
      </c>
      <c r="C874" s="30" t="s">
        <v>251</v>
      </c>
      <c r="D874" s="30" t="s">
        <v>50</v>
      </c>
      <c r="E874" s="30" t="s">
        <v>51</v>
      </c>
      <c r="F874" s="30" t="s">
        <v>46</v>
      </c>
      <c r="G874" s="30" t="s">
        <v>53</v>
      </c>
      <c r="H874" s="39">
        <v>45783</v>
      </c>
      <c r="I874" s="79">
        <v>157</v>
      </c>
      <c r="J874" s="91">
        <v>895</v>
      </c>
      <c r="K874" s="84">
        <v>7.0000000000000007E-2</v>
      </c>
      <c r="L874" s="30" t="s">
        <v>36</v>
      </c>
      <c r="M874" s="160">
        <v>140515</v>
      </c>
      <c r="N874" s="160">
        <v>130678.95</v>
      </c>
      <c r="O874" s="30" t="s">
        <v>267</v>
      </c>
    </row>
    <row r="875" spans="1:15" x14ac:dyDescent="0.3">
      <c r="A875" s="115" t="s">
        <v>519</v>
      </c>
      <c r="B875" s="10" t="s">
        <v>25</v>
      </c>
      <c r="C875" s="32" t="s">
        <v>257</v>
      </c>
      <c r="D875" s="32" t="s">
        <v>26</v>
      </c>
      <c r="E875" s="32" t="s">
        <v>40</v>
      </c>
      <c r="F875" s="32" t="s">
        <v>28</v>
      </c>
      <c r="G875" s="32" t="s">
        <v>42</v>
      </c>
      <c r="H875" s="41">
        <v>45784</v>
      </c>
      <c r="I875" s="81">
        <v>207</v>
      </c>
      <c r="J875" s="93">
        <v>350</v>
      </c>
      <c r="K875" s="86">
        <v>0.08</v>
      </c>
      <c r="L875" s="32" t="s">
        <v>36</v>
      </c>
      <c r="M875" s="162">
        <v>72450</v>
      </c>
      <c r="N875" s="162">
        <v>66654</v>
      </c>
      <c r="O875" s="32" t="s">
        <v>265</v>
      </c>
    </row>
    <row r="876" spans="1:15" x14ac:dyDescent="0.3">
      <c r="A876" s="115" t="s">
        <v>520</v>
      </c>
      <c r="B876" s="11" t="s">
        <v>38</v>
      </c>
      <c r="C876" s="30" t="s">
        <v>247</v>
      </c>
      <c r="D876" s="30" t="s">
        <v>39</v>
      </c>
      <c r="E876" s="30" t="s">
        <v>45</v>
      </c>
      <c r="F876" s="30" t="s">
        <v>46</v>
      </c>
      <c r="G876" s="30" t="s">
        <v>47</v>
      </c>
      <c r="H876" s="39">
        <v>45785</v>
      </c>
      <c r="I876" s="79">
        <v>142</v>
      </c>
      <c r="J876" s="91">
        <v>1200</v>
      </c>
      <c r="K876" s="84">
        <v>0.14000000000000001</v>
      </c>
      <c r="L876" s="30" t="s">
        <v>36</v>
      </c>
      <c r="M876" s="160">
        <v>170400</v>
      </c>
      <c r="N876" s="160">
        <v>146544</v>
      </c>
      <c r="O876" s="30" t="s">
        <v>267</v>
      </c>
    </row>
    <row r="877" spans="1:15" x14ac:dyDescent="0.3">
      <c r="A877" s="115" t="s">
        <v>521</v>
      </c>
      <c r="B877" s="10" t="s">
        <v>55</v>
      </c>
      <c r="C877" s="32" t="s">
        <v>249</v>
      </c>
      <c r="D877" s="32" t="s">
        <v>39</v>
      </c>
      <c r="E877" s="32" t="s">
        <v>27</v>
      </c>
      <c r="F877" s="32" t="s">
        <v>34</v>
      </c>
      <c r="G877" s="32" t="s">
        <v>29</v>
      </c>
      <c r="H877" s="41">
        <v>45785</v>
      </c>
      <c r="I877" s="81">
        <v>346</v>
      </c>
      <c r="J877" s="93">
        <v>650</v>
      </c>
      <c r="K877" s="86">
        <v>0.14000000000000001</v>
      </c>
      <c r="L877" s="32" t="s">
        <v>36</v>
      </c>
      <c r="M877" s="162">
        <v>224900</v>
      </c>
      <c r="N877" s="162">
        <v>193414</v>
      </c>
      <c r="O877" s="32" t="s">
        <v>267</v>
      </c>
    </row>
    <row r="878" spans="1:15" x14ac:dyDescent="0.3">
      <c r="A878" s="115" t="s">
        <v>522</v>
      </c>
      <c r="B878" s="11" t="s">
        <v>44</v>
      </c>
      <c r="C878" s="30" t="s">
        <v>254</v>
      </c>
      <c r="D878" s="30" t="s">
        <v>39</v>
      </c>
      <c r="E878" s="30" t="s">
        <v>33</v>
      </c>
      <c r="F878" s="30" t="s">
        <v>41</v>
      </c>
      <c r="G878" s="30" t="s">
        <v>47</v>
      </c>
      <c r="H878" s="39">
        <v>45785</v>
      </c>
      <c r="I878" s="79">
        <v>230</v>
      </c>
      <c r="J878" s="91">
        <v>200</v>
      </c>
      <c r="K878" s="84">
        <v>0.05</v>
      </c>
      <c r="L878" s="30" t="s">
        <v>36</v>
      </c>
      <c r="M878" s="160">
        <v>46000</v>
      </c>
      <c r="N878" s="160">
        <v>43700</v>
      </c>
      <c r="O878" s="30" t="s">
        <v>265</v>
      </c>
    </row>
    <row r="879" spans="1:15" x14ac:dyDescent="0.3">
      <c r="A879" s="115" t="s">
        <v>523</v>
      </c>
      <c r="B879" s="10" t="s">
        <v>32</v>
      </c>
      <c r="C879" s="32" t="s">
        <v>246</v>
      </c>
      <c r="D879" s="32" t="s">
        <v>26</v>
      </c>
      <c r="E879" s="32" t="s">
        <v>33</v>
      </c>
      <c r="F879" s="32" t="s">
        <v>52</v>
      </c>
      <c r="G879" s="32" t="s">
        <v>35</v>
      </c>
      <c r="H879" s="41">
        <v>45786</v>
      </c>
      <c r="I879" s="81">
        <v>75</v>
      </c>
      <c r="J879" s="93">
        <v>420</v>
      </c>
      <c r="K879" s="86">
        <v>0.05</v>
      </c>
      <c r="L879" s="32" t="s">
        <v>36</v>
      </c>
      <c r="M879" s="162">
        <v>31500</v>
      </c>
      <c r="N879" s="162">
        <v>29925</v>
      </c>
      <c r="O879" s="32" t="s">
        <v>265</v>
      </c>
    </row>
    <row r="880" spans="1:15" x14ac:dyDescent="0.3">
      <c r="A880" s="115" t="s">
        <v>524</v>
      </c>
      <c r="B880" s="11" t="s">
        <v>25</v>
      </c>
      <c r="C880" s="30" t="s">
        <v>257</v>
      </c>
      <c r="D880" s="30" t="s">
        <v>26</v>
      </c>
      <c r="E880" s="30" t="s">
        <v>40</v>
      </c>
      <c r="F880" s="30" t="s">
        <v>52</v>
      </c>
      <c r="G880" s="30" t="s">
        <v>42</v>
      </c>
      <c r="H880" s="39">
        <v>45787</v>
      </c>
      <c r="I880" s="79">
        <v>140</v>
      </c>
      <c r="J880" s="91">
        <v>350</v>
      </c>
      <c r="K880" s="84">
        <v>0.08</v>
      </c>
      <c r="L880" s="30" t="s">
        <v>30</v>
      </c>
      <c r="M880" s="160">
        <v>49000</v>
      </c>
      <c r="N880" s="160">
        <v>45080</v>
      </c>
      <c r="O880" s="30" t="s">
        <v>265</v>
      </c>
    </row>
    <row r="881" spans="1:15" x14ac:dyDescent="0.3">
      <c r="A881" s="115" t="s">
        <v>525</v>
      </c>
      <c r="B881" s="10" t="s">
        <v>44</v>
      </c>
      <c r="C881" s="32" t="s">
        <v>254</v>
      </c>
      <c r="D881" s="32" t="s">
        <v>39</v>
      </c>
      <c r="E881" s="32" t="s">
        <v>40</v>
      </c>
      <c r="F881" s="32" t="s">
        <v>28</v>
      </c>
      <c r="G881" s="32" t="s">
        <v>56</v>
      </c>
      <c r="H881" s="41">
        <v>45787</v>
      </c>
      <c r="I881" s="81">
        <v>94</v>
      </c>
      <c r="J881" s="93">
        <v>200</v>
      </c>
      <c r="K881" s="86">
        <v>0.11</v>
      </c>
      <c r="L881" s="32" t="s">
        <v>36</v>
      </c>
      <c r="M881" s="162">
        <v>18800</v>
      </c>
      <c r="N881" s="162">
        <v>16732</v>
      </c>
      <c r="O881" s="32" t="s">
        <v>265</v>
      </c>
    </row>
    <row r="882" spans="1:15" x14ac:dyDescent="0.3">
      <c r="A882" s="115" t="s">
        <v>526</v>
      </c>
      <c r="B882" s="11" t="s">
        <v>49</v>
      </c>
      <c r="C882" s="30" t="s">
        <v>251</v>
      </c>
      <c r="D882" s="30" t="s">
        <v>50</v>
      </c>
      <c r="E882" s="30" t="s">
        <v>45</v>
      </c>
      <c r="F882" s="30" t="s">
        <v>28</v>
      </c>
      <c r="G882" s="30" t="s">
        <v>56</v>
      </c>
      <c r="H882" s="39">
        <v>45787</v>
      </c>
      <c r="I882" s="79">
        <v>84</v>
      </c>
      <c r="J882" s="91">
        <v>895</v>
      </c>
      <c r="K882" s="84">
        <v>0</v>
      </c>
      <c r="L882" s="30" t="s">
        <v>30</v>
      </c>
      <c r="M882" s="160">
        <v>75180</v>
      </c>
      <c r="N882" s="160">
        <v>75180</v>
      </c>
      <c r="O882" s="30" t="s">
        <v>265</v>
      </c>
    </row>
    <row r="883" spans="1:15" x14ac:dyDescent="0.3">
      <c r="A883" s="115" t="s">
        <v>527</v>
      </c>
      <c r="B883" s="10" t="s">
        <v>49</v>
      </c>
      <c r="C883" s="32" t="s">
        <v>251</v>
      </c>
      <c r="D883" s="32" t="s">
        <v>50</v>
      </c>
      <c r="E883" s="32" t="s">
        <v>27</v>
      </c>
      <c r="F883" s="32" t="s">
        <v>34</v>
      </c>
      <c r="G883" s="32" t="s">
        <v>53</v>
      </c>
      <c r="H883" s="41">
        <v>45788</v>
      </c>
      <c r="I883" s="81">
        <v>199</v>
      </c>
      <c r="J883" s="93">
        <v>895</v>
      </c>
      <c r="K883" s="86">
        <v>0.12</v>
      </c>
      <c r="L883" s="32" t="s">
        <v>36</v>
      </c>
      <c r="M883" s="162">
        <v>178105</v>
      </c>
      <c r="N883" s="162">
        <v>156732.4</v>
      </c>
      <c r="O883" s="32" t="s">
        <v>267</v>
      </c>
    </row>
    <row r="884" spans="1:15" x14ac:dyDescent="0.3">
      <c r="A884" s="115" t="s">
        <v>528</v>
      </c>
      <c r="B884" s="11" t="s">
        <v>25</v>
      </c>
      <c r="C884" s="30" t="s">
        <v>257</v>
      </c>
      <c r="D884" s="30" t="s">
        <v>26</v>
      </c>
      <c r="E884" s="30" t="s">
        <v>51</v>
      </c>
      <c r="F884" s="30" t="s">
        <v>41</v>
      </c>
      <c r="G884" s="30" t="s">
        <v>29</v>
      </c>
      <c r="H884" s="39">
        <v>45788</v>
      </c>
      <c r="I884" s="79">
        <v>154</v>
      </c>
      <c r="J884" s="91">
        <v>350</v>
      </c>
      <c r="K884" s="84">
        <v>0.11</v>
      </c>
      <c r="L884" s="30" t="s">
        <v>30</v>
      </c>
      <c r="M884" s="160">
        <v>53900</v>
      </c>
      <c r="N884" s="160">
        <v>47971</v>
      </c>
      <c r="O884" s="30" t="s">
        <v>265</v>
      </c>
    </row>
    <row r="885" spans="1:15" x14ac:dyDescent="0.3">
      <c r="A885" s="115" t="s">
        <v>529</v>
      </c>
      <c r="B885" s="10" t="s">
        <v>55</v>
      </c>
      <c r="C885" s="32" t="s">
        <v>249</v>
      </c>
      <c r="D885" s="32" t="s">
        <v>39</v>
      </c>
      <c r="E885" s="32" t="s">
        <v>27</v>
      </c>
      <c r="F885" s="32" t="s">
        <v>46</v>
      </c>
      <c r="G885" s="32" t="s">
        <v>47</v>
      </c>
      <c r="H885" s="41">
        <v>45788</v>
      </c>
      <c r="I885" s="81">
        <v>309</v>
      </c>
      <c r="J885" s="93">
        <v>650</v>
      </c>
      <c r="K885" s="86">
        <v>0.03</v>
      </c>
      <c r="L885" s="32" t="s">
        <v>36</v>
      </c>
      <c r="M885" s="162">
        <v>200850</v>
      </c>
      <c r="N885" s="162">
        <v>194824.5</v>
      </c>
      <c r="O885" s="32" t="s">
        <v>267</v>
      </c>
    </row>
    <row r="886" spans="1:15" x14ac:dyDescent="0.3">
      <c r="A886" s="115" t="s">
        <v>530</v>
      </c>
      <c r="B886" s="11" t="s">
        <v>32</v>
      </c>
      <c r="C886" s="30" t="s">
        <v>246</v>
      </c>
      <c r="D886" s="30" t="s">
        <v>26</v>
      </c>
      <c r="E886" s="30" t="s">
        <v>51</v>
      </c>
      <c r="F886" s="30" t="s">
        <v>34</v>
      </c>
      <c r="G886" s="30" t="s">
        <v>35</v>
      </c>
      <c r="H886" s="39">
        <v>45789</v>
      </c>
      <c r="I886" s="79">
        <v>185</v>
      </c>
      <c r="J886" s="91">
        <v>420</v>
      </c>
      <c r="K886" s="84">
        <v>0</v>
      </c>
      <c r="L886" s="30" t="s">
        <v>30</v>
      </c>
      <c r="M886" s="160">
        <v>77700</v>
      </c>
      <c r="N886" s="160">
        <v>77700</v>
      </c>
      <c r="O886" s="30" t="s">
        <v>265</v>
      </c>
    </row>
    <row r="887" spans="1:15" x14ac:dyDescent="0.3">
      <c r="A887" s="115" t="s">
        <v>531</v>
      </c>
      <c r="B887" s="10" t="s">
        <v>55</v>
      </c>
      <c r="C887" s="32" t="s">
        <v>249</v>
      </c>
      <c r="D887" s="32" t="s">
        <v>39</v>
      </c>
      <c r="E887" s="32" t="s">
        <v>40</v>
      </c>
      <c r="F887" s="32" t="s">
        <v>28</v>
      </c>
      <c r="G887" s="32" t="s">
        <v>35</v>
      </c>
      <c r="H887" s="41">
        <v>45790</v>
      </c>
      <c r="I887" s="81">
        <v>197</v>
      </c>
      <c r="J887" s="93">
        <v>650</v>
      </c>
      <c r="K887" s="86">
        <v>0.08</v>
      </c>
      <c r="L887" s="32" t="s">
        <v>30</v>
      </c>
      <c r="M887" s="162">
        <v>128050</v>
      </c>
      <c r="N887" s="162">
        <v>117806</v>
      </c>
      <c r="O887" s="32" t="s">
        <v>267</v>
      </c>
    </row>
    <row r="888" spans="1:15" x14ac:dyDescent="0.3">
      <c r="A888" s="115" t="s">
        <v>532</v>
      </c>
      <c r="B888" s="11" t="s">
        <v>49</v>
      </c>
      <c r="C888" s="30" t="s">
        <v>251</v>
      </c>
      <c r="D888" s="30" t="s">
        <v>50</v>
      </c>
      <c r="E888" s="30" t="s">
        <v>51</v>
      </c>
      <c r="F888" s="30" t="s">
        <v>34</v>
      </c>
      <c r="G888" s="30" t="s">
        <v>47</v>
      </c>
      <c r="H888" s="39">
        <v>45791</v>
      </c>
      <c r="I888" s="79">
        <v>30</v>
      </c>
      <c r="J888" s="91">
        <v>895</v>
      </c>
      <c r="K888" s="84">
        <v>0.1</v>
      </c>
      <c r="L888" s="30" t="s">
        <v>36</v>
      </c>
      <c r="M888" s="160">
        <v>26850</v>
      </c>
      <c r="N888" s="160">
        <v>24165</v>
      </c>
      <c r="O888" s="30" t="s">
        <v>265</v>
      </c>
    </row>
    <row r="889" spans="1:15" x14ac:dyDescent="0.3">
      <c r="A889" s="115" t="s">
        <v>533</v>
      </c>
      <c r="B889" s="10" t="s">
        <v>61</v>
      </c>
      <c r="C889" s="32" t="s">
        <v>244</v>
      </c>
      <c r="D889" s="32" t="s">
        <v>26</v>
      </c>
      <c r="E889" s="32" t="s">
        <v>27</v>
      </c>
      <c r="F889" s="32" t="s">
        <v>28</v>
      </c>
      <c r="G889" s="32" t="s">
        <v>42</v>
      </c>
      <c r="H889" s="41">
        <v>45792</v>
      </c>
      <c r="I889" s="81">
        <v>318</v>
      </c>
      <c r="J889" s="93">
        <v>280</v>
      </c>
      <c r="K889" s="86">
        <v>7.0000000000000007E-2</v>
      </c>
      <c r="L889" s="32" t="s">
        <v>30</v>
      </c>
      <c r="M889" s="162">
        <v>89040</v>
      </c>
      <c r="N889" s="162">
        <v>82807.199999999997</v>
      </c>
      <c r="O889" s="32" t="s">
        <v>265</v>
      </c>
    </row>
    <row r="890" spans="1:15" x14ac:dyDescent="0.3">
      <c r="A890" s="115" t="s">
        <v>534</v>
      </c>
      <c r="B890" s="11" t="s">
        <v>25</v>
      </c>
      <c r="C890" s="30" t="s">
        <v>257</v>
      </c>
      <c r="D890" s="30" t="s">
        <v>26</v>
      </c>
      <c r="E890" s="30" t="s">
        <v>40</v>
      </c>
      <c r="F890" s="30" t="s">
        <v>41</v>
      </c>
      <c r="G890" s="30" t="s">
        <v>35</v>
      </c>
      <c r="H890" s="39">
        <v>45792</v>
      </c>
      <c r="I890" s="79">
        <v>280</v>
      </c>
      <c r="J890" s="91">
        <v>350</v>
      </c>
      <c r="K890" s="84">
        <v>0.12</v>
      </c>
      <c r="L890" s="30" t="s">
        <v>36</v>
      </c>
      <c r="M890" s="160">
        <v>98000</v>
      </c>
      <c r="N890" s="160">
        <v>86240</v>
      </c>
      <c r="O890" s="30" t="s">
        <v>265</v>
      </c>
    </row>
    <row r="891" spans="1:15" x14ac:dyDescent="0.3">
      <c r="A891" s="115" t="s">
        <v>535</v>
      </c>
      <c r="B891" s="10" t="s">
        <v>61</v>
      </c>
      <c r="C891" s="32" t="s">
        <v>244</v>
      </c>
      <c r="D891" s="32" t="s">
        <v>26</v>
      </c>
      <c r="E891" s="32" t="s">
        <v>27</v>
      </c>
      <c r="F891" s="32" t="s">
        <v>46</v>
      </c>
      <c r="G891" s="32" t="s">
        <v>42</v>
      </c>
      <c r="H891" s="41">
        <v>45792</v>
      </c>
      <c r="I891" s="81">
        <v>213</v>
      </c>
      <c r="J891" s="93">
        <v>280</v>
      </c>
      <c r="K891" s="86">
        <v>0</v>
      </c>
      <c r="L891" s="32" t="s">
        <v>36</v>
      </c>
      <c r="M891" s="162">
        <v>59640</v>
      </c>
      <c r="N891" s="162">
        <v>59640</v>
      </c>
      <c r="O891" s="32" t="s">
        <v>265</v>
      </c>
    </row>
    <row r="892" spans="1:15" x14ac:dyDescent="0.3">
      <c r="A892" s="115" t="s">
        <v>536</v>
      </c>
      <c r="B892" s="11" t="s">
        <v>63</v>
      </c>
      <c r="C892" s="30" t="s">
        <v>253</v>
      </c>
      <c r="D892" s="30" t="s">
        <v>50</v>
      </c>
      <c r="E892" s="30" t="s">
        <v>40</v>
      </c>
      <c r="F892" s="30" t="s">
        <v>34</v>
      </c>
      <c r="G892" s="30" t="s">
        <v>29</v>
      </c>
      <c r="H892" s="39">
        <v>45793</v>
      </c>
      <c r="I892" s="79">
        <v>257</v>
      </c>
      <c r="J892" s="91">
        <v>750</v>
      </c>
      <c r="K892" s="84">
        <v>0.11</v>
      </c>
      <c r="L892" s="30" t="s">
        <v>36</v>
      </c>
      <c r="M892" s="160">
        <v>192750</v>
      </c>
      <c r="N892" s="160">
        <v>171547.5</v>
      </c>
      <c r="O892" s="30" t="s">
        <v>267</v>
      </c>
    </row>
    <row r="893" spans="1:15" x14ac:dyDescent="0.3">
      <c r="A893" s="115" t="s">
        <v>537</v>
      </c>
      <c r="B893" s="10" t="s">
        <v>16</v>
      </c>
      <c r="C893" s="32" t="s">
        <v>250</v>
      </c>
      <c r="D893" s="32" t="s">
        <v>39</v>
      </c>
      <c r="E893" s="32" t="s">
        <v>51</v>
      </c>
      <c r="F893" s="32" t="s">
        <v>46</v>
      </c>
      <c r="G893" s="32" t="s">
        <v>56</v>
      </c>
      <c r="H893" s="41">
        <v>45795</v>
      </c>
      <c r="I893" s="81">
        <v>56</v>
      </c>
      <c r="J893" s="93">
        <v>990</v>
      </c>
      <c r="K893" s="86">
        <v>0.08</v>
      </c>
      <c r="L893" s="32" t="s">
        <v>36</v>
      </c>
      <c r="M893" s="162">
        <v>55440</v>
      </c>
      <c r="N893" s="162">
        <v>51004.800000000003</v>
      </c>
      <c r="O893" s="32" t="s">
        <v>265</v>
      </c>
    </row>
    <row r="894" spans="1:15" x14ac:dyDescent="0.3">
      <c r="A894" s="115" t="s">
        <v>538</v>
      </c>
      <c r="B894" s="11" t="s">
        <v>38</v>
      </c>
      <c r="C894" s="30" t="s">
        <v>247</v>
      </c>
      <c r="D894" s="30" t="s">
        <v>39</v>
      </c>
      <c r="E894" s="30" t="s">
        <v>33</v>
      </c>
      <c r="F894" s="30" t="s">
        <v>41</v>
      </c>
      <c r="G894" s="30" t="s">
        <v>56</v>
      </c>
      <c r="H894" s="39">
        <v>45795</v>
      </c>
      <c r="I894" s="79">
        <v>305</v>
      </c>
      <c r="J894" s="91">
        <v>1200</v>
      </c>
      <c r="K894" s="84">
        <v>0.13</v>
      </c>
      <c r="L894" s="30" t="s">
        <v>30</v>
      </c>
      <c r="M894" s="160">
        <v>366000</v>
      </c>
      <c r="N894" s="160">
        <v>318420</v>
      </c>
      <c r="O894" s="30" t="s">
        <v>267</v>
      </c>
    </row>
    <row r="895" spans="1:15" x14ac:dyDescent="0.3">
      <c r="A895" s="115" t="s">
        <v>539</v>
      </c>
      <c r="B895" s="10" t="s">
        <v>58</v>
      </c>
      <c r="C895" s="32" t="s">
        <v>255</v>
      </c>
      <c r="D895" s="32" t="s">
        <v>59</v>
      </c>
      <c r="E895" s="32" t="s">
        <v>40</v>
      </c>
      <c r="F895" s="32" t="s">
        <v>41</v>
      </c>
      <c r="G895" s="32" t="s">
        <v>29</v>
      </c>
      <c r="H895" s="41">
        <v>45795</v>
      </c>
      <c r="I895" s="81">
        <v>82</v>
      </c>
      <c r="J895" s="93">
        <v>2800</v>
      </c>
      <c r="K895" s="86">
        <v>0.13</v>
      </c>
      <c r="L895" s="32" t="s">
        <v>30</v>
      </c>
      <c r="M895" s="162">
        <v>229600</v>
      </c>
      <c r="N895" s="162">
        <v>199752</v>
      </c>
      <c r="O895" s="32" t="s">
        <v>267</v>
      </c>
    </row>
    <row r="896" spans="1:15" x14ac:dyDescent="0.3">
      <c r="A896" s="115" t="s">
        <v>540</v>
      </c>
      <c r="B896" s="11" t="s">
        <v>61</v>
      </c>
      <c r="C896" s="30" t="s">
        <v>244</v>
      </c>
      <c r="D896" s="30" t="s">
        <v>26</v>
      </c>
      <c r="E896" s="30" t="s">
        <v>51</v>
      </c>
      <c r="F896" s="30" t="s">
        <v>52</v>
      </c>
      <c r="G896" s="30" t="s">
        <v>56</v>
      </c>
      <c r="H896" s="39">
        <v>45796</v>
      </c>
      <c r="I896" s="79">
        <v>281</v>
      </c>
      <c r="J896" s="91">
        <v>280</v>
      </c>
      <c r="K896" s="84">
        <v>0</v>
      </c>
      <c r="L896" s="30" t="s">
        <v>30</v>
      </c>
      <c r="M896" s="160">
        <v>78680</v>
      </c>
      <c r="N896" s="160">
        <v>78680</v>
      </c>
      <c r="O896" s="30" t="s">
        <v>265</v>
      </c>
    </row>
    <row r="897" spans="1:15" x14ac:dyDescent="0.3">
      <c r="A897" s="115" t="s">
        <v>541</v>
      </c>
      <c r="B897" s="10" t="s">
        <v>38</v>
      </c>
      <c r="C897" s="32" t="s">
        <v>247</v>
      </c>
      <c r="D897" s="32" t="s">
        <v>39</v>
      </c>
      <c r="E897" s="32" t="s">
        <v>27</v>
      </c>
      <c r="F897" s="32" t="s">
        <v>34</v>
      </c>
      <c r="G897" s="32" t="s">
        <v>53</v>
      </c>
      <c r="H897" s="41">
        <v>45797</v>
      </c>
      <c r="I897" s="81">
        <v>291</v>
      </c>
      <c r="J897" s="93">
        <v>1200</v>
      </c>
      <c r="K897" s="86">
        <v>0.14000000000000001</v>
      </c>
      <c r="L897" s="32" t="s">
        <v>30</v>
      </c>
      <c r="M897" s="162">
        <v>349200</v>
      </c>
      <c r="N897" s="162">
        <v>300312</v>
      </c>
      <c r="O897" s="32" t="s">
        <v>267</v>
      </c>
    </row>
    <row r="898" spans="1:15" x14ac:dyDescent="0.3">
      <c r="A898" s="115" t="s">
        <v>542</v>
      </c>
      <c r="B898" s="11" t="s">
        <v>49</v>
      </c>
      <c r="C898" s="30" t="s">
        <v>251</v>
      </c>
      <c r="D898" s="30" t="s">
        <v>50</v>
      </c>
      <c r="E898" s="30" t="s">
        <v>51</v>
      </c>
      <c r="F898" s="30" t="s">
        <v>52</v>
      </c>
      <c r="G898" s="30" t="s">
        <v>35</v>
      </c>
      <c r="H898" s="39">
        <v>45798</v>
      </c>
      <c r="I898" s="79">
        <v>372</v>
      </c>
      <c r="J898" s="91">
        <v>895</v>
      </c>
      <c r="K898" s="84">
        <v>0</v>
      </c>
      <c r="L898" s="30" t="s">
        <v>36</v>
      </c>
      <c r="M898" s="160">
        <v>332940</v>
      </c>
      <c r="N898" s="160">
        <v>332940</v>
      </c>
      <c r="O898" s="30" t="s">
        <v>267</v>
      </c>
    </row>
    <row r="899" spans="1:15" x14ac:dyDescent="0.3">
      <c r="A899" s="115" t="s">
        <v>543</v>
      </c>
      <c r="B899" s="10" t="s">
        <v>55</v>
      </c>
      <c r="C899" s="32" t="s">
        <v>249</v>
      </c>
      <c r="D899" s="32" t="s">
        <v>39</v>
      </c>
      <c r="E899" s="32" t="s">
        <v>51</v>
      </c>
      <c r="F899" s="32" t="s">
        <v>41</v>
      </c>
      <c r="G899" s="32" t="s">
        <v>42</v>
      </c>
      <c r="H899" s="41">
        <v>45798</v>
      </c>
      <c r="I899" s="81">
        <v>350</v>
      </c>
      <c r="J899" s="93">
        <v>650</v>
      </c>
      <c r="K899" s="86">
        <v>0.13</v>
      </c>
      <c r="L899" s="32" t="s">
        <v>36</v>
      </c>
      <c r="M899" s="162">
        <v>227500</v>
      </c>
      <c r="N899" s="162">
        <v>197925</v>
      </c>
      <c r="O899" s="32" t="s">
        <v>267</v>
      </c>
    </row>
    <row r="900" spans="1:15" x14ac:dyDescent="0.3">
      <c r="A900" s="115" t="s">
        <v>544</v>
      </c>
      <c r="B900" s="11" t="s">
        <v>25</v>
      </c>
      <c r="C900" s="30" t="s">
        <v>257</v>
      </c>
      <c r="D900" s="30" t="s">
        <v>26</v>
      </c>
      <c r="E900" s="30" t="s">
        <v>40</v>
      </c>
      <c r="F900" s="30" t="s">
        <v>34</v>
      </c>
      <c r="G900" s="30" t="s">
        <v>29</v>
      </c>
      <c r="H900" s="39">
        <v>45799</v>
      </c>
      <c r="I900" s="79">
        <v>431</v>
      </c>
      <c r="J900" s="91">
        <v>350</v>
      </c>
      <c r="K900" s="84">
        <v>0</v>
      </c>
      <c r="L900" s="30" t="s">
        <v>36</v>
      </c>
      <c r="M900" s="160">
        <v>150850</v>
      </c>
      <c r="N900" s="160">
        <v>150850</v>
      </c>
      <c r="O900" s="30" t="s">
        <v>267</v>
      </c>
    </row>
    <row r="901" spans="1:15" x14ac:dyDescent="0.3">
      <c r="A901" s="115" t="s">
        <v>545</v>
      </c>
      <c r="B901" s="10" t="s">
        <v>61</v>
      </c>
      <c r="C901" s="32" t="s">
        <v>244</v>
      </c>
      <c r="D901" s="32" t="s">
        <v>26</v>
      </c>
      <c r="E901" s="32" t="s">
        <v>40</v>
      </c>
      <c r="F901" s="32" t="s">
        <v>28</v>
      </c>
      <c r="G901" s="32" t="s">
        <v>53</v>
      </c>
      <c r="H901" s="41">
        <v>45800</v>
      </c>
      <c r="I901" s="81">
        <v>258</v>
      </c>
      <c r="J901" s="93">
        <v>280</v>
      </c>
      <c r="K901" s="86">
        <v>7.0000000000000007E-2</v>
      </c>
      <c r="L901" s="32" t="s">
        <v>30</v>
      </c>
      <c r="M901" s="162">
        <v>72240</v>
      </c>
      <c r="N901" s="162">
        <v>67183.199999999997</v>
      </c>
      <c r="O901" s="32" t="s">
        <v>265</v>
      </c>
    </row>
    <row r="902" spans="1:15" x14ac:dyDescent="0.3">
      <c r="A902" s="115" t="s">
        <v>546</v>
      </c>
      <c r="B902" s="11" t="s">
        <v>38</v>
      </c>
      <c r="C902" s="30" t="s">
        <v>247</v>
      </c>
      <c r="D902" s="30" t="s">
        <v>39</v>
      </c>
      <c r="E902" s="30" t="s">
        <v>45</v>
      </c>
      <c r="F902" s="30" t="s">
        <v>41</v>
      </c>
      <c r="G902" s="30" t="s">
        <v>56</v>
      </c>
      <c r="H902" s="39">
        <v>45800</v>
      </c>
      <c r="I902" s="79">
        <v>59</v>
      </c>
      <c r="J902" s="91">
        <v>1200</v>
      </c>
      <c r="K902" s="84">
        <v>0.15</v>
      </c>
      <c r="L902" s="30" t="s">
        <v>36</v>
      </c>
      <c r="M902" s="160">
        <v>70800</v>
      </c>
      <c r="N902" s="160">
        <v>60180</v>
      </c>
      <c r="O902" s="30" t="s">
        <v>265</v>
      </c>
    </row>
    <row r="903" spans="1:15" x14ac:dyDescent="0.3">
      <c r="A903" s="115" t="s">
        <v>547</v>
      </c>
      <c r="B903" s="10" t="s">
        <v>61</v>
      </c>
      <c r="C903" s="32" t="s">
        <v>244</v>
      </c>
      <c r="D903" s="32" t="s">
        <v>26</v>
      </c>
      <c r="E903" s="32" t="s">
        <v>51</v>
      </c>
      <c r="F903" s="32" t="s">
        <v>46</v>
      </c>
      <c r="G903" s="32" t="s">
        <v>47</v>
      </c>
      <c r="H903" s="41">
        <v>45800</v>
      </c>
      <c r="I903" s="81">
        <v>240</v>
      </c>
      <c r="J903" s="93">
        <v>280</v>
      </c>
      <c r="K903" s="86">
        <v>0.13</v>
      </c>
      <c r="L903" s="32" t="s">
        <v>36</v>
      </c>
      <c r="M903" s="162">
        <v>67200</v>
      </c>
      <c r="N903" s="162">
        <v>58464</v>
      </c>
      <c r="O903" s="32" t="s">
        <v>265</v>
      </c>
    </row>
    <row r="904" spans="1:15" x14ac:dyDescent="0.3">
      <c r="A904" s="115" t="s">
        <v>548</v>
      </c>
      <c r="B904" s="11" t="s">
        <v>32</v>
      </c>
      <c r="C904" s="30" t="s">
        <v>246</v>
      </c>
      <c r="D904" s="30" t="s">
        <v>26</v>
      </c>
      <c r="E904" s="30" t="s">
        <v>33</v>
      </c>
      <c r="F904" s="30" t="s">
        <v>52</v>
      </c>
      <c r="G904" s="30" t="s">
        <v>56</v>
      </c>
      <c r="H904" s="39">
        <v>45803</v>
      </c>
      <c r="I904" s="79">
        <v>119</v>
      </c>
      <c r="J904" s="91">
        <v>420</v>
      </c>
      <c r="K904" s="84">
        <v>0.14000000000000001</v>
      </c>
      <c r="L904" s="30" t="s">
        <v>36</v>
      </c>
      <c r="M904" s="160">
        <v>49980</v>
      </c>
      <c r="N904" s="160">
        <v>42982.8</v>
      </c>
      <c r="O904" s="30" t="s">
        <v>265</v>
      </c>
    </row>
    <row r="905" spans="1:15" x14ac:dyDescent="0.3">
      <c r="A905" s="115" t="s">
        <v>549</v>
      </c>
      <c r="B905" s="10" t="s">
        <v>63</v>
      </c>
      <c r="C905" s="32" t="s">
        <v>253</v>
      </c>
      <c r="D905" s="32" t="s">
        <v>50</v>
      </c>
      <c r="E905" s="32" t="s">
        <v>45</v>
      </c>
      <c r="F905" s="32" t="s">
        <v>28</v>
      </c>
      <c r="G905" s="32" t="s">
        <v>35</v>
      </c>
      <c r="H905" s="41">
        <v>45804</v>
      </c>
      <c r="I905" s="81">
        <v>278</v>
      </c>
      <c r="J905" s="93">
        <v>750</v>
      </c>
      <c r="K905" s="86">
        <v>0.14000000000000001</v>
      </c>
      <c r="L905" s="32" t="s">
        <v>36</v>
      </c>
      <c r="M905" s="162">
        <v>208500</v>
      </c>
      <c r="N905" s="162">
        <v>179310</v>
      </c>
      <c r="O905" s="32" t="s">
        <v>267</v>
      </c>
    </row>
    <row r="906" spans="1:15" x14ac:dyDescent="0.3">
      <c r="A906" s="115" t="s">
        <v>550</v>
      </c>
      <c r="B906" s="11" t="s">
        <v>63</v>
      </c>
      <c r="C906" s="30" t="s">
        <v>253</v>
      </c>
      <c r="D906" s="30" t="s">
        <v>50</v>
      </c>
      <c r="E906" s="30" t="s">
        <v>27</v>
      </c>
      <c r="F906" s="30" t="s">
        <v>46</v>
      </c>
      <c r="G906" s="30" t="s">
        <v>29</v>
      </c>
      <c r="H906" s="39">
        <v>45804</v>
      </c>
      <c r="I906" s="79">
        <v>242</v>
      </c>
      <c r="J906" s="91">
        <v>750</v>
      </c>
      <c r="K906" s="84">
        <v>0.05</v>
      </c>
      <c r="L906" s="30" t="s">
        <v>36</v>
      </c>
      <c r="M906" s="160">
        <v>181500</v>
      </c>
      <c r="N906" s="160">
        <v>172425</v>
      </c>
      <c r="O906" s="30" t="s">
        <v>267</v>
      </c>
    </row>
    <row r="907" spans="1:15" x14ac:dyDescent="0.3">
      <c r="A907" s="115" t="s">
        <v>551</v>
      </c>
      <c r="B907" s="10" t="s">
        <v>63</v>
      </c>
      <c r="C907" s="32" t="s">
        <v>253</v>
      </c>
      <c r="D907" s="32" t="s">
        <v>50</v>
      </c>
      <c r="E907" s="32" t="s">
        <v>45</v>
      </c>
      <c r="F907" s="32" t="s">
        <v>41</v>
      </c>
      <c r="G907" s="32" t="s">
        <v>42</v>
      </c>
      <c r="H907" s="41">
        <v>45806</v>
      </c>
      <c r="I907" s="81">
        <v>229</v>
      </c>
      <c r="J907" s="93">
        <v>750</v>
      </c>
      <c r="K907" s="86">
        <v>0.03</v>
      </c>
      <c r="L907" s="32" t="s">
        <v>30</v>
      </c>
      <c r="M907" s="162">
        <v>171750</v>
      </c>
      <c r="N907" s="162">
        <v>166597.5</v>
      </c>
      <c r="O907" s="32" t="s">
        <v>267</v>
      </c>
    </row>
    <row r="908" spans="1:15" x14ac:dyDescent="0.3">
      <c r="A908" s="115" t="s">
        <v>552</v>
      </c>
      <c r="B908" s="11" t="s">
        <v>49</v>
      </c>
      <c r="C908" s="30" t="s">
        <v>251</v>
      </c>
      <c r="D908" s="30" t="s">
        <v>50</v>
      </c>
      <c r="E908" s="30" t="s">
        <v>51</v>
      </c>
      <c r="F908" s="30" t="s">
        <v>28</v>
      </c>
      <c r="G908" s="30" t="s">
        <v>35</v>
      </c>
      <c r="H908" s="39">
        <v>45808</v>
      </c>
      <c r="I908" s="79">
        <v>235</v>
      </c>
      <c r="J908" s="91">
        <v>895</v>
      </c>
      <c r="K908" s="84">
        <v>0</v>
      </c>
      <c r="L908" s="30" t="s">
        <v>30</v>
      </c>
      <c r="M908" s="160">
        <v>210325</v>
      </c>
      <c r="N908" s="160">
        <v>210325</v>
      </c>
      <c r="O908" s="30" t="s">
        <v>267</v>
      </c>
    </row>
    <row r="909" spans="1:15" x14ac:dyDescent="0.3">
      <c r="A909" s="115" t="s">
        <v>553</v>
      </c>
      <c r="B909" s="10" t="s">
        <v>32</v>
      </c>
      <c r="C909" s="32" t="s">
        <v>246</v>
      </c>
      <c r="D909" s="32" t="s">
        <v>26</v>
      </c>
      <c r="E909" s="32" t="s">
        <v>27</v>
      </c>
      <c r="F909" s="32" t="s">
        <v>46</v>
      </c>
      <c r="G909" s="32" t="s">
        <v>42</v>
      </c>
      <c r="H909" s="41">
        <v>45808</v>
      </c>
      <c r="I909" s="81">
        <v>359</v>
      </c>
      <c r="J909" s="93">
        <v>420</v>
      </c>
      <c r="K909" s="86">
        <v>0.12</v>
      </c>
      <c r="L909" s="32" t="s">
        <v>36</v>
      </c>
      <c r="M909" s="162">
        <v>150780</v>
      </c>
      <c r="N909" s="162">
        <v>132686.39999999999</v>
      </c>
      <c r="O909" s="32" t="s">
        <v>267</v>
      </c>
    </row>
    <row r="910" spans="1:15" x14ac:dyDescent="0.3">
      <c r="A910" s="115" t="s">
        <v>554</v>
      </c>
      <c r="B910" s="11" t="s">
        <v>49</v>
      </c>
      <c r="C910" s="30" t="s">
        <v>251</v>
      </c>
      <c r="D910" s="30" t="s">
        <v>50</v>
      </c>
      <c r="E910" s="30" t="s">
        <v>40</v>
      </c>
      <c r="F910" s="30" t="s">
        <v>52</v>
      </c>
      <c r="G910" s="30" t="s">
        <v>47</v>
      </c>
      <c r="H910" s="39">
        <v>45808</v>
      </c>
      <c r="I910" s="79">
        <v>298</v>
      </c>
      <c r="J910" s="91">
        <v>895</v>
      </c>
      <c r="K910" s="84">
        <v>0.15</v>
      </c>
      <c r="L910" s="30" t="s">
        <v>30</v>
      </c>
      <c r="M910" s="160">
        <v>266710</v>
      </c>
      <c r="N910" s="160">
        <v>226703.5</v>
      </c>
      <c r="O910" s="30" t="s">
        <v>267</v>
      </c>
    </row>
    <row r="911" spans="1:15" x14ac:dyDescent="0.3">
      <c r="A911" s="115" t="s">
        <v>555</v>
      </c>
      <c r="B911" s="10" t="s">
        <v>16</v>
      </c>
      <c r="C911" s="32" t="s">
        <v>250</v>
      </c>
      <c r="D911" s="32" t="s">
        <v>39</v>
      </c>
      <c r="E911" s="32" t="s">
        <v>27</v>
      </c>
      <c r="F911" s="32" t="s">
        <v>52</v>
      </c>
      <c r="G911" s="32" t="s">
        <v>47</v>
      </c>
      <c r="H911" s="41">
        <v>45809</v>
      </c>
      <c r="I911" s="81">
        <v>192</v>
      </c>
      <c r="J911" s="93">
        <v>990</v>
      </c>
      <c r="K911" s="86">
        <v>0</v>
      </c>
      <c r="L911" s="32" t="s">
        <v>30</v>
      </c>
      <c r="M911" s="162">
        <v>190080</v>
      </c>
      <c r="N911" s="162">
        <v>190080</v>
      </c>
      <c r="O911" s="32" t="s">
        <v>267</v>
      </c>
    </row>
    <row r="912" spans="1:15" x14ac:dyDescent="0.3">
      <c r="A912" s="115" t="s">
        <v>556</v>
      </c>
      <c r="B912" s="11" t="s">
        <v>58</v>
      </c>
      <c r="C912" s="30" t="s">
        <v>255</v>
      </c>
      <c r="D912" s="30" t="s">
        <v>59</v>
      </c>
      <c r="E912" s="30" t="s">
        <v>27</v>
      </c>
      <c r="F912" s="30" t="s">
        <v>34</v>
      </c>
      <c r="G912" s="30" t="s">
        <v>42</v>
      </c>
      <c r="H912" s="39">
        <v>45809</v>
      </c>
      <c r="I912" s="79">
        <v>112</v>
      </c>
      <c r="J912" s="91">
        <v>2800</v>
      </c>
      <c r="K912" s="84">
        <v>0.1</v>
      </c>
      <c r="L912" s="30" t="s">
        <v>30</v>
      </c>
      <c r="M912" s="160">
        <v>313600</v>
      </c>
      <c r="N912" s="160">
        <v>282240</v>
      </c>
      <c r="O912" s="30" t="s">
        <v>267</v>
      </c>
    </row>
    <row r="913" spans="1:15" x14ac:dyDescent="0.3">
      <c r="A913" s="115" t="s">
        <v>557</v>
      </c>
      <c r="B913" s="10" t="s">
        <v>58</v>
      </c>
      <c r="C913" s="32" t="s">
        <v>255</v>
      </c>
      <c r="D913" s="32" t="s">
        <v>59</v>
      </c>
      <c r="E913" s="32" t="s">
        <v>27</v>
      </c>
      <c r="F913" s="32" t="s">
        <v>41</v>
      </c>
      <c r="G913" s="32" t="s">
        <v>56</v>
      </c>
      <c r="H913" s="41">
        <v>45809</v>
      </c>
      <c r="I913" s="81">
        <v>378</v>
      </c>
      <c r="J913" s="93">
        <v>2800</v>
      </c>
      <c r="K913" s="86">
        <v>0.03</v>
      </c>
      <c r="L913" s="32" t="s">
        <v>36</v>
      </c>
      <c r="M913" s="162">
        <v>1058400</v>
      </c>
      <c r="N913" s="162">
        <v>1026648</v>
      </c>
      <c r="O913" s="32" t="s">
        <v>277</v>
      </c>
    </row>
    <row r="914" spans="1:15" x14ac:dyDescent="0.3">
      <c r="A914" s="115" t="s">
        <v>558</v>
      </c>
      <c r="B914" s="11" t="s">
        <v>49</v>
      </c>
      <c r="C914" s="30" t="s">
        <v>251</v>
      </c>
      <c r="D914" s="30" t="s">
        <v>50</v>
      </c>
      <c r="E914" s="30" t="s">
        <v>27</v>
      </c>
      <c r="F914" s="30" t="s">
        <v>28</v>
      </c>
      <c r="G914" s="30" t="s">
        <v>29</v>
      </c>
      <c r="H914" s="39">
        <v>45811</v>
      </c>
      <c r="I914" s="79">
        <v>41</v>
      </c>
      <c r="J914" s="91">
        <v>895</v>
      </c>
      <c r="K914" s="84">
        <v>0.14000000000000001</v>
      </c>
      <c r="L914" s="30" t="s">
        <v>30</v>
      </c>
      <c r="M914" s="160">
        <v>36695</v>
      </c>
      <c r="N914" s="160">
        <v>31557.7</v>
      </c>
      <c r="O914" s="30" t="s">
        <v>265</v>
      </c>
    </row>
    <row r="915" spans="1:15" x14ac:dyDescent="0.3">
      <c r="A915" s="115" t="s">
        <v>559</v>
      </c>
      <c r="B915" s="10" t="s">
        <v>58</v>
      </c>
      <c r="C915" s="32" t="s">
        <v>255</v>
      </c>
      <c r="D915" s="32" t="s">
        <v>59</v>
      </c>
      <c r="E915" s="32" t="s">
        <v>33</v>
      </c>
      <c r="F915" s="32" t="s">
        <v>52</v>
      </c>
      <c r="G915" s="32" t="s">
        <v>47</v>
      </c>
      <c r="H915" s="41">
        <v>45812</v>
      </c>
      <c r="I915" s="81">
        <v>138</v>
      </c>
      <c r="J915" s="93">
        <v>2800</v>
      </c>
      <c r="K915" s="86">
        <v>0.13</v>
      </c>
      <c r="L915" s="32" t="s">
        <v>30</v>
      </c>
      <c r="M915" s="162">
        <v>386400</v>
      </c>
      <c r="N915" s="162">
        <v>336168</v>
      </c>
      <c r="O915" s="32" t="s">
        <v>267</v>
      </c>
    </row>
    <row r="916" spans="1:15" x14ac:dyDescent="0.3">
      <c r="A916" s="115" t="s">
        <v>560</v>
      </c>
      <c r="B916" s="11" t="s">
        <v>55</v>
      </c>
      <c r="C916" s="30" t="s">
        <v>249</v>
      </c>
      <c r="D916" s="30" t="s">
        <v>39</v>
      </c>
      <c r="E916" s="30" t="s">
        <v>51</v>
      </c>
      <c r="F916" s="30" t="s">
        <v>46</v>
      </c>
      <c r="G916" s="30" t="s">
        <v>53</v>
      </c>
      <c r="H916" s="39">
        <v>45812</v>
      </c>
      <c r="I916" s="79">
        <v>172</v>
      </c>
      <c r="J916" s="91">
        <v>650</v>
      </c>
      <c r="K916" s="84">
        <v>0.08</v>
      </c>
      <c r="L916" s="30" t="s">
        <v>30</v>
      </c>
      <c r="M916" s="160">
        <v>111800</v>
      </c>
      <c r="N916" s="160">
        <v>102856</v>
      </c>
      <c r="O916" s="30" t="s">
        <v>267</v>
      </c>
    </row>
    <row r="917" spans="1:15" x14ac:dyDescent="0.3">
      <c r="A917" s="115" t="s">
        <v>561</v>
      </c>
      <c r="B917" s="10" t="s">
        <v>44</v>
      </c>
      <c r="C917" s="32" t="s">
        <v>254</v>
      </c>
      <c r="D917" s="32" t="s">
        <v>39</v>
      </c>
      <c r="E917" s="32" t="s">
        <v>27</v>
      </c>
      <c r="F917" s="32" t="s">
        <v>46</v>
      </c>
      <c r="G917" s="32" t="s">
        <v>42</v>
      </c>
      <c r="H917" s="41">
        <v>45813</v>
      </c>
      <c r="I917" s="81">
        <v>153</v>
      </c>
      <c r="J917" s="93">
        <v>200</v>
      </c>
      <c r="K917" s="86">
        <v>0</v>
      </c>
      <c r="L917" s="32" t="s">
        <v>30</v>
      </c>
      <c r="M917" s="162">
        <v>30600</v>
      </c>
      <c r="N917" s="162">
        <v>30600</v>
      </c>
      <c r="O917" s="32" t="s">
        <v>265</v>
      </c>
    </row>
    <row r="918" spans="1:15" x14ac:dyDescent="0.3">
      <c r="A918" s="115" t="s">
        <v>562</v>
      </c>
      <c r="B918" s="11" t="s">
        <v>58</v>
      </c>
      <c r="C918" s="30" t="s">
        <v>255</v>
      </c>
      <c r="D918" s="30" t="s">
        <v>59</v>
      </c>
      <c r="E918" s="30" t="s">
        <v>40</v>
      </c>
      <c r="F918" s="30" t="s">
        <v>52</v>
      </c>
      <c r="G918" s="30" t="s">
        <v>42</v>
      </c>
      <c r="H918" s="39">
        <v>45813</v>
      </c>
      <c r="I918" s="79">
        <v>120</v>
      </c>
      <c r="J918" s="91">
        <v>2800</v>
      </c>
      <c r="K918" s="84">
        <v>0.12</v>
      </c>
      <c r="L918" s="30" t="s">
        <v>36</v>
      </c>
      <c r="M918" s="160">
        <v>336000</v>
      </c>
      <c r="N918" s="160">
        <v>295680</v>
      </c>
      <c r="O918" s="30" t="s">
        <v>267</v>
      </c>
    </row>
    <row r="919" spans="1:15" x14ac:dyDescent="0.3">
      <c r="A919" s="115" t="s">
        <v>563</v>
      </c>
      <c r="B919" s="10" t="s">
        <v>44</v>
      </c>
      <c r="C919" s="32" t="s">
        <v>254</v>
      </c>
      <c r="D919" s="32" t="s">
        <v>39</v>
      </c>
      <c r="E919" s="32" t="s">
        <v>51</v>
      </c>
      <c r="F919" s="32" t="s">
        <v>28</v>
      </c>
      <c r="G919" s="32" t="s">
        <v>35</v>
      </c>
      <c r="H919" s="41">
        <v>45813</v>
      </c>
      <c r="I919" s="81">
        <v>245</v>
      </c>
      <c r="J919" s="93">
        <v>200</v>
      </c>
      <c r="K919" s="86">
        <v>0</v>
      </c>
      <c r="L919" s="32" t="s">
        <v>36</v>
      </c>
      <c r="M919" s="162">
        <v>49000</v>
      </c>
      <c r="N919" s="162">
        <v>49000</v>
      </c>
      <c r="O919" s="32" t="s">
        <v>265</v>
      </c>
    </row>
    <row r="920" spans="1:15" x14ac:dyDescent="0.3">
      <c r="A920" s="115" t="s">
        <v>564</v>
      </c>
      <c r="B920" s="11" t="s">
        <v>32</v>
      </c>
      <c r="C920" s="30" t="s">
        <v>246</v>
      </c>
      <c r="D920" s="30" t="s">
        <v>26</v>
      </c>
      <c r="E920" s="30" t="s">
        <v>40</v>
      </c>
      <c r="F920" s="30" t="s">
        <v>28</v>
      </c>
      <c r="G920" s="30" t="s">
        <v>42</v>
      </c>
      <c r="H920" s="39">
        <v>45814</v>
      </c>
      <c r="I920" s="79">
        <v>264</v>
      </c>
      <c r="J920" s="91">
        <v>420</v>
      </c>
      <c r="K920" s="84">
        <v>0.08</v>
      </c>
      <c r="L920" s="30" t="s">
        <v>30</v>
      </c>
      <c r="M920" s="160">
        <v>110880</v>
      </c>
      <c r="N920" s="160">
        <v>102009.60000000001</v>
      </c>
      <c r="O920" s="30" t="s">
        <v>267</v>
      </c>
    </row>
    <row r="921" spans="1:15" x14ac:dyDescent="0.3">
      <c r="A921" s="115" t="s">
        <v>565</v>
      </c>
      <c r="B921" s="10" t="s">
        <v>16</v>
      </c>
      <c r="C921" s="32" t="s">
        <v>250</v>
      </c>
      <c r="D921" s="32" t="s">
        <v>39</v>
      </c>
      <c r="E921" s="32" t="s">
        <v>51</v>
      </c>
      <c r="F921" s="32" t="s">
        <v>52</v>
      </c>
      <c r="G921" s="32" t="s">
        <v>53</v>
      </c>
      <c r="H921" s="41">
        <v>45815</v>
      </c>
      <c r="I921" s="81">
        <v>372</v>
      </c>
      <c r="J921" s="93">
        <v>990</v>
      </c>
      <c r="K921" s="86">
        <v>0.12</v>
      </c>
      <c r="L921" s="32" t="s">
        <v>30</v>
      </c>
      <c r="M921" s="162">
        <v>368280</v>
      </c>
      <c r="N921" s="162">
        <v>324086.40000000002</v>
      </c>
      <c r="O921" s="32" t="s">
        <v>267</v>
      </c>
    </row>
    <row r="922" spans="1:15" x14ac:dyDescent="0.3">
      <c r="A922" s="115" t="s">
        <v>566</v>
      </c>
      <c r="B922" s="11" t="s">
        <v>58</v>
      </c>
      <c r="C922" s="30" t="s">
        <v>255</v>
      </c>
      <c r="D922" s="30" t="s">
        <v>59</v>
      </c>
      <c r="E922" s="30" t="s">
        <v>45</v>
      </c>
      <c r="F922" s="30" t="s">
        <v>34</v>
      </c>
      <c r="G922" s="30" t="s">
        <v>56</v>
      </c>
      <c r="H922" s="39">
        <v>45815</v>
      </c>
      <c r="I922" s="79">
        <v>190</v>
      </c>
      <c r="J922" s="91">
        <v>2800</v>
      </c>
      <c r="K922" s="84">
        <v>0</v>
      </c>
      <c r="L922" s="30" t="s">
        <v>30</v>
      </c>
      <c r="M922" s="160">
        <v>532000</v>
      </c>
      <c r="N922" s="160">
        <v>532000</v>
      </c>
      <c r="O922" s="30" t="s">
        <v>277</v>
      </c>
    </row>
    <row r="923" spans="1:15" x14ac:dyDescent="0.3">
      <c r="A923" s="115" t="s">
        <v>567</v>
      </c>
      <c r="B923" s="10" t="s">
        <v>32</v>
      </c>
      <c r="C923" s="32" t="s">
        <v>246</v>
      </c>
      <c r="D923" s="32" t="s">
        <v>26</v>
      </c>
      <c r="E923" s="32" t="s">
        <v>51</v>
      </c>
      <c r="F923" s="32" t="s">
        <v>52</v>
      </c>
      <c r="G923" s="32" t="s">
        <v>35</v>
      </c>
      <c r="H923" s="41">
        <v>45815</v>
      </c>
      <c r="I923" s="81">
        <v>295</v>
      </c>
      <c r="J923" s="93">
        <v>420</v>
      </c>
      <c r="K923" s="86">
        <v>0.12</v>
      </c>
      <c r="L923" s="32" t="s">
        <v>36</v>
      </c>
      <c r="M923" s="162">
        <v>123900</v>
      </c>
      <c r="N923" s="162">
        <v>109032</v>
      </c>
      <c r="O923" s="32" t="s">
        <v>267</v>
      </c>
    </row>
    <row r="924" spans="1:15" x14ac:dyDescent="0.3">
      <c r="A924" s="115" t="s">
        <v>568</v>
      </c>
      <c r="B924" s="11" t="s">
        <v>44</v>
      </c>
      <c r="C924" s="30" t="s">
        <v>254</v>
      </c>
      <c r="D924" s="30" t="s">
        <v>39</v>
      </c>
      <c r="E924" s="30" t="s">
        <v>40</v>
      </c>
      <c r="F924" s="30" t="s">
        <v>46</v>
      </c>
      <c r="G924" s="30" t="s">
        <v>29</v>
      </c>
      <c r="H924" s="39">
        <v>45816</v>
      </c>
      <c r="I924" s="79">
        <v>234</v>
      </c>
      <c r="J924" s="91">
        <v>200</v>
      </c>
      <c r="K924" s="84">
        <v>0.14000000000000001</v>
      </c>
      <c r="L924" s="30" t="s">
        <v>36</v>
      </c>
      <c r="M924" s="160">
        <v>46800</v>
      </c>
      <c r="N924" s="160">
        <v>40248</v>
      </c>
      <c r="O924" s="30" t="s">
        <v>265</v>
      </c>
    </row>
    <row r="925" spans="1:15" x14ac:dyDescent="0.3">
      <c r="A925" s="115" t="s">
        <v>569</v>
      </c>
      <c r="B925" s="10" t="s">
        <v>55</v>
      </c>
      <c r="C925" s="32" t="s">
        <v>249</v>
      </c>
      <c r="D925" s="32" t="s">
        <v>39</v>
      </c>
      <c r="E925" s="32" t="s">
        <v>51</v>
      </c>
      <c r="F925" s="32" t="s">
        <v>52</v>
      </c>
      <c r="G925" s="32" t="s">
        <v>56</v>
      </c>
      <c r="H925" s="41">
        <v>45816</v>
      </c>
      <c r="I925" s="81">
        <v>159</v>
      </c>
      <c r="J925" s="93">
        <v>650</v>
      </c>
      <c r="K925" s="86">
        <v>0.15</v>
      </c>
      <c r="L925" s="32" t="s">
        <v>36</v>
      </c>
      <c r="M925" s="162">
        <v>103350</v>
      </c>
      <c r="N925" s="162">
        <v>87847.5</v>
      </c>
      <c r="O925" s="32" t="s">
        <v>265</v>
      </c>
    </row>
    <row r="926" spans="1:15" x14ac:dyDescent="0.3">
      <c r="A926" s="115" t="s">
        <v>570</v>
      </c>
      <c r="B926" s="11" t="s">
        <v>58</v>
      </c>
      <c r="C926" s="30" t="s">
        <v>255</v>
      </c>
      <c r="D926" s="30" t="s">
        <v>59</v>
      </c>
      <c r="E926" s="30" t="s">
        <v>45</v>
      </c>
      <c r="F926" s="30" t="s">
        <v>46</v>
      </c>
      <c r="G926" s="30" t="s">
        <v>53</v>
      </c>
      <c r="H926" s="39">
        <v>45817</v>
      </c>
      <c r="I926" s="79">
        <v>176</v>
      </c>
      <c r="J926" s="91">
        <v>2800</v>
      </c>
      <c r="K926" s="84">
        <v>0</v>
      </c>
      <c r="L926" s="30" t="s">
        <v>36</v>
      </c>
      <c r="M926" s="160">
        <v>492800</v>
      </c>
      <c r="N926" s="160">
        <v>492800</v>
      </c>
      <c r="O926" s="30" t="s">
        <v>277</v>
      </c>
    </row>
    <row r="927" spans="1:15" x14ac:dyDescent="0.3">
      <c r="A927" s="115" t="s">
        <v>571</v>
      </c>
      <c r="B927" s="10" t="s">
        <v>61</v>
      </c>
      <c r="C927" s="32" t="s">
        <v>244</v>
      </c>
      <c r="D927" s="32" t="s">
        <v>26</v>
      </c>
      <c r="E927" s="32" t="s">
        <v>51</v>
      </c>
      <c r="F927" s="32" t="s">
        <v>34</v>
      </c>
      <c r="G927" s="32" t="s">
        <v>35</v>
      </c>
      <c r="H927" s="41">
        <v>45818</v>
      </c>
      <c r="I927" s="81">
        <v>441</v>
      </c>
      <c r="J927" s="93">
        <v>280</v>
      </c>
      <c r="K927" s="86">
        <v>0</v>
      </c>
      <c r="L927" s="32" t="s">
        <v>36</v>
      </c>
      <c r="M927" s="162">
        <v>123480</v>
      </c>
      <c r="N927" s="162">
        <v>123480</v>
      </c>
      <c r="O927" s="32" t="s">
        <v>267</v>
      </c>
    </row>
    <row r="928" spans="1:15" x14ac:dyDescent="0.3">
      <c r="A928" s="115" t="s">
        <v>572</v>
      </c>
      <c r="B928" s="11" t="s">
        <v>44</v>
      </c>
      <c r="C928" s="30" t="s">
        <v>254</v>
      </c>
      <c r="D928" s="30" t="s">
        <v>39</v>
      </c>
      <c r="E928" s="30" t="s">
        <v>33</v>
      </c>
      <c r="F928" s="30" t="s">
        <v>41</v>
      </c>
      <c r="G928" s="30" t="s">
        <v>35</v>
      </c>
      <c r="H928" s="39">
        <v>45818</v>
      </c>
      <c r="I928" s="79">
        <v>87</v>
      </c>
      <c r="J928" s="91">
        <v>200</v>
      </c>
      <c r="K928" s="84">
        <v>0</v>
      </c>
      <c r="L928" s="30" t="s">
        <v>36</v>
      </c>
      <c r="M928" s="160">
        <v>17400</v>
      </c>
      <c r="N928" s="160">
        <v>17400</v>
      </c>
      <c r="O928" s="30" t="s">
        <v>265</v>
      </c>
    </row>
    <row r="929" spans="1:15" x14ac:dyDescent="0.3">
      <c r="A929" s="115" t="s">
        <v>573</v>
      </c>
      <c r="B929" s="10" t="s">
        <v>55</v>
      </c>
      <c r="C929" s="32" t="s">
        <v>249</v>
      </c>
      <c r="D929" s="32" t="s">
        <v>39</v>
      </c>
      <c r="E929" s="32" t="s">
        <v>40</v>
      </c>
      <c r="F929" s="32" t="s">
        <v>41</v>
      </c>
      <c r="G929" s="32" t="s">
        <v>29</v>
      </c>
      <c r="H929" s="41">
        <v>45819</v>
      </c>
      <c r="I929" s="81">
        <v>151</v>
      </c>
      <c r="J929" s="93">
        <v>650</v>
      </c>
      <c r="K929" s="86">
        <v>0.08</v>
      </c>
      <c r="L929" s="32" t="s">
        <v>36</v>
      </c>
      <c r="M929" s="162">
        <v>98150</v>
      </c>
      <c r="N929" s="162">
        <v>90298</v>
      </c>
      <c r="O929" s="32" t="s">
        <v>265</v>
      </c>
    </row>
    <row r="930" spans="1:15" x14ac:dyDescent="0.3">
      <c r="A930" s="115" t="s">
        <v>574</v>
      </c>
      <c r="B930" s="11" t="s">
        <v>16</v>
      </c>
      <c r="C930" s="30" t="s">
        <v>250</v>
      </c>
      <c r="D930" s="30" t="s">
        <v>39</v>
      </c>
      <c r="E930" s="30" t="s">
        <v>40</v>
      </c>
      <c r="F930" s="30" t="s">
        <v>41</v>
      </c>
      <c r="G930" s="30" t="s">
        <v>29</v>
      </c>
      <c r="H930" s="39">
        <v>45819</v>
      </c>
      <c r="I930" s="79">
        <v>305</v>
      </c>
      <c r="J930" s="91">
        <v>990</v>
      </c>
      <c r="K930" s="84">
        <v>7.0000000000000007E-2</v>
      </c>
      <c r="L930" s="30" t="s">
        <v>36</v>
      </c>
      <c r="M930" s="160">
        <v>301950</v>
      </c>
      <c r="N930" s="160">
        <v>280813.5</v>
      </c>
      <c r="O930" s="30" t="s">
        <v>267</v>
      </c>
    </row>
    <row r="931" spans="1:15" x14ac:dyDescent="0.3">
      <c r="A931" s="115" t="s">
        <v>575</v>
      </c>
      <c r="B931" s="10" t="s">
        <v>25</v>
      </c>
      <c r="C931" s="32" t="s">
        <v>257</v>
      </c>
      <c r="D931" s="32" t="s">
        <v>26</v>
      </c>
      <c r="E931" s="32" t="s">
        <v>51</v>
      </c>
      <c r="F931" s="32" t="s">
        <v>28</v>
      </c>
      <c r="G931" s="32" t="s">
        <v>56</v>
      </c>
      <c r="H931" s="41">
        <v>45819</v>
      </c>
      <c r="I931" s="81">
        <v>389</v>
      </c>
      <c r="J931" s="93">
        <v>350</v>
      </c>
      <c r="K931" s="86">
        <v>0.14000000000000001</v>
      </c>
      <c r="L931" s="32" t="s">
        <v>36</v>
      </c>
      <c r="M931" s="162">
        <v>136150</v>
      </c>
      <c r="N931" s="162">
        <v>117089</v>
      </c>
      <c r="O931" s="32" t="s">
        <v>267</v>
      </c>
    </row>
    <row r="932" spans="1:15" x14ac:dyDescent="0.3">
      <c r="A932" s="115" t="s">
        <v>576</v>
      </c>
      <c r="B932" s="11" t="s">
        <v>61</v>
      </c>
      <c r="C932" s="30" t="s">
        <v>244</v>
      </c>
      <c r="D932" s="30" t="s">
        <v>26</v>
      </c>
      <c r="E932" s="30" t="s">
        <v>40</v>
      </c>
      <c r="F932" s="30" t="s">
        <v>52</v>
      </c>
      <c r="G932" s="30" t="s">
        <v>35</v>
      </c>
      <c r="H932" s="39">
        <v>45820</v>
      </c>
      <c r="I932" s="79">
        <v>117</v>
      </c>
      <c r="J932" s="91">
        <v>280</v>
      </c>
      <c r="K932" s="84">
        <v>7.0000000000000007E-2</v>
      </c>
      <c r="L932" s="30" t="s">
        <v>30</v>
      </c>
      <c r="M932" s="160">
        <v>32760</v>
      </c>
      <c r="N932" s="160">
        <v>30466.799999999999</v>
      </c>
      <c r="O932" s="30" t="s">
        <v>265</v>
      </c>
    </row>
    <row r="933" spans="1:15" x14ac:dyDescent="0.3">
      <c r="A933" s="115" t="s">
        <v>577</v>
      </c>
      <c r="B933" s="10" t="s">
        <v>16</v>
      </c>
      <c r="C933" s="32" t="s">
        <v>250</v>
      </c>
      <c r="D933" s="32" t="s">
        <v>39</v>
      </c>
      <c r="E933" s="32" t="s">
        <v>33</v>
      </c>
      <c r="F933" s="32" t="s">
        <v>28</v>
      </c>
      <c r="G933" s="32" t="s">
        <v>35</v>
      </c>
      <c r="H933" s="41">
        <v>45820</v>
      </c>
      <c r="I933" s="81">
        <v>349</v>
      </c>
      <c r="J933" s="93">
        <v>990</v>
      </c>
      <c r="K933" s="86">
        <v>0.05</v>
      </c>
      <c r="L933" s="32" t="s">
        <v>36</v>
      </c>
      <c r="M933" s="162">
        <v>345510</v>
      </c>
      <c r="N933" s="162">
        <v>328234.5</v>
      </c>
      <c r="O933" s="32" t="s">
        <v>267</v>
      </c>
    </row>
    <row r="934" spans="1:15" x14ac:dyDescent="0.3">
      <c r="A934" s="115" t="s">
        <v>578</v>
      </c>
      <c r="B934" s="11" t="s">
        <v>44</v>
      </c>
      <c r="C934" s="30" t="s">
        <v>254</v>
      </c>
      <c r="D934" s="30" t="s">
        <v>39</v>
      </c>
      <c r="E934" s="30" t="s">
        <v>45</v>
      </c>
      <c r="F934" s="30" t="s">
        <v>34</v>
      </c>
      <c r="G934" s="30" t="s">
        <v>29</v>
      </c>
      <c r="H934" s="39">
        <v>45820</v>
      </c>
      <c r="I934" s="79">
        <v>282</v>
      </c>
      <c r="J934" s="91">
        <v>200</v>
      </c>
      <c r="K934" s="84">
        <v>0.11</v>
      </c>
      <c r="L934" s="30" t="s">
        <v>30</v>
      </c>
      <c r="M934" s="160">
        <v>56400</v>
      </c>
      <c r="N934" s="160">
        <v>50196</v>
      </c>
      <c r="O934" s="30" t="s">
        <v>265</v>
      </c>
    </row>
    <row r="935" spans="1:15" x14ac:dyDescent="0.3">
      <c r="A935" s="115" t="s">
        <v>579</v>
      </c>
      <c r="B935" s="10" t="s">
        <v>55</v>
      </c>
      <c r="C935" s="32" t="s">
        <v>249</v>
      </c>
      <c r="D935" s="32" t="s">
        <v>39</v>
      </c>
      <c r="E935" s="32" t="s">
        <v>33</v>
      </c>
      <c r="F935" s="32" t="s">
        <v>41</v>
      </c>
      <c r="G935" s="32" t="s">
        <v>29</v>
      </c>
      <c r="H935" s="41">
        <v>45822</v>
      </c>
      <c r="I935" s="81">
        <v>106</v>
      </c>
      <c r="J935" s="93">
        <v>650</v>
      </c>
      <c r="K935" s="86">
        <v>0.03</v>
      </c>
      <c r="L935" s="32" t="s">
        <v>30</v>
      </c>
      <c r="M935" s="162">
        <v>68900</v>
      </c>
      <c r="N935" s="162">
        <v>66833</v>
      </c>
      <c r="O935" s="32" t="s">
        <v>265</v>
      </c>
    </row>
    <row r="936" spans="1:15" x14ac:dyDescent="0.3">
      <c r="A936" s="115" t="s">
        <v>580</v>
      </c>
      <c r="B936" s="11" t="s">
        <v>16</v>
      </c>
      <c r="C936" s="30" t="s">
        <v>250</v>
      </c>
      <c r="D936" s="30" t="s">
        <v>39</v>
      </c>
      <c r="E936" s="30" t="s">
        <v>27</v>
      </c>
      <c r="F936" s="30" t="s">
        <v>46</v>
      </c>
      <c r="G936" s="30" t="s">
        <v>53</v>
      </c>
      <c r="H936" s="39">
        <v>45822</v>
      </c>
      <c r="I936" s="79">
        <v>173</v>
      </c>
      <c r="J936" s="91">
        <v>990</v>
      </c>
      <c r="K936" s="84">
        <v>0.13</v>
      </c>
      <c r="L936" s="30" t="s">
        <v>36</v>
      </c>
      <c r="M936" s="160">
        <v>171270</v>
      </c>
      <c r="N936" s="160">
        <v>149004.9</v>
      </c>
      <c r="O936" s="30" t="s">
        <v>267</v>
      </c>
    </row>
    <row r="937" spans="1:15" x14ac:dyDescent="0.3">
      <c r="A937" s="115" t="s">
        <v>581</v>
      </c>
      <c r="B937" s="10" t="s">
        <v>16</v>
      </c>
      <c r="C937" s="32" t="s">
        <v>250</v>
      </c>
      <c r="D937" s="32" t="s">
        <v>39</v>
      </c>
      <c r="E937" s="32" t="s">
        <v>51</v>
      </c>
      <c r="F937" s="32" t="s">
        <v>34</v>
      </c>
      <c r="G937" s="32" t="s">
        <v>35</v>
      </c>
      <c r="H937" s="41">
        <v>45822</v>
      </c>
      <c r="I937" s="81">
        <v>314</v>
      </c>
      <c r="J937" s="93">
        <v>990</v>
      </c>
      <c r="K937" s="86">
        <v>0</v>
      </c>
      <c r="L937" s="32" t="s">
        <v>36</v>
      </c>
      <c r="M937" s="162">
        <v>310860</v>
      </c>
      <c r="N937" s="162">
        <v>310860</v>
      </c>
      <c r="O937" s="32" t="s">
        <v>267</v>
      </c>
    </row>
    <row r="938" spans="1:15" x14ac:dyDescent="0.3">
      <c r="A938" s="115" t="s">
        <v>582</v>
      </c>
      <c r="B938" s="11" t="s">
        <v>32</v>
      </c>
      <c r="C938" s="30" t="s">
        <v>246</v>
      </c>
      <c r="D938" s="30" t="s">
        <v>26</v>
      </c>
      <c r="E938" s="30" t="s">
        <v>27</v>
      </c>
      <c r="F938" s="30" t="s">
        <v>46</v>
      </c>
      <c r="G938" s="30" t="s">
        <v>56</v>
      </c>
      <c r="H938" s="39">
        <v>45823</v>
      </c>
      <c r="I938" s="79">
        <v>184</v>
      </c>
      <c r="J938" s="91">
        <v>420</v>
      </c>
      <c r="K938" s="84">
        <v>0.1</v>
      </c>
      <c r="L938" s="30" t="s">
        <v>36</v>
      </c>
      <c r="M938" s="160">
        <v>77280</v>
      </c>
      <c r="N938" s="160">
        <v>69552</v>
      </c>
      <c r="O938" s="30" t="s">
        <v>265</v>
      </c>
    </row>
    <row r="939" spans="1:15" x14ac:dyDescent="0.3">
      <c r="A939" s="115" t="s">
        <v>583</v>
      </c>
      <c r="B939" s="10" t="s">
        <v>63</v>
      </c>
      <c r="C939" s="32" t="s">
        <v>253</v>
      </c>
      <c r="D939" s="32" t="s">
        <v>50</v>
      </c>
      <c r="E939" s="32" t="s">
        <v>51</v>
      </c>
      <c r="F939" s="32" t="s">
        <v>28</v>
      </c>
      <c r="G939" s="32" t="s">
        <v>47</v>
      </c>
      <c r="H939" s="41">
        <v>45823</v>
      </c>
      <c r="I939" s="81">
        <v>56</v>
      </c>
      <c r="J939" s="93">
        <v>750</v>
      </c>
      <c r="K939" s="86">
        <v>0.15</v>
      </c>
      <c r="L939" s="32" t="s">
        <v>36</v>
      </c>
      <c r="M939" s="162">
        <v>42000</v>
      </c>
      <c r="N939" s="162">
        <v>35700</v>
      </c>
      <c r="O939" s="32" t="s">
        <v>265</v>
      </c>
    </row>
    <row r="940" spans="1:15" x14ac:dyDescent="0.3">
      <c r="A940" s="115" t="s">
        <v>584</v>
      </c>
      <c r="B940" s="11" t="s">
        <v>63</v>
      </c>
      <c r="C940" s="30" t="s">
        <v>253</v>
      </c>
      <c r="D940" s="30" t="s">
        <v>50</v>
      </c>
      <c r="E940" s="30" t="s">
        <v>51</v>
      </c>
      <c r="F940" s="30" t="s">
        <v>34</v>
      </c>
      <c r="G940" s="30" t="s">
        <v>53</v>
      </c>
      <c r="H940" s="39">
        <v>45823</v>
      </c>
      <c r="I940" s="79">
        <v>52</v>
      </c>
      <c r="J940" s="91">
        <v>750</v>
      </c>
      <c r="K940" s="84">
        <v>0.13</v>
      </c>
      <c r="L940" s="30" t="s">
        <v>30</v>
      </c>
      <c r="M940" s="160">
        <v>39000</v>
      </c>
      <c r="N940" s="160">
        <v>33930</v>
      </c>
      <c r="O940" s="30" t="s">
        <v>265</v>
      </c>
    </row>
    <row r="941" spans="1:15" x14ac:dyDescent="0.3">
      <c r="A941" s="115" t="s">
        <v>585</v>
      </c>
      <c r="B941" s="10" t="s">
        <v>49</v>
      </c>
      <c r="C941" s="32" t="s">
        <v>251</v>
      </c>
      <c r="D941" s="32" t="s">
        <v>50</v>
      </c>
      <c r="E941" s="32" t="s">
        <v>33</v>
      </c>
      <c r="F941" s="32" t="s">
        <v>41</v>
      </c>
      <c r="G941" s="32" t="s">
        <v>56</v>
      </c>
      <c r="H941" s="41">
        <v>45824</v>
      </c>
      <c r="I941" s="81">
        <v>275</v>
      </c>
      <c r="J941" s="93">
        <v>895</v>
      </c>
      <c r="K941" s="86">
        <v>0</v>
      </c>
      <c r="L941" s="32" t="s">
        <v>30</v>
      </c>
      <c r="M941" s="162">
        <v>246125</v>
      </c>
      <c r="N941" s="162">
        <v>246125</v>
      </c>
      <c r="O941" s="32" t="s">
        <v>267</v>
      </c>
    </row>
    <row r="942" spans="1:15" x14ac:dyDescent="0.3">
      <c r="A942" s="115" t="s">
        <v>586</v>
      </c>
      <c r="B942" s="11" t="s">
        <v>44</v>
      </c>
      <c r="C942" s="30" t="s">
        <v>254</v>
      </c>
      <c r="D942" s="30" t="s">
        <v>39</v>
      </c>
      <c r="E942" s="30" t="s">
        <v>40</v>
      </c>
      <c r="F942" s="30" t="s">
        <v>28</v>
      </c>
      <c r="G942" s="30" t="s">
        <v>53</v>
      </c>
      <c r="H942" s="39">
        <v>45825</v>
      </c>
      <c r="I942" s="79">
        <v>193</v>
      </c>
      <c r="J942" s="91">
        <v>200</v>
      </c>
      <c r="K942" s="84">
        <v>7.0000000000000007E-2</v>
      </c>
      <c r="L942" s="30" t="s">
        <v>30</v>
      </c>
      <c r="M942" s="160">
        <v>38600</v>
      </c>
      <c r="N942" s="160">
        <v>35898</v>
      </c>
      <c r="O942" s="30" t="s">
        <v>265</v>
      </c>
    </row>
    <row r="943" spans="1:15" x14ac:dyDescent="0.3">
      <c r="A943" s="115" t="s">
        <v>587</v>
      </c>
      <c r="B943" s="10" t="s">
        <v>49</v>
      </c>
      <c r="C943" s="32" t="s">
        <v>251</v>
      </c>
      <c r="D943" s="32" t="s">
        <v>50</v>
      </c>
      <c r="E943" s="32" t="s">
        <v>51</v>
      </c>
      <c r="F943" s="32" t="s">
        <v>34</v>
      </c>
      <c r="G943" s="32" t="s">
        <v>47</v>
      </c>
      <c r="H943" s="41">
        <v>45825</v>
      </c>
      <c r="I943" s="81">
        <v>145</v>
      </c>
      <c r="J943" s="93">
        <v>895</v>
      </c>
      <c r="K943" s="86">
        <v>0</v>
      </c>
      <c r="L943" s="32" t="s">
        <v>36</v>
      </c>
      <c r="M943" s="162">
        <v>129775</v>
      </c>
      <c r="N943" s="162">
        <v>129775</v>
      </c>
      <c r="O943" s="32" t="s">
        <v>267</v>
      </c>
    </row>
    <row r="944" spans="1:15" x14ac:dyDescent="0.3">
      <c r="A944" s="115" t="s">
        <v>588</v>
      </c>
      <c r="B944" s="11" t="s">
        <v>61</v>
      </c>
      <c r="C944" s="30" t="s">
        <v>244</v>
      </c>
      <c r="D944" s="30" t="s">
        <v>26</v>
      </c>
      <c r="E944" s="30" t="s">
        <v>40</v>
      </c>
      <c r="F944" s="30" t="s">
        <v>46</v>
      </c>
      <c r="G944" s="30" t="s">
        <v>42</v>
      </c>
      <c r="H944" s="39">
        <v>45825</v>
      </c>
      <c r="I944" s="79">
        <v>339</v>
      </c>
      <c r="J944" s="91">
        <v>280</v>
      </c>
      <c r="K944" s="84">
        <v>0.13</v>
      </c>
      <c r="L944" s="30" t="s">
        <v>36</v>
      </c>
      <c r="M944" s="160">
        <v>94920</v>
      </c>
      <c r="N944" s="160">
        <v>82580.399999999994</v>
      </c>
      <c r="O944" s="30" t="s">
        <v>265</v>
      </c>
    </row>
    <row r="945" spans="1:15" x14ac:dyDescent="0.3">
      <c r="A945" s="115" t="s">
        <v>589</v>
      </c>
      <c r="B945" s="10" t="s">
        <v>55</v>
      </c>
      <c r="C945" s="32" t="s">
        <v>249</v>
      </c>
      <c r="D945" s="32" t="s">
        <v>39</v>
      </c>
      <c r="E945" s="32" t="s">
        <v>45</v>
      </c>
      <c r="F945" s="32" t="s">
        <v>34</v>
      </c>
      <c r="G945" s="32" t="s">
        <v>47</v>
      </c>
      <c r="H945" s="41">
        <v>45826</v>
      </c>
      <c r="I945" s="81">
        <v>154</v>
      </c>
      <c r="J945" s="93">
        <v>650</v>
      </c>
      <c r="K945" s="86">
        <v>0.15</v>
      </c>
      <c r="L945" s="32" t="s">
        <v>36</v>
      </c>
      <c r="M945" s="162">
        <v>100100</v>
      </c>
      <c r="N945" s="162">
        <v>85085</v>
      </c>
      <c r="O945" s="32" t="s">
        <v>265</v>
      </c>
    </row>
    <row r="946" spans="1:15" x14ac:dyDescent="0.3">
      <c r="A946" s="115" t="s">
        <v>590</v>
      </c>
      <c r="B946" s="11" t="s">
        <v>38</v>
      </c>
      <c r="C946" s="30" t="s">
        <v>247</v>
      </c>
      <c r="D946" s="30" t="s">
        <v>39</v>
      </c>
      <c r="E946" s="30" t="s">
        <v>40</v>
      </c>
      <c r="F946" s="30" t="s">
        <v>28</v>
      </c>
      <c r="G946" s="30" t="s">
        <v>56</v>
      </c>
      <c r="H946" s="39">
        <v>45826</v>
      </c>
      <c r="I946" s="79">
        <v>31</v>
      </c>
      <c r="J946" s="91">
        <v>1200</v>
      </c>
      <c r="K946" s="84">
        <v>0.11</v>
      </c>
      <c r="L946" s="30" t="s">
        <v>36</v>
      </c>
      <c r="M946" s="160">
        <v>37200</v>
      </c>
      <c r="N946" s="160">
        <v>33108</v>
      </c>
      <c r="O946" s="30" t="s">
        <v>265</v>
      </c>
    </row>
    <row r="947" spans="1:15" x14ac:dyDescent="0.3">
      <c r="A947" s="115" t="s">
        <v>591</v>
      </c>
      <c r="B947" s="10" t="s">
        <v>25</v>
      </c>
      <c r="C947" s="32" t="s">
        <v>257</v>
      </c>
      <c r="D947" s="32" t="s">
        <v>26</v>
      </c>
      <c r="E947" s="32" t="s">
        <v>45</v>
      </c>
      <c r="F947" s="32" t="s">
        <v>34</v>
      </c>
      <c r="G947" s="32" t="s">
        <v>53</v>
      </c>
      <c r="H947" s="41">
        <v>45828</v>
      </c>
      <c r="I947" s="81">
        <v>324</v>
      </c>
      <c r="J947" s="93">
        <v>350</v>
      </c>
      <c r="K947" s="86">
        <v>7.0000000000000007E-2</v>
      </c>
      <c r="L947" s="32" t="s">
        <v>36</v>
      </c>
      <c r="M947" s="162">
        <v>113400</v>
      </c>
      <c r="N947" s="162">
        <v>105462</v>
      </c>
      <c r="O947" s="32" t="s">
        <v>267</v>
      </c>
    </row>
    <row r="948" spans="1:15" x14ac:dyDescent="0.3">
      <c r="A948" s="115" t="s">
        <v>592</v>
      </c>
      <c r="B948" s="11" t="s">
        <v>55</v>
      </c>
      <c r="C948" s="30" t="s">
        <v>249</v>
      </c>
      <c r="D948" s="30" t="s">
        <v>39</v>
      </c>
      <c r="E948" s="30" t="s">
        <v>45</v>
      </c>
      <c r="F948" s="30" t="s">
        <v>52</v>
      </c>
      <c r="G948" s="30" t="s">
        <v>29</v>
      </c>
      <c r="H948" s="39">
        <v>45828</v>
      </c>
      <c r="I948" s="79">
        <v>163</v>
      </c>
      <c r="J948" s="91">
        <v>650</v>
      </c>
      <c r="K948" s="84">
        <v>0</v>
      </c>
      <c r="L948" s="30" t="s">
        <v>36</v>
      </c>
      <c r="M948" s="160">
        <v>105950</v>
      </c>
      <c r="N948" s="160">
        <v>105950</v>
      </c>
      <c r="O948" s="30" t="s">
        <v>267</v>
      </c>
    </row>
    <row r="949" spans="1:15" x14ac:dyDescent="0.3">
      <c r="A949" s="115" t="s">
        <v>593</v>
      </c>
      <c r="B949" s="10" t="s">
        <v>49</v>
      </c>
      <c r="C949" s="32" t="s">
        <v>251</v>
      </c>
      <c r="D949" s="32" t="s">
        <v>50</v>
      </c>
      <c r="E949" s="32" t="s">
        <v>33</v>
      </c>
      <c r="F949" s="32" t="s">
        <v>28</v>
      </c>
      <c r="G949" s="32" t="s">
        <v>47</v>
      </c>
      <c r="H949" s="41">
        <v>45828</v>
      </c>
      <c r="I949" s="81">
        <v>362</v>
      </c>
      <c r="J949" s="93">
        <v>895</v>
      </c>
      <c r="K949" s="86">
        <v>0.12</v>
      </c>
      <c r="L949" s="32" t="s">
        <v>36</v>
      </c>
      <c r="M949" s="162">
        <v>323990</v>
      </c>
      <c r="N949" s="162">
        <v>285111.2</v>
      </c>
      <c r="O949" s="32" t="s">
        <v>267</v>
      </c>
    </row>
    <row r="950" spans="1:15" x14ac:dyDescent="0.3">
      <c r="A950" s="115" t="s">
        <v>594</v>
      </c>
      <c r="B950" s="11" t="s">
        <v>38</v>
      </c>
      <c r="C950" s="30" t="s">
        <v>247</v>
      </c>
      <c r="D950" s="30" t="s">
        <v>39</v>
      </c>
      <c r="E950" s="30" t="s">
        <v>40</v>
      </c>
      <c r="F950" s="30" t="s">
        <v>34</v>
      </c>
      <c r="G950" s="30" t="s">
        <v>47</v>
      </c>
      <c r="H950" s="39">
        <v>45829</v>
      </c>
      <c r="I950" s="79">
        <v>200</v>
      </c>
      <c r="J950" s="91">
        <v>1200</v>
      </c>
      <c r="K950" s="84">
        <v>0.05</v>
      </c>
      <c r="L950" s="30" t="s">
        <v>36</v>
      </c>
      <c r="M950" s="160">
        <v>240000</v>
      </c>
      <c r="N950" s="160">
        <v>228000</v>
      </c>
      <c r="O950" s="30" t="s">
        <v>267</v>
      </c>
    </row>
    <row r="951" spans="1:15" x14ac:dyDescent="0.3">
      <c r="A951" s="115" t="s">
        <v>595</v>
      </c>
      <c r="B951" s="10" t="s">
        <v>32</v>
      </c>
      <c r="C951" s="32" t="s">
        <v>246</v>
      </c>
      <c r="D951" s="32" t="s">
        <v>26</v>
      </c>
      <c r="E951" s="32" t="s">
        <v>40</v>
      </c>
      <c r="F951" s="32" t="s">
        <v>46</v>
      </c>
      <c r="G951" s="32" t="s">
        <v>35</v>
      </c>
      <c r="H951" s="41">
        <v>45829</v>
      </c>
      <c r="I951" s="81">
        <v>396</v>
      </c>
      <c r="J951" s="93">
        <v>420</v>
      </c>
      <c r="K951" s="86">
        <v>0.05</v>
      </c>
      <c r="L951" s="32" t="s">
        <v>36</v>
      </c>
      <c r="M951" s="162">
        <v>166320</v>
      </c>
      <c r="N951" s="162">
        <v>158004</v>
      </c>
      <c r="O951" s="32" t="s">
        <v>267</v>
      </c>
    </row>
    <row r="952" spans="1:15" x14ac:dyDescent="0.3">
      <c r="A952" s="115" t="s">
        <v>596</v>
      </c>
      <c r="B952" s="11" t="s">
        <v>61</v>
      </c>
      <c r="C952" s="30" t="s">
        <v>244</v>
      </c>
      <c r="D952" s="30" t="s">
        <v>26</v>
      </c>
      <c r="E952" s="30" t="s">
        <v>27</v>
      </c>
      <c r="F952" s="30" t="s">
        <v>34</v>
      </c>
      <c r="G952" s="30" t="s">
        <v>47</v>
      </c>
      <c r="H952" s="39">
        <v>45829</v>
      </c>
      <c r="I952" s="79">
        <v>458</v>
      </c>
      <c r="J952" s="91">
        <v>280</v>
      </c>
      <c r="K952" s="84">
        <v>0.08</v>
      </c>
      <c r="L952" s="30" t="s">
        <v>30</v>
      </c>
      <c r="M952" s="160">
        <v>128240</v>
      </c>
      <c r="N952" s="160">
        <v>117980.8</v>
      </c>
      <c r="O952" s="30" t="s">
        <v>267</v>
      </c>
    </row>
    <row r="953" spans="1:15" x14ac:dyDescent="0.3">
      <c r="A953" s="115" t="s">
        <v>597</v>
      </c>
      <c r="B953" s="10" t="s">
        <v>61</v>
      </c>
      <c r="C953" s="32" t="s">
        <v>244</v>
      </c>
      <c r="D953" s="32" t="s">
        <v>26</v>
      </c>
      <c r="E953" s="32" t="s">
        <v>40</v>
      </c>
      <c r="F953" s="32" t="s">
        <v>52</v>
      </c>
      <c r="G953" s="32" t="s">
        <v>29</v>
      </c>
      <c r="H953" s="41">
        <v>45830</v>
      </c>
      <c r="I953" s="81">
        <v>320</v>
      </c>
      <c r="J953" s="93">
        <v>280</v>
      </c>
      <c r="K953" s="86">
        <v>0.03</v>
      </c>
      <c r="L953" s="32" t="s">
        <v>36</v>
      </c>
      <c r="M953" s="162">
        <v>89600</v>
      </c>
      <c r="N953" s="162">
        <v>86912</v>
      </c>
      <c r="O953" s="32" t="s">
        <v>265</v>
      </c>
    </row>
    <row r="954" spans="1:15" x14ac:dyDescent="0.3">
      <c r="A954" s="115" t="s">
        <v>598</v>
      </c>
      <c r="B954" s="11" t="s">
        <v>61</v>
      </c>
      <c r="C954" s="30" t="s">
        <v>244</v>
      </c>
      <c r="D954" s="30" t="s">
        <v>26</v>
      </c>
      <c r="E954" s="30" t="s">
        <v>33</v>
      </c>
      <c r="F954" s="30" t="s">
        <v>41</v>
      </c>
      <c r="G954" s="30" t="s">
        <v>42</v>
      </c>
      <c r="H954" s="39">
        <v>45832</v>
      </c>
      <c r="I954" s="79">
        <v>211</v>
      </c>
      <c r="J954" s="91">
        <v>280</v>
      </c>
      <c r="K954" s="84">
        <v>0.14000000000000001</v>
      </c>
      <c r="L954" s="30" t="s">
        <v>36</v>
      </c>
      <c r="M954" s="160">
        <v>59080</v>
      </c>
      <c r="N954" s="160">
        <v>50808.800000000003</v>
      </c>
      <c r="O954" s="30" t="s">
        <v>265</v>
      </c>
    </row>
    <row r="955" spans="1:15" x14ac:dyDescent="0.3">
      <c r="A955" s="115" t="s">
        <v>599</v>
      </c>
      <c r="B955" s="10" t="s">
        <v>63</v>
      </c>
      <c r="C955" s="32" t="s">
        <v>253</v>
      </c>
      <c r="D955" s="32" t="s">
        <v>50</v>
      </c>
      <c r="E955" s="32" t="s">
        <v>45</v>
      </c>
      <c r="F955" s="32" t="s">
        <v>41</v>
      </c>
      <c r="G955" s="32" t="s">
        <v>47</v>
      </c>
      <c r="H955" s="41">
        <v>45834</v>
      </c>
      <c r="I955" s="81">
        <v>269</v>
      </c>
      <c r="J955" s="93">
        <v>750</v>
      </c>
      <c r="K955" s="86">
        <v>0.12</v>
      </c>
      <c r="L955" s="32" t="s">
        <v>36</v>
      </c>
      <c r="M955" s="162">
        <v>201750</v>
      </c>
      <c r="N955" s="162">
        <v>177540</v>
      </c>
      <c r="O955" s="32" t="s">
        <v>267</v>
      </c>
    </row>
    <row r="956" spans="1:15" x14ac:dyDescent="0.3">
      <c r="A956" s="115" t="s">
        <v>600</v>
      </c>
      <c r="B956" s="11" t="s">
        <v>25</v>
      </c>
      <c r="C956" s="30" t="s">
        <v>257</v>
      </c>
      <c r="D956" s="30" t="s">
        <v>26</v>
      </c>
      <c r="E956" s="30" t="s">
        <v>51</v>
      </c>
      <c r="F956" s="30" t="s">
        <v>28</v>
      </c>
      <c r="G956" s="30" t="s">
        <v>47</v>
      </c>
      <c r="H956" s="39">
        <v>45834</v>
      </c>
      <c r="I956" s="79">
        <v>277</v>
      </c>
      <c r="J956" s="91">
        <v>350</v>
      </c>
      <c r="K956" s="84">
        <v>0.05</v>
      </c>
      <c r="L956" s="30" t="s">
        <v>30</v>
      </c>
      <c r="M956" s="160">
        <v>96950</v>
      </c>
      <c r="N956" s="160">
        <v>92102.5</v>
      </c>
      <c r="O956" s="30" t="s">
        <v>265</v>
      </c>
    </row>
    <row r="957" spans="1:15" x14ac:dyDescent="0.3">
      <c r="A957" s="115" t="s">
        <v>601</v>
      </c>
      <c r="B957" s="10" t="s">
        <v>16</v>
      </c>
      <c r="C957" s="32" t="s">
        <v>250</v>
      </c>
      <c r="D957" s="32" t="s">
        <v>39</v>
      </c>
      <c r="E957" s="32" t="s">
        <v>45</v>
      </c>
      <c r="F957" s="32" t="s">
        <v>41</v>
      </c>
      <c r="G957" s="32" t="s">
        <v>53</v>
      </c>
      <c r="H957" s="41">
        <v>45834</v>
      </c>
      <c r="I957" s="81">
        <v>312</v>
      </c>
      <c r="J957" s="93">
        <v>990</v>
      </c>
      <c r="K957" s="86">
        <v>0.14000000000000001</v>
      </c>
      <c r="L957" s="32" t="s">
        <v>36</v>
      </c>
      <c r="M957" s="162">
        <v>308880</v>
      </c>
      <c r="N957" s="162">
        <v>265636.8</v>
      </c>
      <c r="O957" s="32" t="s">
        <v>267</v>
      </c>
    </row>
    <row r="958" spans="1:15" x14ac:dyDescent="0.3">
      <c r="A958" s="115" t="s">
        <v>602</v>
      </c>
      <c r="B958" s="11" t="s">
        <v>63</v>
      </c>
      <c r="C958" s="30" t="s">
        <v>253</v>
      </c>
      <c r="D958" s="30" t="s">
        <v>50</v>
      </c>
      <c r="E958" s="30" t="s">
        <v>51</v>
      </c>
      <c r="F958" s="30" t="s">
        <v>46</v>
      </c>
      <c r="G958" s="30" t="s">
        <v>29</v>
      </c>
      <c r="H958" s="39">
        <v>45835</v>
      </c>
      <c r="I958" s="79">
        <v>168</v>
      </c>
      <c r="J958" s="91">
        <v>750</v>
      </c>
      <c r="K958" s="84">
        <v>0</v>
      </c>
      <c r="L958" s="30" t="s">
        <v>36</v>
      </c>
      <c r="M958" s="160">
        <v>126000</v>
      </c>
      <c r="N958" s="160">
        <v>126000</v>
      </c>
      <c r="O958" s="30" t="s">
        <v>267</v>
      </c>
    </row>
    <row r="959" spans="1:15" x14ac:dyDescent="0.3">
      <c r="A959" s="115" t="s">
        <v>603</v>
      </c>
      <c r="B959" s="10" t="s">
        <v>38</v>
      </c>
      <c r="C959" s="32" t="s">
        <v>247</v>
      </c>
      <c r="D959" s="32" t="s">
        <v>39</v>
      </c>
      <c r="E959" s="32" t="s">
        <v>33</v>
      </c>
      <c r="F959" s="32" t="s">
        <v>34</v>
      </c>
      <c r="G959" s="32" t="s">
        <v>29</v>
      </c>
      <c r="H959" s="41">
        <v>45836</v>
      </c>
      <c r="I959" s="81">
        <v>41</v>
      </c>
      <c r="J959" s="93">
        <v>1200</v>
      </c>
      <c r="K959" s="86">
        <v>0.13</v>
      </c>
      <c r="L959" s="32" t="s">
        <v>36</v>
      </c>
      <c r="M959" s="162">
        <v>49200</v>
      </c>
      <c r="N959" s="162">
        <v>42804</v>
      </c>
      <c r="O959" s="32" t="s">
        <v>265</v>
      </c>
    </row>
    <row r="960" spans="1:15" x14ac:dyDescent="0.3">
      <c r="A960" s="115" t="s">
        <v>604</v>
      </c>
      <c r="B960" s="11" t="s">
        <v>58</v>
      </c>
      <c r="C960" s="30" t="s">
        <v>255</v>
      </c>
      <c r="D960" s="30" t="s">
        <v>59</v>
      </c>
      <c r="E960" s="30" t="s">
        <v>40</v>
      </c>
      <c r="F960" s="30" t="s">
        <v>28</v>
      </c>
      <c r="G960" s="30" t="s">
        <v>47</v>
      </c>
      <c r="H960" s="39">
        <v>45836</v>
      </c>
      <c r="I960" s="79">
        <v>192</v>
      </c>
      <c r="J960" s="91">
        <v>2800</v>
      </c>
      <c r="K960" s="84">
        <v>7.0000000000000007E-2</v>
      </c>
      <c r="L960" s="30" t="s">
        <v>36</v>
      </c>
      <c r="M960" s="160">
        <v>537600</v>
      </c>
      <c r="N960" s="160">
        <v>499968</v>
      </c>
      <c r="O960" s="30" t="s">
        <v>277</v>
      </c>
    </row>
    <row r="961" spans="1:15" x14ac:dyDescent="0.3">
      <c r="A961" s="115" t="s">
        <v>605</v>
      </c>
      <c r="B961" s="10" t="s">
        <v>49</v>
      </c>
      <c r="C961" s="32" t="s">
        <v>251</v>
      </c>
      <c r="D961" s="32" t="s">
        <v>50</v>
      </c>
      <c r="E961" s="32" t="s">
        <v>45</v>
      </c>
      <c r="F961" s="32" t="s">
        <v>28</v>
      </c>
      <c r="G961" s="32" t="s">
        <v>47</v>
      </c>
      <c r="H961" s="41">
        <v>45836</v>
      </c>
      <c r="I961" s="81">
        <v>93</v>
      </c>
      <c r="J961" s="93">
        <v>895</v>
      </c>
      <c r="K961" s="86">
        <v>0</v>
      </c>
      <c r="L961" s="32" t="s">
        <v>36</v>
      </c>
      <c r="M961" s="162">
        <v>83235</v>
      </c>
      <c r="N961" s="162">
        <v>83235</v>
      </c>
      <c r="O961" s="32" t="s">
        <v>265</v>
      </c>
    </row>
    <row r="962" spans="1:15" x14ac:dyDescent="0.3">
      <c r="A962" s="115" t="s">
        <v>606</v>
      </c>
      <c r="B962" s="11" t="s">
        <v>44</v>
      </c>
      <c r="C962" s="30" t="s">
        <v>254</v>
      </c>
      <c r="D962" s="30" t="s">
        <v>39</v>
      </c>
      <c r="E962" s="30" t="s">
        <v>33</v>
      </c>
      <c r="F962" s="30" t="s">
        <v>28</v>
      </c>
      <c r="G962" s="30" t="s">
        <v>56</v>
      </c>
      <c r="H962" s="39">
        <v>45837</v>
      </c>
      <c r="I962" s="79">
        <v>297</v>
      </c>
      <c r="J962" s="91">
        <v>200</v>
      </c>
      <c r="K962" s="84">
        <v>7.0000000000000007E-2</v>
      </c>
      <c r="L962" s="30" t="s">
        <v>30</v>
      </c>
      <c r="M962" s="160">
        <v>59400</v>
      </c>
      <c r="N962" s="160">
        <v>55242</v>
      </c>
      <c r="O962" s="30" t="s">
        <v>265</v>
      </c>
    </row>
    <row r="963" spans="1:15" x14ac:dyDescent="0.3">
      <c r="A963" s="115" t="s">
        <v>607</v>
      </c>
      <c r="B963" s="10" t="s">
        <v>32</v>
      </c>
      <c r="C963" s="32" t="s">
        <v>246</v>
      </c>
      <c r="D963" s="32" t="s">
        <v>26</v>
      </c>
      <c r="E963" s="32" t="s">
        <v>27</v>
      </c>
      <c r="F963" s="32" t="s">
        <v>52</v>
      </c>
      <c r="G963" s="32" t="s">
        <v>35</v>
      </c>
      <c r="H963" s="41">
        <v>45837</v>
      </c>
      <c r="I963" s="81">
        <v>140</v>
      </c>
      <c r="J963" s="93">
        <v>420</v>
      </c>
      <c r="K963" s="86">
        <v>0.11</v>
      </c>
      <c r="L963" s="32" t="s">
        <v>36</v>
      </c>
      <c r="M963" s="162">
        <v>58800</v>
      </c>
      <c r="N963" s="162">
        <v>52332</v>
      </c>
      <c r="O963" s="32" t="s">
        <v>265</v>
      </c>
    </row>
    <row r="964" spans="1:15" x14ac:dyDescent="0.3">
      <c r="A964" s="115" t="s">
        <v>608</v>
      </c>
      <c r="B964" s="11" t="s">
        <v>38</v>
      </c>
      <c r="C964" s="30" t="s">
        <v>247</v>
      </c>
      <c r="D964" s="30" t="s">
        <v>39</v>
      </c>
      <c r="E964" s="30" t="s">
        <v>51</v>
      </c>
      <c r="F964" s="30" t="s">
        <v>41</v>
      </c>
      <c r="G964" s="30" t="s">
        <v>29</v>
      </c>
      <c r="H964" s="39">
        <v>45837</v>
      </c>
      <c r="I964" s="79">
        <v>314</v>
      </c>
      <c r="J964" s="91">
        <v>1200</v>
      </c>
      <c r="K964" s="84">
        <v>0</v>
      </c>
      <c r="L964" s="30" t="s">
        <v>30</v>
      </c>
      <c r="M964" s="160">
        <v>376800</v>
      </c>
      <c r="N964" s="160">
        <v>376800</v>
      </c>
      <c r="O964" s="30" t="s">
        <v>277</v>
      </c>
    </row>
    <row r="965" spans="1:15" x14ac:dyDescent="0.3">
      <c r="A965" s="115" t="s">
        <v>609</v>
      </c>
      <c r="B965" s="10" t="s">
        <v>16</v>
      </c>
      <c r="C965" s="32" t="s">
        <v>250</v>
      </c>
      <c r="D965" s="32" t="s">
        <v>39</v>
      </c>
      <c r="E965" s="32" t="s">
        <v>51</v>
      </c>
      <c r="F965" s="32" t="s">
        <v>41</v>
      </c>
      <c r="G965" s="32" t="s">
        <v>56</v>
      </c>
      <c r="H965" s="41">
        <v>45838</v>
      </c>
      <c r="I965" s="81">
        <v>105</v>
      </c>
      <c r="J965" s="93">
        <v>990</v>
      </c>
      <c r="K965" s="86">
        <v>0.1</v>
      </c>
      <c r="L965" s="32" t="s">
        <v>36</v>
      </c>
      <c r="M965" s="162">
        <v>103950</v>
      </c>
      <c r="N965" s="162">
        <v>93555</v>
      </c>
      <c r="O965" s="32" t="s">
        <v>265</v>
      </c>
    </row>
    <row r="966" spans="1:15" x14ac:dyDescent="0.3">
      <c r="A966" s="115" t="s">
        <v>610</v>
      </c>
      <c r="B966" s="11" t="s">
        <v>38</v>
      </c>
      <c r="C966" s="30" t="s">
        <v>247</v>
      </c>
      <c r="D966" s="30" t="s">
        <v>39</v>
      </c>
      <c r="E966" s="30" t="s">
        <v>45</v>
      </c>
      <c r="F966" s="30" t="s">
        <v>46</v>
      </c>
      <c r="G966" s="30" t="s">
        <v>47</v>
      </c>
      <c r="H966" s="39">
        <v>45840</v>
      </c>
      <c r="I966" s="79">
        <v>243</v>
      </c>
      <c r="J966" s="91">
        <v>1200</v>
      </c>
      <c r="K966" s="84">
        <v>0.08</v>
      </c>
      <c r="L966" s="30" t="s">
        <v>36</v>
      </c>
      <c r="M966" s="160">
        <v>291600</v>
      </c>
      <c r="N966" s="160">
        <v>268272</v>
      </c>
      <c r="O966" s="30" t="s">
        <v>267</v>
      </c>
    </row>
    <row r="967" spans="1:15" x14ac:dyDescent="0.3">
      <c r="A967" s="115" t="s">
        <v>611</v>
      </c>
      <c r="B967" s="10" t="s">
        <v>44</v>
      </c>
      <c r="C967" s="32" t="s">
        <v>254</v>
      </c>
      <c r="D967" s="32" t="s">
        <v>39</v>
      </c>
      <c r="E967" s="32" t="s">
        <v>51</v>
      </c>
      <c r="F967" s="32" t="s">
        <v>28</v>
      </c>
      <c r="G967" s="32" t="s">
        <v>42</v>
      </c>
      <c r="H967" s="41">
        <v>45840</v>
      </c>
      <c r="I967" s="81">
        <v>465</v>
      </c>
      <c r="J967" s="93">
        <v>200</v>
      </c>
      <c r="K967" s="86">
        <v>0.11</v>
      </c>
      <c r="L967" s="32" t="s">
        <v>36</v>
      </c>
      <c r="M967" s="162">
        <v>93000</v>
      </c>
      <c r="N967" s="162">
        <v>82770</v>
      </c>
      <c r="O967" s="32" t="s">
        <v>265</v>
      </c>
    </row>
    <row r="968" spans="1:15" x14ac:dyDescent="0.3">
      <c r="A968" s="115" t="s">
        <v>612</v>
      </c>
      <c r="B968" s="11" t="s">
        <v>25</v>
      </c>
      <c r="C968" s="30" t="s">
        <v>257</v>
      </c>
      <c r="D968" s="30" t="s">
        <v>26</v>
      </c>
      <c r="E968" s="30" t="s">
        <v>45</v>
      </c>
      <c r="F968" s="30" t="s">
        <v>46</v>
      </c>
      <c r="G968" s="30" t="s">
        <v>29</v>
      </c>
      <c r="H968" s="39">
        <v>45840</v>
      </c>
      <c r="I968" s="79">
        <v>230</v>
      </c>
      <c r="J968" s="91">
        <v>350</v>
      </c>
      <c r="K968" s="84">
        <v>0.05</v>
      </c>
      <c r="L968" s="30" t="s">
        <v>36</v>
      </c>
      <c r="M968" s="160">
        <v>80500</v>
      </c>
      <c r="N968" s="160">
        <v>76475</v>
      </c>
      <c r="O968" s="30" t="s">
        <v>265</v>
      </c>
    </row>
    <row r="969" spans="1:15" x14ac:dyDescent="0.3">
      <c r="A969" s="115" t="s">
        <v>613</v>
      </c>
      <c r="B969" s="10" t="s">
        <v>58</v>
      </c>
      <c r="C969" s="32" t="s">
        <v>255</v>
      </c>
      <c r="D969" s="32" t="s">
        <v>59</v>
      </c>
      <c r="E969" s="32" t="s">
        <v>27</v>
      </c>
      <c r="F969" s="32" t="s">
        <v>34</v>
      </c>
      <c r="G969" s="32" t="s">
        <v>29</v>
      </c>
      <c r="H969" s="41">
        <v>45841</v>
      </c>
      <c r="I969" s="81">
        <v>285</v>
      </c>
      <c r="J969" s="93">
        <v>2800</v>
      </c>
      <c r="K969" s="86">
        <v>0.1</v>
      </c>
      <c r="L969" s="32" t="s">
        <v>36</v>
      </c>
      <c r="M969" s="162">
        <v>798000</v>
      </c>
      <c r="N969" s="162">
        <v>718200</v>
      </c>
      <c r="O969" s="32" t="s">
        <v>277</v>
      </c>
    </row>
    <row r="970" spans="1:15" x14ac:dyDescent="0.3">
      <c r="A970" s="115" t="s">
        <v>614</v>
      </c>
      <c r="B970" s="11" t="s">
        <v>32</v>
      </c>
      <c r="C970" s="30" t="s">
        <v>246</v>
      </c>
      <c r="D970" s="30" t="s">
        <v>26</v>
      </c>
      <c r="E970" s="30" t="s">
        <v>40</v>
      </c>
      <c r="F970" s="30" t="s">
        <v>52</v>
      </c>
      <c r="G970" s="30" t="s">
        <v>53</v>
      </c>
      <c r="H970" s="39">
        <v>45843</v>
      </c>
      <c r="I970" s="79">
        <v>394</v>
      </c>
      <c r="J970" s="91">
        <v>420</v>
      </c>
      <c r="K970" s="84">
        <v>0.14000000000000001</v>
      </c>
      <c r="L970" s="30" t="s">
        <v>30</v>
      </c>
      <c r="M970" s="160">
        <v>165480</v>
      </c>
      <c r="N970" s="160">
        <v>142312.79999999999</v>
      </c>
      <c r="O970" s="30" t="s">
        <v>267</v>
      </c>
    </row>
    <row r="971" spans="1:15" x14ac:dyDescent="0.3">
      <c r="A971" s="115" t="s">
        <v>615</v>
      </c>
      <c r="B971" s="10" t="s">
        <v>61</v>
      </c>
      <c r="C971" s="32" t="s">
        <v>244</v>
      </c>
      <c r="D971" s="32" t="s">
        <v>26</v>
      </c>
      <c r="E971" s="32" t="s">
        <v>27</v>
      </c>
      <c r="F971" s="32" t="s">
        <v>41</v>
      </c>
      <c r="G971" s="32" t="s">
        <v>42</v>
      </c>
      <c r="H971" s="41">
        <v>45843</v>
      </c>
      <c r="I971" s="81">
        <v>432</v>
      </c>
      <c r="J971" s="93">
        <v>280</v>
      </c>
      <c r="K971" s="86">
        <v>0.11</v>
      </c>
      <c r="L971" s="32" t="s">
        <v>36</v>
      </c>
      <c r="M971" s="162">
        <v>120960</v>
      </c>
      <c r="N971" s="162">
        <v>107654.39999999999</v>
      </c>
      <c r="O971" s="32" t="s">
        <v>267</v>
      </c>
    </row>
    <row r="972" spans="1:15" x14ac:dyDescent="0.3">
      <c r="A972" s="115" t="s">
        <v>616</v>
      </c>
      <c r="B972" s="11" t="s">
        <v>32</v>
      </c>
      <c r="C972" s="30" t="s">
        <v>246</v>
      </c>
      <c r="D972" s="30" t="s">
        <v>26</v>
      </c>
      <c r="E972" s="30" t="s">
        <v>51</v>
      </c>
      <c r="F972" s="30" t="s">
        <v>46</v>
      </c>
      <c r="G972" s="30" t="s">
        <v>29</v>
      </c>
      <c r="H972" s="39">
        <v>45843</v>
      </c>
      <c r="I972" s="79">
        <v>291</v>
      </c>
      <c r="J972" s="91">
        <v>420</v>
      </c>
      <c r="K972" s="84">
        <v>0</v>
      </c>
      <c r="L972" s="30" t="s">
        <v>36</v>
      </c>
      <c r="M972" s="160">
        <v>122220</v>
      </c>
      <c r="N972" s="160">
        <v>122220</v>
      </c>
      <c r="O972" s="30" t="s">
        <v>267</v>
      </c>
    </row>
    <row r="973" spans="1:15" x14ac:dyDescent="0.3">
      <c r="A973" s="115" t="s">
        <v>617</v>
      </c>
      <c r="B973" s="10" t="s">
        <v>32</v>
      </c>
      <c r="C973" s="32" t="s">
        <v>246</v>
      </c>
      <c r="D973" s="32" t="s">
        <v>26</v>
      </c>
      <c r="E973" s="32" t="s">
        <v>33</v>
      </c>
      <c r="F973" s="32" t="s">
        <v>34</v>
      </c>
      <c r="G973" s="32" t="s">
        <v>53</v>
      </c>
      <c r="H973" s="41">
        <v>45845</v>
      </c>
      <c r="I973" s="81">
        <v>367</v>
      </c>
      <c r="J973" s="93">
        <v>420</v>
      </c>
      <c r="K973" s="86">
        <v>7.0000000000000007E-2</v>
      </c>
      <c r="L973" s="32" t="s">
        <v>30</v>
      </c>
      <c r="M973" s="162">
        <v>154140</v>
      </c>
      <c r="N973" s="162">
        <v>143350.20000000001</v>
      </c>
      <c r="O973" s="32" t="s">
        <v>267</v>
      </c>
    </row>
    <row r="974" spans="1:15" x14ac:dyDescent="0.3">
      <c r="A974" s="115" t="s">
        <v>618</v>
      </c>
      <c r="B974" s="11" t="s">
        <v>38</v>
      </c>
      <c r="C974" s="30" t="s">
        <v>247</v>
      </c>
      <c r="D974" s="30" t="s">
        <v>39</v>
      </c>
      <c r="E974" s="30" t="s">
        <v>27</v>
      </c>
      <c r="F974" s="30" t="s">
        <v>41</v>
      </c>
      <c r="G974" s="30" t="s">
        <v>53</v>
      </c>
      <c r="H974" s="39">
        <v>45846</v>
      </c>
      <c r="I974" s="79">
        <v>106</v>
      </c>
      <c r="J974" s="91">
        <v>1200</v>
      </c>
      <c r="K974" s="84">
        <v>0.12</v>
      </c>
      <c r="L974" s="30" t="s">
        <v>30</v>
      </c>
      <c r="M974" s="160">
        <v>127200</v>
      </c>
      <c r="N974" s="160">
        <v>111936</v>
      </c>
      <c r="O974" s="30" t="s">
        <v>267</v>
      </c>
    </row>
    <row r="975" spans="1:15" x14ac:dyDescent="0.3">
      <c r="A975" s="115" t="s">
        <v>619</v>
      </c>
      <c r="B975" s="10" t="s">
        <v>55</v>
      </c>
      <c r="C975" s="32" t="s">
        <v>249</v>
      </c>
      <c r="D975" s="32" t="s">
        <v>39</v>
      </c>
      <c r="E975" s="32" t="s">
        <v>51</v>
      </c>
      <c r="F975" s="32" t="s">
        <v>41</v>
      </c>
      <c r="G975" s="32" t="s">
        <v>53</v>
      </c>
      <c r="H975" s="41">
        <v>45847</v>
      </c>
      <c r="I975" s="81">
        <v>323</v>
      </c>
      <c r="J975" s="93">
        <v>650</v>
      </c>
      <c r="K975" s="86">
        <v>0.15</v>
      </c>
      <c r="L975" s="32" t="s">
        <v>30</v>
      </c>
      <c r="M975" s="162">
        <v>209950</v>
      </c>
      <c r="N975" s="162">
        <v>178457.5</v>
      </c>
      <c r="O975" s="32" t="s">
        <v>267</v>
      </c>
    </row>
    <row r="976" spans="1:15" x14ac:dyDescent="0.3">
      <c r="A976" s="115" t="s">
        <v>620</v>
      </c>
      <c r="B976" s="11" t="s">
        <v>25</v>
      </c>
      <c r="C976" s="30" t="s">
        <v>257</v>
      </c>
      <c r="D976" s="30" t="s">
        <v>26</v>
      </c>
      <c r="E976" s="30" t="s">
        <v>40</v>
      </c>
      <c r="F976" s="30" t="s">
        <v>34</v>
      </c>
      <c r="G976" s="30" t="s">
        <v>53</v>
      </c>
      <c r="H976" s="39">
        <v>45847</v>
      </c>
      <c r="I976" s="79">
        <v>318</v>
      </c>
      <c r="J976" s="91">
        <v>350</v>
      </c>
      <c r="K976" s="84">
        <v>0.11</v>
      </c>
      <c r="L976" s="30" t="s">
        <v>36</v>
      </c>
      <c r="M976" s="160">
        <v>111300</v>
      </c>
      <c r="N976" s="160">
        <v>99057</v>
      </c>
      <c r="O976" s="30" t="s">
        <v>265</v>
      </c>
    </row>
    <row r="977" spans="1:15" x14ac:dyDescent="0.3">
      <c r="A977" s="115" t="s">
        <v>621</v>
      </c>
      <c r="B977" s="10" t="s">
        <v>32</v>
      </c>
      <c r="C977" s="32" t="s">
        <v>246</v>
      </c>
      <c r="D977" s="32" t="s">
        <v>26</v>
      </c>
      <c r="E977" s="32" t="s">
        <v>40</v>
      </c>
      <c r="F977" s="32" t="s">
        <v>52</v>
      </c>
      <c r="G977" s="32" t="s">
        <v>42</v>
      </c>
      <c r="H977" s="41">
        <v>45848</v>
      </c>
      <c r="I977" s="81">
        <v>404</v>
      </c>
      <c r="J977" s="93">
        <v>420</v>
      </c>
      <c r="K977" s="86">
        <v>0.03</v>
      </c>
      <c r="L977" s="32" t="s">
        <v>36</v>
      </c>
      <c r="M977" s="162">
        <v>169680</v>
      </c>
      <c r="N977" s="162">
        <v>164589.6</v>
      </c>
      <c r="O977" s="32" t="s">
        <v>267</v>
      </c>
    </row>
    <row r="978" spans="1:15" x14ac:dyDescent="0.3">
      <c r="A978" s="115" t="s">
        <v>622</v>
      </c>
      <c r="B978" s="11" t="s">
        <v>63</v>
      </c>
      <c r="C978" s="30" t="s">
        <v>253</v>
      </c>
      <c r="D978" s="30" t="s">
        <v>50</v>
      </c>
      <c r="E978" s="30" t="s">
        <v>51</v>
      </c>
      <c r="F978" s="30" t="s">
        <v>52</v>
      </c>
      <c r="G978" s="30" t="s">
        <v>42</v>
      </c>
      <c r="H978" s="39">
        <v>45850</v>
      </c>
      <c r="I978" s="79">
        <v>133</v>
      </c>
      <c r="J978" s="91">
        <v>750</v>
      </c>
      <c r="K978" s="84">
        <v>0.08</v>
      </c>
      <c r="L978" s="30" t="s">
        <v>36</v>
      </c>
      <c r="M978" s="160">
        <v>99750</v>
      </c>
      <c r="N978" s="160">
        <v>91770</v>
      </c>
      <c r="O978" s="30" t="s">
        <v>265</v>
      </c>
    </row>
    <row r="979" spans="1:15" x14ac:dyDescent="0.3">
      <c r="A979" s="115" t="s">
        <v>623</v>
      </c>
      <c r="B979" s="10" t="s">
        <v>262</v>
      </c>
      <c r="C979" s="32" t="s">
        <v>263</v>
      </c>
      <c r="D979" s="32" t="s">
        <v>50</v>
      </c>
      <c r="E979" s="32" t="s">
        <v>51</v>
      </c>
      <c r="F979" s="32" t="s">
        <v>52</v>
      </c>
      <c r="G979" s="32" t="s">
        <v>56</v>
      </c>
      <c r="H979" s="41">
        <v>45851</v>
      </c>
      <c r="I979" s="81">
        <v>62</v>
      </c>
      <c r="J979" s="93">
        <v>820</v>
      </c>
      <c r="K979" s="86">
        <v>0.1</v>
      </c>
      <c r="L979" s="32" t="s">
        <v>36</v>
      </c>
      <c r="M979" s="162">
        <v>50840</v>
      </c>
      <c r="N979" s="162">
        <v>45756</v>
      </c>
      <c r="O979" s="32" t="s">
        <v>265</v>
      </c>
    </row>
    <row r="980" spans="1:15" x14ac:dyDescent="0.3">
      <c r="A980" s="115" t="s">
        <v>624</v>
      </c>
      <c r="B980" s="11" t="s">
        <v>55</v>
      </c>
      <c r="C980" s="30" t="s">
        <v>249</v>
      </c>
      <c r="D980" s="30" t="s">
        <v>39</v>
      </c>
      <c r="E980" s="30" t="s">
        <v>33</v>
      </c>
      <c r="F980" s="30" t="s">
        <v>34</v>
      </c>
      <c r="G980" s="30" t="s">
        <v>42</v>
      </c>
      <c r="H980" s="39">
        <v>45851</v>
      </c>
      <c r="I980" s="79">
        <v>446</v>
      </c>
      <c r="J980" s="91">
        <v>650</v>
      </c>
      <c r="K980" s="84">
        <v>0.05</v>
      </c>
      <c r="L980" s="30" t="s">
        <v>36</v>
      </c>
      <c r="M980" s="160">
        <v>289900</v>
      </c>
      <c r="N980" s="160">
        <v>275405</v>
      </c>
      <c r="O980" s="30" t="s">
        <v>267</v>
      </c>
    </row>
    <row r="981" spans="1:15" x14ac:dyDescent="0.3">
      <c r="A981" s="115" t="s">
        <v>625</v>
      </c>
      <c r="B981" s="10" t="s">
        <v>58</v>
      </c>
      <c r="C981" s="32" t="s">
        <v>255</v>
      </c>
      <c r="D981" s="32" t="s">
        <v>59</v>
      </c>
      <c r="E981" s="32" t="s">
        <v>40</v>
      </c>
      <c r="F981" s="32" t="s">
        <v>41</v>
      </c>
      <c r="G981" s="32" t="s">
        <v>35</v>
      </c>
      <c r="H981" s="41">
        <v>45853</v>
      </c>
      <c r="I981" s="81">
        <v>35</v>
      </c>
      <c r="J981" s="93">
        <v>2800</v>
      </c>
      <c r="K981" s="86">
        <v>0</v>
      </c>
      <c r="L981" s="32" t="s">
        <v>30</v>
      </c>
      <c r="M981" s="162">
        <v>98000</v>
      </c>
      <c r="N981" s="162">
        <v>98000</v>
      </c>
      <c r="O981" s="32" t="s">
        <v>265</v>
      </c>
    </row>
    <row r="982" spans="1:15" x14ac:dyDescent="0.3">
      <c r="A982" s="115" t="s">
        <v>626</v>
      </c>
      <c r="B982" s="11" t="s">
        <v>58</v>
      </c>
      <c r="C982" s="30" t="s">
        <v>255</v>
      </c>
      <c r="D982" s="30" t="s">
        <v>59</v>
      </c>
      <c r="E982" s="30" t="s">
        <v>45</v>
      </c>
      <c r="F982" s="30" t="s">
        <v>52</v>
      </c>
      <c r="G982" s="30" t="s">
        <v>53</v>
      </c>
      <c r="H982" s="39">
        <v>45854</v>
      </c>
      <c r="I982" s="79">
        <v>254</v>
      </c>
      <c r="J982" s="91">
        <v>2800</v>
      </c>
      <c r="K982" s="84">
        <v>0.13</v>
      </c>
      <c r="L982" s="30" t="s">
        <v>36</v>
      </c>
      <c r="M982" s="160">
        <v>711200</v>
      </c>
      <c r="N982" s="160">
        <v>618744</v>
      </c>
      <c r="O982" s="30" t="s">
        <v>277</v>
      </c>
    </row>
    <row r="983" spans="1:15" x14ac:dyDescent="0.3">
      <c r="A983" s="115" t="s">
        <v>627</v>
      </c>
      <c r="B983" s="10" t="s">
        <v>25</v>
      </c>
      <c r="C983" s="32" t="s">
        <v>257</v>
      </c>
      <c r="D983" s="32" t="s">
        <v>26</v>
      </c>
      <c r="E983" s="32" t="s">
        <v>51</v>
      </c>
      <c r="F983" s="32" t="s">
        <v>46</v>
      </c>
      <c r="G983" s="32" t="s">
        <v>53</v>
      </c>
      <c r="H983" s="41">
        <v>45855</v>
      </c>
      <c r="I983" s="81">
        <v>404</v>
      </c>
      <c r="J983" s="93">
        <v>350</v>
      </c>
      <c r="K983" s="86">
        <v>0.12</v>
      </c>
      <c r="L983" s="32" t="s">
        <v>30</v>
      </c>
      <c r="M983" s="162">
        <v>141400</v>
      </c>
      <c r="N983" s="162">
        <v>124432</v>
      </c>
      <c r="O983" s="32" t="s">
        <v>267</v>
      </c>
    </row>
    <row r="984" spans="1:15" x14ac:dyDescent="0.3">
      <c r="A984" s="115" t="s">
        <v>628</v>
      </c>
      <c r="B984" s="11" t="s">
        <v>58</v>
      </c>
      <c r="C984" s="30" t="s">
        <v>255</v>
      </c>
      <c r="D984" s="30" t="s">
        <v>59</v>
      </c>
      <c r="E984" s="30" t="s">
        <v>45</v>
      </c>
      <c r="F984" s="30" t="s">
        <v>52</v>
      </c>
      <c r="G984" s="30" t="s">
        <v>47</v>
      </c>
      <c r="H984" s="39">
        <v>45856</v>
      </c>
      <c r="I984" s="79">
        <v>308</v>
      </c>
      <c r="J984" s="91">
        <v>2800</v>
      </c>
      <c r="K984" s="84">
        <v>7.0000000000000007E-2</v>
      </c>
      <c r="L984" s="30" t="s">
        <v>36</v>
      </c>
      <c r="M984" s="160">
        <v>862400</v>
      </c>
      <c r="N984" s="160">
        <v>802032</v>
      </c>
      <c r="O984" s="30" t="s">
        <v>277</v>
      </c>
    </row>
    <row r="985" spans="1:15" x14ac:dyDescent="0.3">
      <c r="A985" s="115" t="s">
        <v>629</v>
      </c>
      <c r="B985" s="10" t="s">
        <v>38</v>
      </c>
      <c r="C985" s="32" t="s">
        <v>247</v>
      </c>
      <c r="D985" s="32" t="s">
        <v>39</v>
      </c>
      <c r="E985" s="32" t="s">
        <v>51</v>
      </c>
      <c r="F985" s="32" t="s">
        <v>28</v>
      </c>
      <c r="G985" s="32" t="s">
        <v>56</v>
      </c>
      <c r="H985" s="41">
        <v>45856</v>
      </c>
      <c r="I985" s="81">
        <v>104</v>
      </c>
      <c r="J985" s="93">
        <v>1200</v>
      </c>
      <c r="K985" s="86">
        <v>0</v>
      </c>
      <c r="L985" s="32" t="s">
        <v>36</v>
      </c>
      <c r="M985" s="162">
        <v>124800</v>
      </c>
      <c r="N985" s="162">
        <v>124800</v>
      </c>
      <c r="O985" s="32" t="s">
        <v>267</v>
      </c>
    </row>
    <row r="986" spans="1:15" x14ac:dyDescent="0.3">
      <c r="A986" s="115" t="s">
        <v>630</v>
      </c>
      <c r="B986" s="11" t="s">
        <v>16</v>
      </c>
      <c r="C986" s="30" t="s">
        <v>250</v>
      </c>
      <c r="D986" s="30" t="s">
        <v>39</v>
      </c>
      <c r="E986" s="30" t="s">
        <v>45</v>
      </c>
      <c r="F986" s="30" t="s">
        <v>46</v>
      </c>
      <c r="G986" s="30" t="s">
        <v>42</v>
      </c>
      <c r="H986" s="39">
        <v>45856</v>
      </c>
      <c r="I986" s="79">
        <v>354</v>
      </c>
      <c r="J986" s="91">
        <v>990</v>
      </c>
      <c r="K986" s="84">
        <v>7.0000000000000007E-2</v>
      </c>
      <c r="L986" s="30" t="s">
        <v>36</v>
      </c>
      <c r="M986" s="160">
        <v>350460</v>
      </c>
      <c r="N986" s="160">
        <v>325927.8</v>
      </c>
      <c r="O986" s="30" t="s">
        <v>267</v>
      </c>
    </row>
    <row r="987" spans="1:15" x14ac:dyDescent="0.3">
      <c r="A987" s="115" t="s">
        <v>631</v>
      </c>
      <c r="B987" s="10" t="s">
        <v>63</v>
      </c>
      <c r="C987" s="32" t="s">
        <v>253</v>
      </c>
      <c r="D987" s="32" t="s">
        <v>50</v>
      </c>
      <c r="E987" s="32" t="s">
        <v>33</v>
      </c>
      <c r="F987" s="32" t="s">
        <v>46</v>
      </c>
      <c r="G987" s="32" t="s">
        <v>53</v>
      </c>
      <c r="H987" s="41">
        <v>45857</v>
      </c>
      <c r="I987" s="81">
        <v>338</v>
      </c>
      <c r="J987" s="93">
        <v>750</v>
      </c>
      <c r="K987" s="86">
        <v>0.03</v>
      </c>
      <c r="L987" s="32" t="s">
        <v>36</v>
      </c>
      <c r="M987" s="162">
        <v>253500</v>
      </c>
      <c r="N987" s="162">
        <v>245895</v>
      </c>
      <c r="O987" s="32" t="s">
        <v>267</v>
      </c>
    </row>
    <row r="988" spans="1:15" x14ac:dyDescent="0.3">
      <c r="A988" s="115" t="s">
        <v>632</v>
      </c>
      <c r="B988" s="11" t="s">
        <v>61</v>
      </c>
      <c r="C988" s="30" t="s">
        <v>244</v>
      </c>
      <c r="D988" s="30" t="s">
        <v>26</v>
      </c>
      <c r="E988" s="30" t="s">
        <v>40</v>
      </c>
      <c r="F988" s="30" t="s">
        <v>34</v>
      </c>
      <c r="G988" s="30" t="s">
        <v>29</v>
      </c>
      <c r="H988" s="39">
        <v>45857</v>
      </c>
      <c r="I988" s="79">
        <v>116</v>
      </c>
      <c r="J988" s="91">
        <v>280</v>
      </c>
      <c r="K988" s="84">
        <v>0.14000000000000001</v>
      </c>
      <c r="L988" s="30" t="s">
        <v>36</v>
      </c>
      <c r="M988" s="160">
        <v>32480</v>
      </c>
      <c r="N988" s="160">
        <v>27932.799999999999</v>
      </c>
      <c r="O988" s="30" t="s">
        <v>265</v>
      </c>
    </row>
    <row r="989" spans="1:15" x14ac:dyDescent="0.3">
      <c r="A989" s="115" t="s">
        <v>633</v>
      </c>
      <c r="B989" s="10" t="s">
        <v>63</v>
      </c>
      <c r="C989" s="32" t="s">
        <v>253</v>
      </c>
      <c r="D989" s="32" t="s">
        <v>50</v>
      </c>
      <c r="E989" s="32" t="s">
        <v>27</v>
      </c>
      <c r="F989" s="32" t="s">
        <v>52</v>
      </c>
      <c r="G989" s="32" t="s">
        <v>42</v>
      </c>
      <c r="H989" s="41">
        <v>45857</v>
      </c>
      <c r="I989" s="81">
        <v>58</v>
      </c>
      <c r="J989" s="93">
        <v>750</v>
      </c>
      <c r="K989" s="86">
        <v>0.13</v>
      </c>
      <c r="L989" s="32" t="s">
        <v>36</v>
      </c>
      <c r="M989" s="162">
        <v>43500</v>
      </c>
      <c r="N989" s="162">
        <v>37845</v>
      </c>
      <c r="O989" s="32" t="s">
        <v>265</v>
      </c>
    </row>
    <row r="990" spans="1:15" x14ac:dyDescent="0.3">
      <c r="A990" s="115" t="s">
        <v>634</v>
      </c>
      <c r="B990" s="11" t="s">
        <v>49</v>
      </c>
      <c r="C990" s="30" t="s">
        <v>251</v>
      </c>
      <c r="D990" s="30" t="s">
        <v>50</v>
      </c>
      <c r="E990" s="30" t="s">
        <v>51</v>
      </c>
      <c r="F990" s="30" t="s">
        <v>28</v>
      </c>
      <c r="G990" s="30" t="s">
        <v>53</v>
      </c>
      <c r="H990" s="39">
        <v>45858</v>
      </c>
      <c r="I990" s="79">
        <v>400</v>
      </c>
      <c r="J990" s="91">
        <v>895</v>
      </c>
      <c r="K990" s="84">
        <v>0</v>
      </c>
      <c r="L990" s="30" t="s">
        <v>36</v>
      </c>
      <c r="M990" s="160">
        <v>358000</v>
      </c>
      <c r="N990" s="160">
        <v>358000</v>
      </c>
      <c r="O990" s="30" t="s">
        <v>277</v>
      </c>
    </row>
    <row r="991" spans="1:15" x14ac:dyDescent="0.3">
      <c r="A991" s="115" t="s">
        <v>635</v>
      </c>
      <c r="B991" s="10" t="s">
        <v>44</v>
      </c>
      <c r="C991" s="32" t="s">
        <v>254</v>
      </c>
      <c r="D991" s="32" t="s">
        <v>39</v>
      </c>
      <c r="E991" s="32" t="s">
        <v>33</v>
      </c>
      <c r="F991" s="32" t="s">
        <v>28</v>
      </c>
      <c r="G991" s="32" t="s">
        <v>35</v>
      </c>
      <c r="H991" s="41">
        <v>45859</v>
      </c>
      <c r="I991" s="81">
        <v>182</v>
      </c>
      <c r="J991" s="93">
        <v>200</v>
      </c>
      <c r="K991" s="86">
        <v>0</v>
      </c>
      <c r="L991" s="32" t="s">
        <v>36</v>
      </c>
      <c r="M991" s="162">
        <v>36400</v>
      </c>
      <c r="N991" s="162">
        <v>36400</v>
      </c>
      <c r="O991" s="32" t="s">
        <v>265</v>
      </c>
    </row>
    <row r="992" spans="1:15" x14ac:dyDescent="0.3">
      <c r="A992" s="115" t="s">
        <v>636</v>
      </c>
      <c r="B992" s="11" t="s">
        <v>38</v>
      </c>
      <c r="C992" s="30" t="s">
        <v>247</v>
      </c>
      <c r="D992" s="30" t="s">
        <v>39</v>
      </c>
      <c r="E992" s="30" t="s">
        <v>33</v>
      </c>
      <c r="F992" s="30" t="s">
        <v>34</v>
      </c>
      <c r="G992" s="30" t="s">
        <v>53</v>
      </c>
      <c r="H992" s="39">
        <v>45859</v>
      </c>
      <c r="I992" s="79">
        <v>118</v>
      </c>
      <c r="J992" s="91">
        <v>1200</v>
      </c>
      <c r="K992" s="84">
        <v>0.15</v>
      </c>
      <c r="L992" s="30" t="s">
        <v>36</v>
      </c>
      <c r="M992" s="160">
        <v>141600</v>
      </c>
      <c r="N992" s="160">
        <v>120360</v>
      </c>
      <c r="O992" s="30" t="s">
        <v>267</v>
      </c>
    </row>
    <row r="993" spans="1:15" x14ac:dyDescent="0.3">
      <c r="A993" s="115" t="s">
        <v>637</v>
      </c>
      <c r="B993" s="10" t="s">
        <v>25</v>
      </c>
      <c r="C993" s="32" t="s">
        <v>257</v>
      </c>
      <c r="D993" s="32" t="s">
        <v>26</v>
      </c>
      <c r="E993" s="32" t="s">
        <v>40</v>
      </c>
      <c r="F993" s="32" t="s">
        <v>46</v>
      </c>
      <c r="G993" s="32" t="s">
        <v>53</v>
      </c>
      <c r="H993" s="41">
        <v>45861</v>
      </c>
      <c r="I993" s="81">
        <v>435</v>
      </c>
      <c r="J993" s="93">
        <v>350</v>
      </c>
      <c r="K993" s="86">
        <v>0</v>
      </c>
      <c r="L993" s="32" t="s">
        <v>36</v>
      </c>
      <c r="M993" s="162">
        <v>152250</v>
      </c>
      <c r="N993" s="162">
        <v>152250</v>
      </c>
      <c r="O993" s="32" t="s">
        <v>267</v>
      </c>
    </row>
    <row r="994" spans="1:15" x14ac:dyDescent="0.3">
      <c r="A994" s="115" t="s">
        <v>638</v>
      </c>
      <c r="B994" s="11" t="s">
        <v>58</v>
      </c>
      <c r="C994" s="30" t="s">
        <v>255</v>
      </c>
      <c r="D994" s="30" t="s">
        <v>59</v>
      </c>
      <c r="E994" s="30" t="s">
        <v>40</v>
      </c>
      <c r="F994" s="30" t="s">
        <v>52</v>
      </c>
      <c r="G994" s="30" t="s">
        <v>56</v>
      </c>
      <c r="H994" s="39">
        <v>45862</v>
      </c>
      <c r="I994" s="79">
        <v>185</v>
      </c>
      <c r="J994" s="91">
        <v>2800</v>
      </c>
      <c r="K994" s="84">
        <v>0.05</v>
      </c>
      <c r="L994" s="30" t="s">
        <v>30</v>
      </c>
      <c r="M994" s="160">
        <v>518000</v>
      </c>
      <c r="N994" s="160">
        <v>492100</v>
      </c>
      <c r="O994" s="30" t="s">
        <v>277</v>
      </c>
    </row>
    <row r="995" spans="1:15" x14ac:dyDescent="0.3">
      <c r="A995" s="115" t="s">
        <v>639</v>
      </c>
      <c r="B995" s="10" t="s">
        <v>32</v>
      </c>
      <c r="C995" s="32" t="s">
        <v>246</v>
      </c>
      <c r="D995" s="32" t="s">
        <v>26</v>
      </c>
      <c r="E995" s="32" t="s">
        <v>51</v>
      </c>
      <c r="F995" s="32" t="s">
        <v>28</v>
      </c>
      <c r="G995" s="32" t="s">
        <v>56</v>
      </c>
      <c r="H995" s="41">
        <v>45862</v>
      </c>
      <c r="I995" s="81">
        <v>384</v>
      </c>
      <c r="J995" s="93">
        <v>420</v>
      </c>
      <c r="K995" s="86">
        <v>0.1</v>
      </c>
      <c r="L995" s="32" t="s">
        <v>30</v>
      </c>
      <c r="M995" s="162">
        <v>161280</v>
      </c>
      <c r="N995" s="162">
        <v>145152</v>
      </c>
      <c r="O995" s="32" t="s">
        <v>267</v>
      </c>
    </row>
    <row r="996" spans="1:15" x14ac:dyDescent="0.3">
      <c r="A996" s="115" t="s">
        <v>640</v>
      </c>
      <c r="B996" s="11" t="s">
        <v>16</v>
      </c>
      <c r="C996" s="30" t="s">
        <v>250</v>
      </c>
      <c r="D996" s="30" t="s">
        <v>39</v>
      </c>
      <c r="E996" s="30" t="s">
        <v>51</v>
      </c>
      <c r="F996" s="30" t="s">
        <v>52</v>
      </c>
      <c r="G996" s="30" t="s">
        <v>56</v>
      </c>
      <c r="H996" s="39">
        <v>45867</v>
      </c>
      <c r="I996" s="79">
        <v>217</v>
      </c>
      <c r="J996" s="91">
        <v>990</v>
      </c>
      <c r="K996" s="84">
        <v>0.15</v>
      </c>
      <c r="L996" s="30" t="s">
        <v>36</v>
      </c>
      <c r="M996" s="160">
        <v>214830</v>
      </c>
      <c r="N996" s="160">
        <v>182605.5</v>
      </c>
      <c r="O996" s="30" t="s">
        <v>267</v>
      </c>
    </row>
    <row r="997" spans="1:15" x14ac:dyDescent="0.3">
      <c r="A997" s="115" t="s">
        <v>641</v>
      </c>
      <c r="B997" s="10" t="s">
        <v>16</v>
      </c>
      <c r="C997" s="32" t="s">
        <v>250</v>
      </c>
      <c r="D997" s="32" t="s">
        <v>39</v>
      </c>
      <c r="E997" s="32" t="s">
        <v>40</v>
      </c>
      <c r="F997" s="32" t="s">
        <v>28</v>
      </c>
      <c r="G997" s="32" t="s">
        <v>35</v>
      </c>
      <c r="H997" s="41">
        <v>45869</v>
      </c>
      <c r="I997" s="81">
        <v>148</v>
      </c>
      <c r="J997" s="93">
        <v>990</v>
      </c>
      <c r="K997" s="86">
        <v>0</v>
      </c>
      <c r="L997" s="32" t="s">
        <v>30</v>
      </c>
      <c r="M997" s="162">
        <v>146520</v>
      </c>
      <c r="N997" s="162">
        <v>146520</v>
      </c>
      <c r="O997" s="32" t="s">
        <v>267</v>
      </c>
    </row>
    <row r="998" spans="1:15" x14ac:dyDescent="0.3">
      <c r="A998" s="115" t="s">
        <v>642</v>
      </c>
      <c r="B998" s="11" t="s">
        <v>58</v>
      </c>
      <c r="C998" s="30" t="s">
        <v>255</v>
      </c>
      <c r="D998" s="30" t="s">
        <v>59</v>
      </c>
      <c r="E998" s="30" t="s">
        <v>27</v>
      </c>
      <c r="F998" s="30" t="s">
        <v>52</v>
      </c>
      <c r="G998" s="30" t="s">
        <v>42</v>
      </c>
      <c r="H998" s="39">
        <v>45871</v>
      </c>
      <c r="I998" s="79">
        <v>255</v>
      </c>
      <c r="J998" s="91">
        <v>2800</v>
      </c>
      <c r="K998" s="84">
        <v>0.08</v>
      </c>
      <c r="L998" s="30" t="s">
        <v>30</v>
      </c>
      <c r="M998" s="160">
        <v>714000</v>
      </c>
      <c r="N998" s="160">
        <v>656880</v>
      </c>
      <c r="O998" s="30" t="s">
        <v>277</v>
      </c>
    </row>
    <row r="999" spans="1:15" x14ac:dyDescent="0.3">
      <c r="A999" s="115" t="s">
        <v>643</v>
      </c>
      <c r="B999" s="10" t="s">
        <v>63</v>
      </c>
      <c r="C999" s="32" t="s">
        <v>253</v>
      </c>
      <c r="D999" s="32" t="s">
        <v>50</v>
      </c>
      <c r="E999" s="32" t="s">
        <v>40</v>
      </c>
      <c r="F999" s="32" t="s">
        <v>28</v>
      </c>
      <c r="G999" s="32" t="s">
        <v>56</v>
      </c>
      <c r="H999" s="41">
        <v>45872</v>
      </c>
      <c r="I999" s="81">
        <v>273</v>
      </c>
      <c r="J999" s="93">
        <v>750</v>
      </c>
      <c r="K999" s="86">
        <v>0.14000000000000001</v>
      </c>
      <c r="L999" s="32" t="s">
        <v>36</v>
      </c>
      <c r="M999" s="162">
        <v>204750</v>
      </c>
      <c r="N999" s="162">
        <v>176085</v>
      </c>
      <c r="O999" s="32" t="s">
        <v>267</v>
      </c>
    </row>
    <row r="1000" spans="1:15" x14ac:dyDescent="0.3">
      <c r="A1000" s="115" t="s">
        <v>644</v>
      </c>
      <c r="B1000" s="11" t="s">
        <v>58</v>
      </c>
      <c r="C1000" s="30" t="s">
        <v>255</v>
      </c>
      <c r="D1000" s="30" t="s">
        <v>59</v>
      </c>
      <c r="E1000" s="30" t="s">
        <v>51</v>
      </c>
      <c r="F1000" s="30" t="s">
        <v>34</v>
      </c>
      <c r="G1000" s="30" t="s">
        <v>29</v>
      </c>
      <c r="H1000" s="39">
        <v>45872</v>
      </c>
      <c r="I1000" s="79">
        <v>332</v>
      </c>
      <c r="J1000" s="91">
        <v>2800</v>
      </c>
      <c r="K1000" s="84">
        <v>7.0000000000000007E-2</v>
      </c>
      <c r="L1000" s="30" t="s">
        <v>36</v>
      </c>
      <c r="M1000" s="160">
        <v>929600</v>
      </c>
      <c r="N1000" s="160">
        <v>864528</v>
      </c>
      <c r="O1000" s="30" t="s">
        <v>277</v>
      </c>
    </row>
    <row r="1001" spans="1:15" x14ac:dyDescent="0.3">
      <c r="A1001" s="115" t="s">
        <v>645</v>
      </c>
      <c r="B1001" s="10" t="s">
        <v>262</v>
      </c>
      <c r="C1001" s="32" t="s">
        <v>263</v>
      </c>
      <c r="D1001" s="32" t="s">
        <v>50</v>
      </c>
      <c r="E1001" s="32" t="s">
        <v>33</v>
      </c>
      <c r="F1001" s="32" t="s">
        <v>46</v>
      </c>
      <c r="G1001" s="32" t="s">
        <v>42</v>
      </c>
      <c r="H1001" s="41">
        <v>45872</v>
      </c>
      <c r="I1001" s="81">
        <v>342</v>
      </c>
      <c r="J1001" s="93">
        <v>820</v>
      </c>
      <c r="K1001" s="86">
        <v>0</v>
      </c>
      <c r="L1001" s="32" t="s">
        <v>36</v>
      </c>
      <c r="M1001" s="162">
        <v>280440</v>
      </c>
      <c r="N1001" s="162">
        <v>280440</v>
      </c>
      <c r="O1001" s="32" t="s">
        <v>267</v>
      </c>
    </row>
    <row r="1002" spans="1:15" x14ac:dyDescent="0.3">
      <c r="A1002" s="115" t="s">
        <v>646</v>
      </c>
      <c r="B1002" s="11" t="s">
        <v>32</v>
      </c>
      <c r="C1002" s="30" t="s">
        <v>246</v>
      </c>
      <c r="D1002" s="30" t="s">
        <v>26</v>
      </c>
      <c r="E1002" s="30" t="s">
        <v>51</v>
      </c>
      <c r="F1002" s="30" t="s">
        <v>52</v>
      </c>
      <c r="G1002" s="30" t="s">
        <v>29</v>
      </c>
      <c r="H1002" s="39">
        <v>45873</v>
      </c>
      <c r="I1002" s="79">
        <v>287</v>
      </c>
      <c r="J1002" s="91">
        <v>420</v>
      </c>
      <c r="K1002" s="84">
        <v>0.14000000000000001</v>
      </c>
      <c r="L1002" s="30" t="s">
        <v>36</v>
      </c>
      <c r="M1002" s="160">
        <v>120540</v>
      </c>
      <c r="N1002" s="160">
        <v>103664.4</v>
      </c>
      <c r="O1002" s="30" t="s">
        <v>267</v>
      </c>
    </row>
    <row r="1003" spans="1:15" x14ac:dyDescent="0.3">
      <c r="A1003" s="115" t="s">
        <v>647</v>
      </c>
      <c r="B1003" s="10" t="s">
        <v>61</v>
      </c>
      <c r="C1003" s="32" t="s">
        <v>244</v>
      </c>
      <c r="D1003" s="32" t="s">
        <v>26</v>
      </c>
      <c r="E1003" s="32" t="s">
        <v>51</v>
      </c>
      <c r="F1003" s="32" t="s">
        <v>52</v>
      </c>
      <c r="G1003" s="32" t="s">
        <v>56</v>
      </c>
      <c r="H1003" s="41">
        <v>45874</v>
      </c>
      <c r="I1003" s="81">
        <v>462</v>
      </c>
      <c r="J1003" s="93">
        <v>280</v>
      </c>
      <c r="K1003" s="86">
        <v>0.15</v>
      </c>
      <c r="L1003" s="32" t="s">
        <v>36</v>
      </c>
      <c r="M1003" s="162">
        <v>129360</v>
      </c>
      <c r="N1003" s="162">
        <v>109956</v>
      </c>
      <c r="O1003" s="32" t="s">
        <v>267</v>
      </c>
    </row>
    <row r="1004" spans="1:15" x14ac:dyDescent="0.3">
      <c r="A1004" s="115" t="s">
        <v>648</v>
      </c>
      <c r="B1004" s="11" t="s">
        <v>38</v>
      </c>
      <c r="C1004" s="30" t="s">
        <v>247</v>
      </c>
      <c r="D1004" s="30" t="s">
        <v>39</v>
      </c>
      <c r="E1004" s="30" t="s">
        <v>40</v>
      </c>
      <c r="F1004" s="30" t="s">
        <v>46</v>
      </c>
      <c r="G1004" s="30" t="s">
        <v>56</v>
      </c>
      <c r="H1004" s="39">
        <v>45874</v>
      </c>
      <c r="I1004" s="79">
        <v>175</v>
      </c>
      <c r="J1004" s="91">
        <v>1200</v>
      </c>
      <c r="K1004" s="84">
        <v>0.12</v>
      </c>
      <c r="L1004" s="30" t="s">
        <v>30</v>
      </c>
      <c r="M1004" s="160">
        <v>210000</v>
      </c>
      <c r="N1004" s="160">
        <v>184800</v>
      </c>
      <c r="O1004" s="30" t="s">
        <v>267</v>
      </c>
    </row>
    <row r="1005" spans="1:15" x14ac:dyDescent="0.3">
      <c r="A1005" s="115" t="s">
        <v>649</v>
      </c>
      <c r="B1005" s="10" t="s">
        <v>49</v>
      </c>
      <c r="C1005" s="32" t="s">
        <v>251</v>
      </c>
      <c r="D1005" s="32" t="s">
        <v>50</v>
      </c>
      <c r="E1005" s="32" t="s">
        <v>40</v>
      </c>
      <c r="F1005" s="32" t="s">
        <v>46</v>
      </c>
      <c r="G1005" s="32" t="s">
        <v>29</v>
      </c>
      <c r="H1005" s="41">
        <v>45876</v>
      </c>
      <c r="I1005" s="81">
        <v>261</v>
      </c>
      <c r="J1005" s="93">
        <v>895</v>
      </c>
      <c r="K1005" s="86">
        <v>0.03</v>
      </c>
      <c r="L1005" s="32" t="s">
        <v>36</v>
      </c>
      <c r="M1005" s="162">
        <v>233595</v>
      </c>
      <c r="N1005" s="162">
        <v>226587.15</v>
      </c>
      <c r="O1005" s="32" t="s">
        <v>267</v>
      </c>
    </row>
    <row r="1006" spans="1:15" x14ac:dyDescent="0.3">
      <c r="A1006" s="115" t="s">
        <v>650</v>
      </c>
      <c r="B1006" s="11" t="s">
        <v>32</v>
      </c>
      <c r="C1006" s="30" t="s">
        <v>246</v>
      </c>
      <c r="D1006" s="30" t="s">
        <v>26</v>
      </c>
      <c r="E1006" s="30" t="s">
        <v>51</v>
      </c>
      <c r="F1006" s="30" t="s">
        <v>34</v>
      </c>
      <c r="G1006" s="30" t="s">
        <v>53</v>
      </c>
      <c r="H1006" s="39">
        <v>45878</v>
      </c>
      <c r="I1006" s="79">
        <v>397</v>
      </c>
      <c r="J1006" s="91">
        <v>420</v>
      </c>
      <c r="K1006" s="84">
        <v>0.14000000000000001</v>
      </c>
      <c r="L1006" s="30" t="s">
        <v>36</v>
      </c>
      <c r="M1006" s="160">
        <v>166740</v>
      </c>
      <c r="N1006" s="160">
        <v>143396.4</v>
      </c>
      <c r="O1006" s="30" t="s">
        <v>267</v>
      </c>
    </row>
    <row r="1007" spans="1:15" x14ac:dyDescent="0.3">
      <c r="A1007" s="115" t="s">
        <v>651</v>
      </c>
      <c r="B1007" s="10" t="s">
        <v>61</v>
      </c>
      <c r="C1007" s="32" t="s">
        <v>244</v>
      </c>
      <c r="D1007" s="32" t="s">
        <v>26</v>
      </c>
      <c r="E1007" s="32" t="s">
        <v>45</v>
      </c>
      <c r="F1007" s="32" t="s">
        <v>34</v>
      </c>
      <c r="G1007" s="32" t="s">
        <v>53</v>
      </c>
      <c r="H1007" s="41">
        <v>45878</v>
      </c>
      <c r="I1007" s="81">
        <v>161</v>
      </c>
      <c r="J1007" s="93">
        <v>280</v>
      </c>
      <c r="K1007" s="86">
        <v>0.08</v>
      </c>
      <c r="L1007" s="32" t="s">
        <v>36</v>
      </c>
      <c r="M1007" s="162">
        <v>45080</v>
      </c>
      <c r="N1007" s="162">
        <v>41473.599999999999</v>
      </c>
      <c r="O1007" s="32" t="s">
        <v>265</v>
      </c>
    </row>
    <row r="1008" spans="1:15" x14ac:dyDescent="0.3">
      <c r="A1008" s="115" t="s">
        <v>652</v>
      </c>
      <c r="B1008" s="11" t="s">
        <v>49</v>
      </c>
      <c r="C1008" s="30" t="s">
        <v>251</v>
      </c>
      <c r="D1008" s="30" t="s">
        <v>50</v>
      </c>
      <c r="E1008" s="30" t="s">
        <v>40</v>
      </c>
      <c r="F1008" s="30" t="s">
        <v>46</v>
      </c>
      <c r="G1008" s="30" t="s">
        <v>29</v>
      </c>
      <c r="H1008" s="39">
        <v>45878</v>
      </c>
      <c r="I1008" s="79">
        <v>73</v>
      </c>
      <c r="J1008" s="91">
        <v>895</v>
      </c>
      <c r="K1008" s="84">
        <v>0.15</v>
      </c>
      <c r="L1008" s="30" t="s">
        <v>30</v>
      </c>
      <c r="M1008" s="160">
        <v>65335</v>
      </c>
      <c r="N1008" s="160">
        <v>55534.75</v>
      </c>
      <c r="O1008" s="30" t="s">
        <v>265</v>
      </c>
    </row>
    <row r="1009" spans="1:15" x14ac:dyDescent="0.3">
      <c r="A1009" s="115" t="s">
        <v>653</v>
      </c>
      <c r="B1009" s="10" t="s">
        <v>49</v>
      </c>
      <c r="C1009" s="32" t="s">
        <v>251</v>
      </c>
      <c r="D1009" s="32" t="s">
        <v>50</v>
      </c>
      <c r="E1009" s="32" t="s">
        <v>51</v>
      </c>
      <c r="F1009" s="32" t="s">
        <v>41</v>
      </c>
      <c r="G1009" s="32" t="s">
        <v>29</v>
      </c>
      <c r="H1009" s="41">
        <v>45879</v>
      </c>
      <c r="I1009" s="81">
        <v>145</v>
      </c>
      <c r="J1009" s="93">
        <v>895</v>
      </c>
      <c r="K1009" s="86">
        <v>0.03</v>
      </c>
      <c r="L1009" s="32" t="s">
        <v>36</v>
      </c>
      <c r="M1009" s="162">
        <v>129775</v>
      </c>
      <c r="N1009" s="162">
        <v>125881.75</v>
      </c>
      <c r="O1009" s="32" t="s">
        <v>267</v>
      </c>
    </row>
    <row r="1010" spans="1:15" x14ac:dyDescent="0.3">
      <c r="A1010" s="115" t="s">
        <v>654</v>
      </c>
      <c r="B1010" s="11" t="s">
        <v>55</v>
      </c>
      <c r="C1010" s="30" t="s">
        <v>249</v>
      </c>
      <c r="D1010" s="30" t="s">
        <v>39</v>
      </c>
      <c r="E1010" s="30" t="s">
        <v>27</v>
      </c>
      <c r="F1010" s="30" t="s">
        <v>28</v>
      </c>
      <c r="G1010" s="30" t="s">
        <v>42</v>
      </c>
      <c r="H1010" s="39">
        <v>45879</v>
      </c>
      <c r="I1010" s="79">
        <v>291</v>
      </c>
      <c r="J1010" s="91">
        <v>650</v>
      </c>
      <c r="K1010" s="84">
        <v>0.11</v>
      </c>
      <c r="L1010" s="30" t="s">
        <v>30</v>
      </c>
      <c r="M1010" s="160">
        <v>189150</v>
      </c>
      <c r="N1010" s="160">
        <v>168343.5</v>
      </c>
      <c r="O1010" s="30" t="s">
        <v>267</v>
      </c>
    </row>
    <row r="1011" spans="1:15" x14ac:dyDescent="0.3">
      <c r="A1011" s="115" t="s">
        <v>655</v>
      </c>
      <c r="B1011" s="10" t="s">
        <v>260</v>
      </c>
      <c r="C1011" s="32" t="s">
        <v>261</v>
      </c>
      <c r="D1011" s="32" t="s">
        <v>39</v>
      </c>
      <c r="E1011" s="32" t="s">
        <v>45</v>
      </c>
      <c r="F1011" s="32" t="s">
        <v>28</v>
      </c>
      <c r="G1011" s="32" t="s">
        <v>35</v>
      </c>
      <c r="H1011" s="41">
        <v>45879</v>
      </c>
      <c r="I1011" s="81">
        <v>330</v>
      </c>
      <c r="J1011" s="93">
        <v>450</v>
      </c>
      <c r="K1011" s="86">
        <v>0</v>
      </c>
      <c r="L1011" s="32" t="s">
        <v>36</v>
      </c>
      <c r="M1011" s="162">
        <v>148500</v>
      </c>
      <c r="N1011" s="162">
        <v>148500</v>
      </c>
      <c r="O1011" s="32" t="s">
        <v>267</v>
      </c>
    </row>
    <row r="1012" spans="1:15" x14ac:dyDescent="0.3">
      <c r="A1012" s="115" t="s">
        <v>656</v>
      </c>
      <c r="B1012" s="11" t="s">
        <v>25</v>
      </c>
      <c r="C1012" s="30" t="s">
        <v>257</v>
      </c>
      <c r="D1012" s="30" t="s">
        <v>26</v>
      </c>
      <c r="E1012" s="30" t="s">
        <v>40</v>
      </c>
      <c r="F1012" s="30" t="s">
        <v>46</v>
      </c>
      <c r="G1012" s="30" t="s">
        <v>42</v>
      </c>
      <c r="H1012" s="39">
        <v>45880</v>
      </c>
      <c r="I1012" s="79">
        <v>57</v>
      </c>
      <c r="J1012" s="91">
        <v>350</v>
      </c>
      <c r="K1012" s="84">
        <v>0.14000000000000001</v>
      </c>
      <c r="L1012" s="30" t="s">
        <v>36</v>
      </c>
      <c r="M1012" s="160">
        <v>19950</v>
      </c>
      <c r="N1012" s="160">
        <v>17157</v>
      </c>
      <c r="O1012" s="30" t="s">
        <v>265</v>
      </c>
    </row>
    <row r="1013" spans="1:15" x14ac:dyDescent="0.3">
      <c r="A1013" s="115" t="s">
        <v>657</v>
      </c>
      <c r="B1013" s="10" t="s">
        <v>61</v>
      </c>
      <c r="C1013" s="32" t="s">
        <v>244</v>
      </c>
      <c r="D1013" s="32" t="s">
        <v>26</v>
      </c>
      <c r="E1013" s="32" t="s">
        <v>51</v>
      </c>
      <c r="F1013" s="32" t="s">
        <v>46</v>
      </c>
      <c r="G1013" s="32" t="s">
        <v>56</v>
      </c>
      <c r="H1013" s="41">
        <v>45881</v>
      </c>
      <c r="I1013" s="81">
        <v>343</v>
      </c>
      <c r="J1013" s="93">
        <v>280</v>
      </c>
      <c r="K1013" s="86">
        <v>0.05</v>
      </c>
      <c r="L1013" s="32" t="s">
        <v>36</v>
      </c>
      <c r="M1013" s="162">
        <v>96040</v>
      </c>
      <c r="N1013" s="162">
        <v>91238</v>
      </c>
      <c r="O1013" s="32" t="s">
        <v>265</v>
      </c>
    </row>
    <row r="1014" spans="1:15" x14ac:dyDescent="0.3">
      <c r="A1014" s="115" t="s">
        <v>658</v>
      </c>
      <c r="B1014" s="11" t="s">
        <v>44</v>
      </c>
      <c r="C1014" s="30" t="s">
        <v>254</v>
      </c>
      <c r="D1014" s="30" t="s">
        <v>39</v>
      </c>
      <c r="E1014" s="30" t="s">
        <v>45</v>
      </c>
      <c r="F1014" s="30" t="s">
        <v>34</v>
      </c>
      <c r="G1014" s="30" t="s">
        <v>47</v>
      </c>
      <c r="H1014" s="39">
        <v>45881</v>
      </c>
      <c r="I1014" s="79">
        <v>428</v>
      </c>
      <c r="J1014" s="91">
        <v>200</v>
      </c>
      <c r="K1014" s="84">
        <v>0.14000000000000001</v>
      </c>
      <c r="L1014" s="30" t="s">
        <v>30</v>
      </c>
      <c r="M1014" s="160">
        <v>85600</v>
      </c>
      <c r="N1014" s="160">
        <v>73616</v>
      </c>
      <c r="O1014" s="30" t="s">
        <v>265</v>
      </c>
    </row>
    <row r="1015" spans="1:15" x14ac:dyDescent="0.3">
      <c r="A1015" s="115" t="s">
        <v>659</v>
      </c>
      <c r="B1015" s="10" t="s">
        <v>58</v>
      </c>
      <c r="C1015" s="32" t="s">
        <v>255</v>
      </c>
      <c r="D1015" s="32" t="s">
        <v>59</v>
      </c>
      <c r="E1015" s="32" t="s">
        <v>45</v>
      </c>
      <c r="F1015" s="32" t="s">
        <v>41</v>
      </c>
      <c r="G1015" s="32" t="s">
        <v>35</v>
      </c>
      <c r="H1015" s="41">
        <v>45881</v>
      </c>
      <c r="I1015" s="81">
        <v>165</v>
      </c>
      <c r="J1015" s="93">
        <v>2800</v>
      </c>
      <c r="K1015" s="86">
        <v>0.05</v>
      </c>
      <c r="L1015" s="32" t="s">
        <v>30</v>
      </c>
      <c r="M1015" s="162">
        <v>462000</v>
      </c>
      <c r="N1015" s="162">
        <v>438900</v>
      </c>
      <c r="O1015" s="32" t="s">
        <v>277</v>
      </c>
    </row>
    <row r="1016" spans="1:15" x14ac:dyDescent="0.3">
      <c r="A1016" s="115" t="s">
        <v>660</v>
      </c>
      <c r="B1016" s="11" t="s">
        <v>58</v>
      </c>
      <c r="C1016" s="30" t="s">
        <v>255</v>
      </c>
      <c r="D1016" s="30" t="s">
        <v>59</v>
      </c>
      <c r="E1016" s="30" t="s">
        <v>45</v>
      </c>
      <c r="F1016" s="30" t="s">
        <v>28</v>
      </c>
      <c r="G1016" s="30" t="s">
        <v>29</v>
      </c>
      <c r="H1016" s="39">
        <v>45882</v>
      </c>
      <c r="I1016" s="79">
        <v>329</v>
      </c>
      <c r="J1016" s="91">
        <v>2800</v>
      </c>
      <c r="K1016" s="84">
        <v>0.15</v>
      </c>
      <c r="L1016" s="30" t="s">
        <v>36</v>
      </c>
      <c r="M1016" s="160">
        <v>921200</v>
      </c>
      <c r="N1016" s="160">
        <v>783020</v>
      </c>
      <c r="O1016" s="30" t="s">
        <v>277</v>
      </c>
    </row>
    <row r="1017" spans="1:15" x14ac:dyDescent="0.3">
      <c r="A1017" s="115" t="s">
        <v>661</v>
      </c>
      <c r="B1017" s="10" t="s">
        <v>44</v>
      </c>
      <c r="C1017" s="32" t="s">
        <v>254</v>
      </c>
      <c r="D1017" s="32" t="s">
        <v>39</v>
      </c>
      <c r="E1017" s="32" t="s">
        <v>51</v>
      </c>
      <c r="F1017" s="32" t="s">
        <v>46</v>
      </c>
      <c r="G1017" s="32" t="s">
        <v>47</v>
      </c>
      <c r="H1017" s="41">
        <v>45885</v>
      </c>
      <c r="I1017" s="81">
        <v>303</v>
      </c>
      <c r="J1017" s="93">
        <v>200</v>
      </c>
      <c r="K1017" s="86">
        <v>0</v>
      </c>
      <c r="L1017" s="32" t="s">
        <v>36</v>
      </c>
      <c r="M1017" s="162">
        <v>60600</v>
      </c>
      <c r="N1017" s="162">
        <v>60600</v>
      </c>
      <c r="O1017" s="32" t="s">
        <v>265</v>
      </c>
    </row>
    <row r="1018" spans="1:15" x14ac:dyDescent="0.3">
      <c r="A1018" s="115" t="s">
        <v>662</v>
      </c>
      <c r="B1018" s="11" t="s">
        <v>58</v>
      </c>
      <c r="C1018" s="30" t="s">
        <v>255</v>
      </c>
      <c r="D1018" s="30" t="s">
        <v>59</v>
      </c>
      <c r="E1018" s="30" t="s">
        <v>33</v>
      </c>
      <c r="F1018" s="30" t="s">
        <v>41</v>
      </c>
      <c r="G1018" s="30" t="s">
        <v>42</v>
      </c>
      <c r="H1018" s="39">
        <v>45885</v>
      </c>
      <c r="I1018" s="79">
        <v>21</v>
      </c>
      <c r="J1018" s="91">
        <v>2800</v>
      </c>
      <c r="K1018" s="84">
        <v>0</v>
      </c>
      <c r="L1018" s="30" t="s">
        <v>36</v>
      </c>
      <c r="M1018" s="160">
        <v>58800</v>
      </c>
      <c r="N1018" s="160">
        <v>58800</v>
      </c>
      <c r="O1018" s="30" t="s">
        <v>265</v>
      </c>
    </row>
    <row r="1019" spans="1:15" x14ac:dyDescent="0.3">
      <c r="A1019" s="115" t="s">
        <v>663</v>
      </c>
      <c r="B1019" s="10" t="s">
        <v>38</v>
      </c>
      <c r="C1019" s="32" t="s">
        <v>247</v>
      </c>
      <c r="D1019" s="32" t="s">
        <v>39</v>
      </c>
      <c r="E1019" s="32" t="s">
        <v>27</v>
      </c>
      <c r="F1019" s="32" t="s">
        <v>28</v>
      </c>
      <c r="G1019" s="32" t="s">
        <v>56</v>
      </c>
      <c r="H1019" s="41">
        <v>45885</v>
      </c>
      <c r="I1019" s="81">
        <v>195</v>
      </c>
      <c r="J1019" s="93">
        <v>1200</v>
      </c>
      <c r="K1019" s="86">
        <v>7.0000000000000007E-2</v>
      </c>
      <c r="L1019" s="32" t="s">
        <v>30</v>
      </c>
      <c r="M1019" s="162">
        <v>234000</v>
      </c>
      <c r="N1019" s="162">
        <v>217620</v>
      </c>
      <c r="O1019" s="32" t="s">
        <v>267</v>
      </c>
    </row>
    <row r="1020" spans="1:15" x14ac:dyDescent="0.3">
      <c r="A1020" s="115" t="s">
        <v>664</v>
      </c>
      <c r="B1020" s="11" t="s">
        <v>49</v>
      </c>
      <c r="C1020" s="30" t="s">
        <v>251</v>
      </c>
      <c r="D1020" s="30" t="s">
        <v>50</v>
      </c>
      <c r="E1020" s="30" t="s">
        <v>45</v>
      </c>
      <c r="F1020" s="30" t="s">
        <v>34</v>
      </c>
      <c r="G1020" s="30" t="s">
        <v>29</v>
      </c>
      <c r="H1020" s="39">
        <v>45887</v>
      </c>
      <c r="I1020" s="79">
        <v>126</v>
      </c>
      <c r="J1020" s="91">
        <v>895</v>
      </c>
      <c r="K1020" s="84">
        <v>0.15</v>
      </c>
      <c r="L1020" s="30" t="s">
        <v>30</v>
      </c>
      <c r="M1020" s="160">
        <v>112770</v>
      </c>
      <c r="N1020" s="160">
        <v>95854.5</v>
      </c>
      <c r="O1020" s="30" t="s">
        <v>265</v>
      </c>
    </row>
    <row r="1021" spans="1:15" x14ac:dyDescent="0.3">
      <c r="A1021" s="115" t="s">
        <v>665</v>
      </c>
      <c r="B1021" s="10" t="s">
        <v>44</v>
      </c>
      <c r="C1021" s="32" t="s">
        <v>254</v>
      </c>
      <c r="D1021" s="32" t="s">
        <v>39</v>
      </c>
      <c r="E1021" s="32" t="s">
        <v>40</v>
      </c>
      <c r="F1021" s="32" t="s">
        <v>46</v>
      </c>
      <c r="G1021" s="32" t="s">
        <v>29</v>
      </c>
      <c r="H1021" s="41">
        <v>45887</v>
      </c>
      <c r="I1021" s="81">
        <v>183</v>
      </c>
      <c r="J1021" s="93">
        <v>200</v>
      </c>
      <c r="K1021" s="86">
        <v>0.13</v>
      </c>
      <c r="L1021" s="32" t="s">
        <v>36</v>
      </c>
      <c r="M1021" s="162">
        <v>36600</v>
      </c>
      <c r="N1021" s="162">
        <v>31842</v>
      </c>
      <c r="O1021" s="32" t="s">
        <v>265</v>
      </c>
    </row>
    <row r="1022" spans="1:15" x14ac:dyDescent="0.3">
      <c r="A1022" s="115" t="s">
        <v>666</v>
      </c>
      <c r="B1022" s="11" t="s">
        <v>260</v>
      </c>
      <c r="C1022" s="30" t="s">
        <v>261</v>
      </c>
      <c r="D1022" s="30" t="s">
        <v>39</v>
      </c>
      <c r="E1022" s="30" t="s">
        <v>45</v>
      </c>
      <c r="F1022" s="30" t="s">
        <v>41</v>
      </c>
      <c r="G1022" s="30" t="s">
        <v>42</v>
      </c>
      <c r="H1022" s="39">
        <v>45888</v>
      </c>
      <c r="I1022" s="79">
        <v>218</v>
      </c>
      <c r="J1022" s="91">
        <v>450</v>
      </c>
      <c r="K1022" s="84">
        <v>0.11</v>
      </c>
      <c r="L1022" s="30" t="s">
        <v>30</v>
      </c>
      <c r="M1022" s="160">
        <v>98100</v>
      </c>
      <c r="N1022" s="160">
        <v>87309</v>
      </c>
      <c r="O1022" s="30" t="s">
        <v>265</v>
      </c>
    </row>
    <row r="1023" spans="1:15" x14ac:dyDescent="0.3">
      <c r="A1023" s="115" t="s">
        <v>667</v>
      </c>
      <c r="B1023" s="10" t="s">
        <v>32</v>
      </c>
      <c r="C1023" s="32" t="s">
        <v>246</v>
      </c>
      <c r="D1023" s="32" t="s">
        <v>26</v>
      </c>
      <c r="E1023" s="32" t="s">
        <v>40</v>
      </c>
      <c r="F1023" s="32" t="s">
        <v>52</v>
      </c>
      <c r="G1023" s="32" t="s">
        <v>56</v>
      </c>
      <c r="H1023" s="41">
        <v>45889</v>
      </c>
      <c r="I1023" s="81">
        <v>404</v>
      </c>
      <c r="J1023" s="93">
        <v>420</v>
      </c>
      <c r="K1023" s="86">
        <v>0.11</v>
      </c>
      <c r="L1023" s="32" t="s">
        <v>30</v>
      </c>
      <c r="M1023" s="162">
        <v>169680</v>
      </c>
      <c r="N1023" s="162">
        <v>151015.20000000001</v>
      </c>
      <c r="O1023" s="32" t="s">
        <v>267</v>
      </c>
    </row>
    <row r="1024" spans="1:15" x14ac:dyDescent="0.3">
      <c r="A1024" s="115" t="s">
        <v>668</v>
      </c>
      <c r="B1024" s="11" t="s">
        <v>61</v>
      </c>
      <c r="C1024" s="30" t="s">
        <v>244</v>
      </c>
      <c r="D1024" s="30" t="s">
        <v>26</v>
      </c>
      <c r="E1024" s="30" t="s">
        <v>27</v>
      </c>
      <c r="F1024" s="30" t="s">
        <v>41</v>
      </c>
      <c r="G1024" s="30" t="s">
        <v>35</v>
      </c>
      <c r="H1024" s="39">
        <v>45890</v>
      </c>
      <c r="I1024" s="79">
        <v>101</v>
      </c>
      <c r="J1024" s="91">
        <v>280</v>
      </c>
      <c r="K1024" s="84">
        <v>0.11</v>
      </c>
      <c r="L1024" s="30" t="s">
        <v>36</v>
      </c>
      <c r="M1024" s="160">
        <v>28280</v>
      </c>
      <c r="N1024" s="160">
        <v>25169.200000000001</v>
      </c>
      <c r="O1024" s="30" t="s">
        <v>265</v>
      </c>
    </row>
    <row r="1025" spans="1:15" x14ac:dyDescent="0.3">
      <c r="A1025" s="115" t="s">
        <v>669</v>
      </c>
      <c r="B1025" s="10" t="s">
        <v>25</v>
      </c>
      <c r="C1025" s="32" t="s">
        <v>257</v>
      </c>
      <c r="D1025" s="32" t="s">
        <v>26</v>
      </c>
      <c r="E1025" s="32" t="s">
        <v>33</v>
      </c>
      <c r="F1025" s="32" t="s">
        <v>28</v>
      </c>
      <c r="G1025" s="32" t="s">
        <v>29</v>
      </c>
      <c r="H1025" s="41">
        <v>45890</v>
      </c>
      <c r="I1025" s="81">
        <v>130</v>
      </c>
      <c r="J1025" s="93">
        <v>350</v>
      </c>
      <c r="K1025" s="86">
        <v>7.0000000000000007E-2</v>
      </c>
      <c r="L1025" s="32" t="s">
        <v>30</v>
      </c>
      <c r="M1025" s="162">
        <v>45500</v>
      </c>
      <c r="N1025" s="162">
        <v>42315</v>
      </c>
      <c r="O1025" s="32" t="s">
        <v>265</v>
      </c>
    </row>
    <row r="1026" spans="1:15" x14ac:dyDescent="0.3">
      <c r="A1026" s="115" t="s">
        <v>670</v>
      </c>
      <c r="B1026" s="11" t="s">
        <v>38</v>
      </c>
      <c r="C1026" s="30" t="s">
        <v>247</v>
      </c>
      <c r="D1026" s="30" t="s">
        <v>39</v>
      </c>
      <c r="E1026" s="30" t="s">
        <v>33</v>
      </c>
      <c r="F1026" s="30" t="s">
        <v>34</v>
      </c>
      <c r="G1026" s="30" t="s">
        <v>29</v>
      </c>
      <c r="H1026" s="39">
        <v>45892</v>
      </c>
      <c r="I1026" s="79">
        <v>276</v>
      </c>
      <c r="J1026" s="91">
        <v>1200</v>
      </c>
      <c r="K1026" s="84">
        <v>0.15</v>
      </c>
      <c r="L1026" s="30" t="s">
        <v>36</v>
      </c>
      <c r="M1026" s="160">
        <v>331200</v>
      </c>
      <c r="N1026" s="160">
        <v>281520</v>
      </c>
      <c r="O1026" s="30" t="s">
        <v>267</v>
      </c>
    </row>
    <row r="1027" spans="1:15" x14ac:dyDescent="0.3">
      <c r="A1027" s="115" t="s">
        <v>671</v>
      </c>
      <c r="B1027" s="10" t="s">
        <v>63</v>
      </c>
      <c r="C1027" s="32" t="s">
        <v>253</v>
      </c>
      <c r="D1027" s="32" t="s">
        <v>50</v>
      </c>
      <c r="E1027" s="32" t="s">
        <v>51</v>
      </c>
      <c r="F1027" s="32" t="s">
        <v>41</v>
      </c>
      <c r="G1027" s="32" t="s">
        <v>42</v>
      </c>
      <c r="H1027" s="41">
        <v>45893</v>
      </c>
      <c r="I1027" s="81">
        <v>234</v>
      </c>
      <c r="J1027" s="93">
        <v>750</v>
      </c>
      <c r="K1027" s="86">
        <v>0.08</v>
      </c>
      <c r="L1027" s="32" t="s">
        <v>36</v>
      </c>
      <c r="M1027" s="162">
        <v>175500</v>
      </c>
      <c r="N1027" s="162">
        <v>161460</v>
      </c>
      <c r="O1027" s="32" t="s">
        <v>267</v>
      </c>
    </row>
    <row r="1028" spans="1:15" x14ac:dyDescent="0.3">
      <c r="A1028" s="115" t="s">
        <v>672</v>
      </c>
      <c r="B1028" s="11" t="s">
        <v>58</v>
      </c>
      <c r="C1028" s="30" t="s">
        <v>255</v>
      </c>
      <c r="D1028" s="30" t="s">
        <v>59</v>
      </c>
      <c r="E1028" s="30" t="s">
        <v>51</v>
      </c>
      <c r="F1028" s="30" t="s">
        <v>41</v>
      </c>
      <c r="G1028" s="30" t="s">
        <v>35</v>
      </c>
      <c r="H1028" s="39">
        <v>45893</v>
      </c>
      <c r="I1028" s="79">
        <v>316</v>
      </c>
      <c r="J1028" s="91">
        <v>2800</v>
      </c>
      <c r="K1028" s="84">
        <v>7.0000000000000007E-2</v>
      </c>
      <c r="L1028" s="30" t="s">
        <v>30</v>
      </c>
      <c r="M1028" s="160">
        <v>884800</v>
      </c>
      <c r="N1028" s="160">
        <v>822864</v>
      </c>
      <c r="O1028" s="30" t="s">
        <v>277</v>
      </c>
    </row>
    <row r="1029" spans="1:15" x14ac:dyDescent="0.3">
      <c r="A1029" s="115" t="s">
        <v>673</v>
      </c>
      <c r="B1029" s="10" t="s">
        <v>44</v>
      </c>
      <c r="C1029" s="32" t="s">
        <v>254</v>
      </c>
      <c r="D1029" s="32" t="s">
        <v>39</v>
      </c>
      <c r="E1029" s="32" t="s">
        <v>40</v>
      </c>
      <c r="F1029" s="32" t="s">
        <v>34</v>
      </c>
      <c r="G1029" s="32" t="s">
        <v>35</v>
      </c>
      <c r="H1029" s="41">
        <v>45893</v>
      </c>
      <c r="I1029" s="81">
        <v>301</v>
      </c>
      <c r="J1029" s="93">
        <v>200</v>
      </c>
      <c r="K1029" s="86">
        <v>0.05</v>
      </c>
      <c r="L1029" s="32" t="s">
        <v>36</v>
      </c>
      <c r="M1029" s="162">
        <v>60200</v>
      </c>
      <c r="N1029" s="162">
        <v>57190</v>
      </c>
      <c r="O1029" s="32" t="s">
        <v>265</v>
      </c>
    </row>
    <row r="1030" spans="1:15" x14ac:dyDescent="0.3">
      <c r="A1030" s="115" t="s">
        <v>674</v>
      </c>
      <c r="B1030" s="11" t="s">
        <v>38</v>
      </c>
      <c r="C1030" s="30" t="s">
        <v>247</v>
      </c>
      <c r="D1030" s="30" t="s">
        <v>39</v>
      </c>
      <c r="E1030" s="30" t="s">
        <v>33</v>
      </c>
      <c r="F1030" s="30" t="s">
        <v>52</v>
      </c>
      <c r="G1030" s="30" t="s">
        <v>56</v>
      </c>
      <c r="H1030" s="39">
        <v>45894</v>
      </c>
      <c r="I1030" s="79">
        <v>90</v>
      </c>
      <c r="J1030" s="91">
        <v>1200</v>
      </c>
      <c r="K1030" s="84">
        <v>0.03</v>
      </c>
      <c r="L1030" s="30" t="s">
        <v>30</v>
      </c>
      <c r="M1030" s="160">
        <v>108000</v>
      </c>
      <c r="N1030" s="160">
        <v>104760</v>
      </c>
      <c r="O1030" s="30" t="s">
        <v>267</v>
      </c>
    </row>
    <row r="1031" spans="1:15" x14ac:dyDescent="0.3">
      <c r="A1031" s="115" t="s">
        <v>675</v>
      </c>
      <c r="B1031" s="10" t="s">
        <v>258</v>
      </c>
      <c r="C1031" s="32" t="s">
        <v>259</v>
      </c>
      <c r="D1031" s="32" t="s">
        <v>26</v>
      </c>
      <c r="E1031" s="32" t="s">
        <v>40</v>
      </c>
      <c r="F1031" s="32" t="s">
        <v>41</v>
      </c>
      <c r="G1031" s="32" t="s">
        <v>42</v>
      </c>
      <c r="H1031" s="41">
        <v>45896</v>
      </c>
      <c r="I1031" s="81">
        <v>285</v>
      </c>
      <c r="J1031" s="93">
        <v>680</v>
      </c>
      <c r="K1031" s="86">
        <v>0.05</v>
      </c>
      <c r="L1031" s="32" t="s">
        <v>36</v>
      </c>
      <c r="M1031" s="162">
        <v>193800</v>
      </c>
      <c r="N1031" s="162">
        <v>184110</v>
      </c>
      <c r="O1031" s="32" t="s">
        <v>267</v>
      </c>
    </row>
    <row r="1032" spans="1:15" x14ac:dyDescent="0.3">
      <c r="A1032" s="115" t="s">
        <v>676</v>
      </c>
      <c r="B1032" s="11" t="s">
        <v>49</v>
      </c>
      <c r="C1032" s="30" t="s">
        <v>251</v>
      </c>
      <c r="D1032" s="30" t="s">
        <v>50</v>
      </c>
      <c r="E1032" s="30" t="s">
        <v>27</v>
      </c>
      <c r="F1032" s="30" t="s">
        <v>28</v>
      </c>
      <c r="G1032" s="30" t="s">
        <v>53</v>
      </c>
      <c r="H1032" s="39">
        <v>45897</v>
      </c>
      <c r="I1032" s="79">
        <v>30</v>
      </c>
      <c r="J1032" s="91">
        <v>895</v>
      </c>
      <c r="K1032" s="84">
        <v>0.12</v>
      </c>
      <c r="L1032" s="30" t="s">
        <v>36</v>
      </c>
      <c r="M1032" s="160">
        <v>26850</v>
      </c>
      <c r="N1032" s="160">
        <v>23628</v>
      </c>
      <c r="O1032" s="30" t="s">
        <v>265</v>
      </c>
    </row>
    <row r="1033" spans="1:15" x14ac:dyDescent="0.3">
      <c r="A1033" s="115" t="s">
        <v>677</v>
      </c>
      <c r="B1033" s="10" t="s">
        <v>262</v>
      </c>
      <c r="C1033" s="32" t="s">
        <v>263</v>
      </c>
      <c r="D1033" s="32" t="s">
        <v>50</v>
      </c>
      <c r="E1033" s="32" t="s">
        <v>40</v>
      </c>
      <c r="F1033" s="32" t="s">
        <v>28</v>
      </c>
      <c r="G1033" s="32" t="s">
        <v>29</v>
      </c>
      <c r="H1033" s="41">
        <v>45898</v>
      </c>
      <c r="I1033" s="81">
        <v>337</v>
      </c>
      <c r="J1033" s="93">
        <v>820</v>
      </c>
      <c r="K1033" s="86">
        <v>0.11</v>
      </c>
      <c r="L1033" s="32" t="s">
        <v>30</v>
      </c>
      <c r="M1033" s="162">
        <v>276340</v>
      </c>
      <c r="N1033" s="162">
        <v>245942.6</v>
      </c>
      <c r="O1033" s="32" t="s">
        <v>267</v>
      </c>
    </row>
    <row r="1034" spans="1:15" x14ac:dyDescent="0.3">
      <c r="A1034" s="115" t="s">
        <v>678</v>
      </c>
      <c r="B1034" s="11" t="s">
        <v>55</v>
      </c>
      <c r="C1034" s="30" t="s">
        <v>249</v>
      </c>
      <c r="D1034" s="30" t="s">
        <v>39</v>
      </c>
      <c r="E1034" s="30" t="s">
        <v>45</v>
      </c>
      <c r="F1034" s="30" t="s">
        <v>46</v>
      </c>
      <c r="G1034" s="30" t="s">
        <v>47</v>
      </c>
      <c r="H1034" s="39">
        <v>45898</v>
      </c>
      <c r="I1034" s="79">
        <v>203</v>
      </c>
      <c r="J1034" s="91">
        <v>650</v>
      </c>
      <c r="K1034" s="84">
        <v>0.13</v>
      </c>
      <c r="L1034" s="30" t="s">
        <v>30</v>
      </c>
      <c r="M1034" s="160">
        <v>131950</v>
      </c>
      <c r="N1034" s="160">
        <v>114796.5</v>
      </c>
      <c r="O1034" s="30" t="s">
        <v>267</v>
      </c>
    </row>
    <row r="1035" spans="1:15" x14ac:dyDescent="0.3">
      <c r="A1035" s="115" t="s">
        <v>679</v>
      </c>
      <c r="B1035" s="10" t="s">
        <v>16</v>
      </c>
      <c r="C1035" s="32" t="s">
        <v>250</v>
      </c>
      <c r="D1035" s="32" t="s">
        <v>39</v>
      </c>
      <c r="E1035" s="32" t="s">
        <v>51</v>
      </c>
      <c r="F1035" s="32" t="s">
        <v>52</v>
      </c>
      <c r="G1035" s="32" t="s">
        <v>53</v>
      </c>
      <c r="H1035" s="41">
        <v>45899</v>
      </c>
      <c r="I1035" s="81">
        <v>193</v>
      </c>
      <c r="J1035" s="93">
        <v>990</v>
      </c>
      <c r="K1035" s="86">
        <v>0.12</v>
      </c>
      <c r="L1035" s="32" t="s">
        <v>36</v>
      </c>
      <c r="M1035" s="162">
        <v>191070</v>
      </c>
      <c r="N1035" s="162">
        <v>168141.6</v>
      </c>
      <c r="O1035" s="32" t="s">
        <v>267</v>
      </c>
    </row>
    <row r="1036" spans="1:15" x14ac:dyDescent="0.3">
      <c r="A1036" s="115" t="s">
        <v>680</v>
      </c>
      <c r="B1036" s="11" t="s">
        <v>55</v>
      </c>
      <c r="C1036" s="30" t="s">
        <v>249</v>
      </c>
      <c r="D1036" s="30" t="s">
        <v>39</v>
      </c>
      <c r="E1036" s="30" t="s">
        <v>40</v>
      </c>
      <c r="F1036" s="30" t="s">
        <v>41</v>
      </c>
      <c r="G1036" s="30" t="s">
        <v>29</v>
      </c>
      <c r="H1036" s="39">
        <v>45899</v>
      </c>
      <c r="I1036" s="79">
        <v>357</v>
      </c>
      <c r="J1036" s="91">
        <v>650</v>
      </c>
      <c r="K1036" s="84">
        <v>0.03</v>
      </c>
      <c r="L1036" s="30" t="s">
        <v>30</v>
      </c>
      <c r="M1036" s="160">
        <v>232050</v>
      </c>
      <c r="N1036" s="160">
        <v>225088.5</v>
      </c>
      <c r="O1036" s="30" t="s">
        <v>267</v>
      </c>
    </row>
    <row r="1037" spans="1:15" x14ac:dyDescent="0.3">
      <c r="A1037" s="115" t="s">
        <v>681</v>
      </c>
      <c r="B1037" s="10" t="s">
        <v>63</v>
      </c>
      <c r="C1037" s="32" t="s">
        <v>253</v>
      </c>
      <c r="D1037" s="32" t="s">
        <v>50</v>
      </c>
      <c r="E1037" s="32" t="s">
        <v>45</v>
      </c>
      <c r="F1037" s="32" t="s">
        <v>52</v>
      </c>
      <c r="G1037" s="32" t="s">
        <v>53</v>
      </c>
      <c r="H1037" s="41">
        <v>45900</v>
      </c>
      <c r="I1037" s="81">
        <v>86</v>
      </c>
      <c r="J1037" s="93">
        <v>750</v>
      </c>
      <c r="K1037" s="86">
        <v>0.13</v>
      </c>
      <c r="L1037" s="32" t="s">
        <v>36</v>
      </c>
      <c r="M1037" s="162">
        <v>64500</v>
      </c>
      <c r="N1037" s="162">
        <v>56115</v>
      </c>
      <c r="O1037" s="32" t="s">
        <v>265</v>
      </c>
    </row>
    <row r="1038" spans="1:15" x14ac:dyDescent="0.3">
      <c r="A1038" s="115" t="s">
        <v>682</v>
      </c>
      <c r="B1038" s="11" t="s">
        <v>262</v>
      </c>
      <c r="C1038" s="30" t="s">
        <v>263</v>
      </c>
      <c r="D1038" s="30" t="s">
        <v>50</v>
      </c>
      <c r="E1038" s="30" t="s">
        <v>27</v>
      </c>
      <c r="F1038" s="30" t="s">
        <v>46</v>
      </c>
      <c r="G1038" s="30" t="s">
        <v>42</v>
      </c>
      <c r="H1038" s="39">
        <v>45901</v>
      </c>
      <c r="I1038" s="79">
        <v>168</v>
      </c>
      <c r="J1038" s="91">
        <v>820</v>
      </c>
      <c r="K1038" s="84">
        <v>0.05</v>
      </c>
      <c r="L1038" s="30" t="s">
        <v>36</v>
      </c>
      <c r="M1038" s="160">
        <v>137760</v>
      </c>
      <c r="N1038" s="160">
        <v>130872</v>
      </c>
      <c r="O1038" s="30" t="s">
        <v>267</v>
      </c>
    </row>
    <row r="1039" spans="1:15" x14ac:dyDescent="0.3">
      <c r="A1039" s="115" t="s">
        <v>683</v>
      </c>
      <c r="B1039" s="10" t="s">
        <v>258</v>
      </c>
      <c r="C1039" s="32" t="s">
        <v>259</v>
      </c>
      <c r="D1039" s="32" t="s">
        <v>26</v>
      </c>
      <c r="E1039" s="32" t="s">
        <v>51</v>
      </c>
      <c r="F1039" s="32" t="s">
        <v>52</v>
      </c>
      <c r="G1039" s="32" t="s">
        <v>35</v>
      </c>
      <c r="H1039" s="41">
        <v>45901</v>
      </c>
      <c r="I1039" s="81">
        <v>449</v>
      </c>
      <c r="J1039" s="93">
        <v>680</v>
      </c>
      <c r="K1039" s="86">
        <v>0.14000000000000001</v>
      </c>
      <c r="L1039" s="32" t="s">
        <v>36</v>
      </c>
      <c r="M1039" s="162">
        <v>305320</v>
      </c>
      <c r="N1039" s="162">
        <v>262575.2</v>
      </c>
      <c r="O1039" s="32" t="s">
        <v>267</v>
      </c>
    </row>
    <row r="1040" spans="1:15" x14ac:dyDescent="0.3">
      <c r="A1040" s="115" t="s">
        <v>684</v>
      </c>
      <c r="B1040" s="11" t="s">
        <v>25</v>
      </c>
      <c r="C1040" s="30" t="s">
        <v>257</v>
      </c>
      <c r="D1040" s="30" t="s">
        <v>26</v>
      </c>
      <c r="E1040" s="30" t="s">
        <v>40</v>
      </c>
      <c r="F1040" s="30" t="s">
        <v>41</v>
      </c>
      <c r="G1040" s="30" t="s">
        <v>47</v>
      </c>
      <c r="H1040" s="39">
        <v>45903</v>
      </c>
      <c r="I1040" s="79">
        <v>304</v>
      </c>
      <c r="J1040" s="91">
        <v>350</v>
      </c>
      <c r="K1040" s="84">
        <v>0.12</v>
      </c>
      <c r="L1040" s="30" t="s">
        <v>30</v>
      </c>
      <c r="M1040" s="160">
        <v>106400</v>
      </c>
      <c r="N1040" s="160">
        <v>93632</v>
      </c>
      <c r="O1040" s="30" t="s">
        <v>265</v>
      </c>
    </row>
    <row r="1041" spans="1:15" x14ac:dyDescent="0.3">
      <c r="A1041" s="115" t="s">
        <v>685</v>
      </c>
      <c r="B1041" s="10" t="s">
        <v>44</v>
      </c>
      <c r="C1041" s="32" t="s">
        <v>254</v>
      </c>
      <c r="D1041" s="32" t="s">
        <v>39</v>
      </c>
      <c r="E1041" s="32" t="s">
        <v>51</v>
      </c>
      <c r="F1041" s="32" t="s">
        <v>28</v>
      </c>
      <c r="G1041" s="32" t="s">
        <v>47</v>
      </c>
      <c r="H1041" s="41">
        <v>45903</v>
      </c>
      <c r="I1041" s="81">
        <v>345</v>
      </c>
      <c r="J1041" s="93">
        <v>200</v>
      </c>
      <c r="K1041" s="86">
        <v>0.12</v>
      </c>
      <c r="L1041" s="32" t="s">
        <v>36</v>
      </c>
      <c r="M1041" s="162">
        <v>69000</v>
      </c>
      <c r="N1041" s="162">
        <v>60720</v>
      </c>
      <c r="O1041" s="32" t="s">
        <v>265</v>
      </c>
    </row>
    <row r="1042" spans="1:15" x14ac:dyDescent="0.3">
      <c r="A1042" s="115" t="s">
        <v>686</v>
      </c>
      <c r="B1042" s="11" t="s">
        <v>262</v>
      </c>
      <c r="C1042" s="30" t="s">
        <v>263</v>
      </c>
      <c r="D1042" s="30" t="s">
        <v>50</v>
      </c>
      <c r="E1042" s="30" t="s">
        <v>45</v>
      </c>
      <c r="F1042" s="30" t="s">
        <v>52</v>
      </c>
      <c r="G1042" s="30" t="s">
        <v>42</v>
      </c>
      <c r="H1042" s="39">
        <v>45904</v>
      </c>
      <c r="I1042" s="79">
        <v>269</v>
      </c>
      <c r="J1042" s="91">
        <v>820</v>
      </c>
      <c r="K1042" s="84">
        <v>0.1</v>
      </c>
      <c r="L1042" s="30" t="s">
        <v>30</v>
      </c>
      <c r="M1042" s="160">
        <v>220580</v>
      </c>
      <c r="N1042" s="160">
        <v>198522</v>
      </c>
      <c r="O1042" s="30" t="s">
        <v>267</v>
      </c>
    </row>
    <row r="1043" spans="1:15" x14ac:dyDescent="0.3">
      <c r="A1043" s="115" t="s">
        <v>687</v>
      </c>
      <c r="B1043" s="10" t="s">
        <v>16</v>
      </c>
      <c r="C1043" s="32" t="s">
        <v>250</v>
      </c>
      <c r="D1043" s="32" t="s">
        <v>39</v>
      </c>
      <c r="E1043" s="32" t="s">
        <v>45</v>
      </c>
      <c r="F1043" s="32" t="s">
        <v>28</v>
      </c>
      <c r="G1043" s="32" t="s">
        <v>42</v>
      </c>
      <c r="H1043" s="41">
        <v>45906</v>
      </c>
      <c r="I1043" s="81">
        <v>328</v>
      </c>
      <c r="J1043" s="93">
        <v>990</v>
      </c>
      <c r="K1043" s="86">
        <v>0.13</v>
      </c>
      <c r="L1043" s="32" t="s">
        <v>30</v>
      </c>
      <c r="M1043" s="162">
        <v>324720</v>
      </c>
      <c r="N1043" s="162">
        <v>282506.40000000002</v>
      </c>
      <c r="O1043" s="32" t="s">
        <v>267</v>
      </c>
    </row>
    <row r="1044" spans="1:15" x14ac:dyDescent="0.3">
      <c r="A1044" s="115" t="s">
        <v>688</v>
      </c>
      <c r="B1044" s="11" t="s">
        <v>38</v>
      </c>
      <c r="C1044" s="30" t="s">
        <v>247</v>
      </c>
      <c r="D1044" s="30" t="s">
        <v>39</v>
      </c>
      <c r="E1044" s="30" t="s">
        <v>40</v>
      </c>
      <c r="F1044" s="30" t="s">
        <v>46</v>
      </c>
      <c r="G1044" s="30" t="s">
        <v>47</v>
      </c>
      <c r="H1044" s="39">
        <v>45906</v>
      </c>
      <c r="I1044" s="79">
        <v>178</v>
      </c>
      <c r="J1044" s="91">
        <v>1200</v>
      </c>
      <c r="K1044" s="84">
        <v>0.03</v>
      </c>
      <c r="L1044" s="30" t="s">
        <v>30</v>
      </c>
      <c r="M1044" s="160">
        <v>213600</v>
      </c>
      <c r="N1044" s="160">
        <v>207192</v>
      </c>
      <c r="O1044" s="30" t="s">
        <v>267</v>
      </c>
    </row>
    <row r="1045" spans="1:15" x14ac:dyDescent="0.3">
      <c r="A1045" s="115" t="s">
        <v>689</v>
      </c>
      <c r="B1045" s="10" t="s">
        <v>25</v>
      </c>
      <c r="C1045" s="32" t="s">
        <v>257</v>
      </c>
      <c r="D1045" s="32" t="s">
        <v>26</v>
      </c>
      <c r="E1045" s="32" t="s">
        <v>51</v>
      </c>
      <c r="F1045" s="32" t="s">
        <v>28</v>
      </c>
      <c r="G1045" s="32" t="s">
        <v>56</v>
      </c>
      <c r="H1045" s="41">
        <v>45906</v>
      </c>
      <c r="I1045" s="81">
        <v>225</v>
      </c>
      <c r="J1045" s="93">
        <v>350</v>
      </c>
      <c r="K1045" s="86">
        <v>0.12</v>
      </c>
      <c r="L1045" s="32" t="s">
        <v>36</v>
      </c>
      <c r="M1045" s="162">
        <v>78750</v>
      </c>
      <c r="N1045" s="162">
        <v>69300</v>
      </c>
      <c r="O1045" s="32" t="s">
        <v>265</v>
      </c>
    </row>
    <row r="1046" spans="1:15" x14ac:dyDescent="0.3">
      <c r="A1046" s="115" t="s">
        <v>690</v>
      </c>
      <c r="B1046" s="11" t="s">
        <v>25</v>
      </c>
      <c r="C1046" s="30" t="s">
        <v>257</v>
      </c>
      <c r="D1046" s="30" t="s">
        <v>26</v>
      </c>
      <c r="E1046" s="30" t="s">
        <v>45</v>
      </c>
      <c r="F1046" s="30" t="s">
        <v>46</v>
      </c>
      <c r="G1046" s="30" t="s">
        <v>29</v>
      </c>
      <c r="H1046" s="39">
        <v>45908</v>
      </c>
      <c r="I1046" s="79">
        <v>326</v>
      </c>
      <c r="J1046" s="91">
        <v>350</v>
      </c>
      <c r="K1046" s="84">
        <v>0.15</v>
      </c>
      <c r="L1046" s="30" t="s">
        <v>30</v>
      </c>
      <c r="M1046" s="160">
        <v>114100</v>
      </c>
      <c r="N1046" s="160">
        <v>96985</v>
      </c>
      <c r="O1046" s="30" t="s">
        <v>265</v>
      </c>
    </row>
    <row r="1047" spans="1:15" x14ac:dyDescent="0.3">
      <c r="A1047" s="115" t="s">
        <v>691</v>
      </c>
      <c r="B1047" s="10" t="s">
        <v>38</v>
      </c>
      <c r="C1047" s="32" t="s">
        <v>247</v>
      </c>
      <c r="D1047" s="32" t="s">
        <v>39</v>
      </c>
      <c r="E1047" s="32" t="s">
        <v>27</v>
      </c>
      <c r="F1047" s="32" t="s">
        <v>28</v>
      </c>
      <c r="G1047" s="32" t="s">
        <v>47</v>
      </c>
      <c r="H1047" s="41">
        <v>45908</v>
      </c>
      <c r="I1047" s="81">
        <v>176</v>
      </c>
      <c r="J1047" s="93">
        <v>1200</v>
      </c>
      <c r="K1047" s="86">
        <v>0.13</v>
      </c>
      <c r="L1047" s="32" t="s">
        <v>36</v>
      </c>
      <c r="M1047" s="162">
        <v>211200</v>
      </c>
      <c r="N1047" s="162">
        <v>183744</v>
      </c>
      <c r="O1047" s="32" t="s">
        <v>267</v>
      </c>
    </row>
    <row r="1048" spans="1:15" x14ac:dyDescent="0.3">
      <c r="A1048" s="115" t="s">
        <v>692</v>
      </c>
      <c r="B1048" s="11" t="s">
        <v>32</v>
      </c>
      <c r="C1048" s="30" t="s">
        <v>246</v>
      </c>
      <c r="D1048" s="30" t="s">
        <v>26</v>
      </c>
      <c r="E1048" s="30" t="s">
        <v>45</v>
      </c>
      <c r="F1048" s="30" t="s">
        <v>28</v>
      </c>
      <c r="G1048" s="30" t="s">
        <v>42</v>
      </c>
      <c r="H1048" s="39">
        <v>45911</v>
      </c>
      <c r="I1048" s="79">
        <v>408</v>
      </c>
      <c r="J1048" s="91">
        <v>420</v>
      </c>
      <c r="K1048" s="84">
        <v>0.05</v>
      </c>
      <c r="L1048" s="30" t="s">
        <v>30</v>
      </c>
      <c r="M1048" s="160">
        <v>171360</v>
      </c>
      <c r="N1048" s="160">
        <v>162792</v>
      </c>
      <c r="O1048" s="30" t="s">
        <v>267</v>
      </c>
    </row>
    <row r="1049" spans="1:15" x14ac:dyDescent="0.3">
      <c r="A1049" s="115" t="s">
        <v>693</v>
      </c>
      <c r="B1049" s="10" t="s">
        <v>262</v>
      </c>
      <c r="C1049" s="32" t="s">
        <v>263</v>
      </c>
      <c r="D1049" s="32" t="s">
        <v>50</v>
      </c>
      <c r="E1049" s="32" t="s">
        <v>51</v>
      </c>
      <c r="F1049" s="32" t="s">
        <v>34</v>
      </c>
      <c r="G1049" s="32" t="s">
        <v>53</v>
      </c>
      <c r="H1049" s="41">
        <v>45913</v>
      </c>
      <c r="I1049" s="81">
        <v>181</v>
      </c>
      <c r="J1049" s="93">
        <v>820</v>
      </c>
      <c r="K1049" s="86">
        <v>0</v>
      </c>
      <c r="L1049" s="32" t="s">
        <v>36</v>
      </c>
      <c r="M1049" s="162">
        <v>148420</v>
      </c>
      <c r="N1049" s="162">
        <v>148420</v>
      </c>
      <c r="O1049" s="32" t="s">
        <v>267</v>
      </c>
    </row>
    <row r="1050" spans="1:15" x14ac:dyDescent="0.3">
      <c r="A1050" s="115" t="s">
        <v>694</v>
      </c>
      <c r="B1050" s="11" t="s">
        <v>16</v>
      </c>
      <c r="C1050" s="30" t="s">
        <v>250</v>
      </c>
      <c r="D1050" s="30" t="s">
        <v>39</v>
      </c>
      <c r="E1050" s="30" t="s">
        <v>51</v>
      </c>
      <c r="F1050" s="30" t="s">
        <v>41</v>
      </c>
      <c r="G1050" s="30" t="s">
        <v>29</v>
      </c>
      <c r="H1050" s="39">
        <v>45913</v>
      </c>
      <c r="I1050" s="79">
        <v>49</v>
      </c>
      <c r="J1050" s="91">
        <v>990</v>
      </c>
      <c r="K1050" s="84">
        <v>0.15</v>
      </c>
      <c r="L1050" s="30" t="s">
        <v>36</v>
      </c>
      <c r="M1050" s="160">
        <v>48510</v>
      </c>
      <c r="N1050" s="160">
        <v>41233.5</v>
      </c>
      <c r="O1050" s="30" t="s">
        <v>265</v>
      </c>
    </row>
    <row r="1051" spans="1:15" x14ac:dyDescent="0.3">
      <c r="A1051" s="115" t="s">
        <v>695</v>
      </c>
      <c r="B1051" s="10" t="s">
        <v>258</v>
      </c>
      <c r="C1051" s="32" t="s">
        <v>259</v>
      </c>
      <c r="D1051" s="32" t="s">
        <v>26</v>
      </c>
      <c r="E1051" s="32" t="s">
        <v>51</v>
      </c>
      <c r="F1051" s="32" t="s">
        <v>28</v>
      </c>
      <c r="G1051" s="32" t="s">
        <v>53</v>
      </c>
      <c r="H1051" s="41">
        <v>45914</v>
      </c>
      <c r="I1051" s="81">
        <v>198</v>
      </c>
      <c r="J1051" s="93">
        <v>680</v>
      </c>
      <c r="K1051" s="86">
        <v>0.14000000000000001</v>
      </c>
      <c r="L1051" s="32" t="s">
        <v>30</v>
      </c>
      <c r="M1051" s="162">
        <v>134640</v>
      </c>
      <c r="N1051" s="162">
        <v>115790.39999999999</v>
      </c>
      <c r="O1051" s="32" t="s">
        <v>267</v>
      </c>
    </row>
    <row r="1052" spans="1:15" x14ac:dyDescent="0.3">
      <c r="A1052" s="115" t="s">
        <v>696</v>
      </c>
      <c r="B1052" s="11" t="s">
        <v>16</v>
      </c>
      <c r="C1052" s="30" t="s">
        <v>250</v>
      </c>
      <c r="D1052" s="30" t="s">
        <v>39</v>
      </c>
      <c r="E1052" s="30" t="s">
        <v>33</v>
      </c>
      <c r="F1052" s="30" t="s">
        <v>52</v>
      </c>
      <c r="G1052" s="30" t="s">
        <v>35</v>
      </c>
      <c r="H1052" s="39">
        <v>45914</v>
      </c>
      <c r="I1052" s="79">
        <v>97</v>
      </c>
      <c r="J1052" s="91">
        <v>990</v>
      </c>
      <c r="K1052" s="84">
        <v>0</v>
      </c>
      <c r="L1052" s="30" t="s">
        <v>36</v>
      </c>
      <c r="M1052" s="160">
        <v>96030</v>
      </c>
      <c r="N1052" s="160">
        <v>96030</v>
      </c>
      <c r="O1052" s="30" t="s">
        <v>265</v>
      </c>
    </row>
    <row r="1053" spans="1:15" x14ac:dyDescent="0.3">
      <c r="A1053" s="115" t="s">
        <v>697</v>
      </c>
      <c r="B1053" s="10" t="s">
        <v>58</v>
      </c>
      <c r="C1053" s="32" t="s">
        <v>255</v>
      </c>
      <c r="D1053" s="32" t="s">
        <v>59</v>
      </c>
      <c r="E1053" s="32" t="s">
        <v>45</v>
      </c>
      <c r="F1053" s="32" t="s">
        <v>46</v>
      </c>
      <c r="G1053" s="32" t="s">
        <v>35</v>
      </c>
      <c r="H1053" s="41">
        <v>45914</v>
      </c>
      <c r="I1053" s="81">
        <v>103</v>
      </c>
      <c r="J1053" s="93">
        <v>2800</v>
      </c>
      <c r="K1053" s="86">
        <v>0</v>
      </c>
      <c r="L1053" s="32" t="s">
        <v>36</v>
      </c>
      <c r="M1053" s="162">
        <v>288400</v>
      </c>
      <c r="N1053" s="162">
        <v>288400</v>
      </c>
      <c r="O1053" s="32" t="s">
        <v>267</v>
      </c>
    </row>
    <row r="1054" spans="1:15" x14ac:dyDescent="0.3">
      <c r="A1054" s="115" t="s">
        <v>698</v>
      </c>
      <c r="B1054" s="11" t="s">
        <v>49</v>
      </c>
      <c r="C1054" s="30" t="s">
        <v>251</v>
      </c>
      <c r="D1054" s="30" t="s">
        <v>50</v>
      </c>
      <c r="E1054" s="30" t="s">
        <v>33</v>
      </c>
      <c r="F1054" s="30" t="s">
        <v>52</v>
      </c>
      <c r="G1054" s="30" t="s">
        <v>47</v>
      </c>
      <c r="H1054" s="39">
        <v>45915</v>
      </c>
      <c r="I1054" s="79">
        <v>298</v>
      </c>
      <c r="J1054" s="91">
        <v>895</v>
      </c>
      <c r="K1054" s="84">
        <v>0.03</v>
      </c>
      <c r="L1054" s="30" t="s">
        <v>36</v>
      </c>
      <c r="M1054" s="160">
        <v>266710</v>
      </c>
      <c r="N1054" s="160">
        <v>258708.7</v>
      </c>
      <c r="O1054" s="30" t="s">
        <v>267</v>
      </c>
    </row>
    <row r="1055" spans="1:15" x14ac:dyDescent="0.3">
      <c r="A1055" s="115" t="s">
        <v>699</v>
      </c>
      <c r="B1055" s="10" t="s">
        <v>55</v>
      </c>
      <c r="C1055" s="32" t="s">
        <v>249</v>
      </c>
      <c r="D1055" s="32" t="s">
        <v>39</v>
      </c>
      <c r="E1055" s="32" t="s">
        <v>27</v>
      </c>
      <c r="F1055" s="32" t="s">
        <v>46</v>
      </c>
      <c r="G1055" s="32" t="s">
        <v>53</v>
      </c>
      <c r="H1055" s="41">
        <v>45915</v>
      </c>
      <c r="I1055" s="81">
        <v>242</v>
      </c>
      <c r="J1055" s="93">
        <v>650</v>
      </c>
      <c r="K1055" s="86">
        <v>0.08</v>
      </c>
      <c r="L1055" s="32" t="s">
        <v>36</v>
      </c>
      <c r="M1055" s="162">
        <v>157300</v>
      </c>
      <c r="N1055" s="162">
        <v>144716</v>
      </c>
      <c r="O1055" s="32" t="s">
        <v>267</v>
      </c>
    </row>
    <row r="1056" spans="1:15" x14ac:dyDescent="0.3">
      <c r="A1056" s="115" t="s">
        <v>700</v>
      </c>
      <c r="B1056" s="11" t="s">
        <v>61</v>
      </c>
      <c r="C1056" s="30" t="s">
        <v>244</v>
      </c>
      <c r="D1056" s="30" t="s">
        <v>26</v>
      </c>
      <c r="E1056" s="30" t="s">
        <v>40</v>
      </c>
      <c r="F1056" s="30" t="s">
        <v>46</v>
      </c>
      <c r="G1056" s="30" t="s">
        <v>53</v>
      </c>
      <c r="H1056" s="39">
        <v>45915</v>
      </c>
      <c r="I1056" s="79">
        <v>449</v>
      </c>
      <c r="J1056" s="91">
        <v>280</v>
      </c>
      <c r="K1056" s="84">
        <v>0.03</v>
      </c>
      <c r="L1056" s="30" t="s">
        <v>36</v>
      </c>
      <c r="M1056" s="160">
        <v>125720</v>
      </c>
      <c r="N1056" s="160">
        <v>121948.4</v>
      </c>
      <c r="O1056" s="30" t="s">
        <v>267</v>
      </c>
    </row>
    <row r="1057" spans="1:15" x14ac:dyDescent="0.3">
      <c r="A1057" s="115" t="s">
        <v>701</v>
      </c>
      <c r="B1057" s="10" t="s">
        <v>44</v>
      </c>
      <c r="C1057" s="32" t="s">
        <v>254</v>
      </c>
      <c r="D1057" s="32" t="s">
        <v>39</v>
      </c>
      <c r="E1057" s="32" t="s">
        <v>45</v>
      </c>
      <c r="F1057" s="32" t="s">
        <v>52</v>
      </c>
      <c r="G1057" s="32" t="s">
        <v>56</v>
      </c>
      <c r="H1057" s="41">
        <v>45917</v>
      </c>
      <c r="I1057" s="81">
        <v>109</v>
      </c>
      <c r="J1057" s="93">
        <v>200</v>
      </c>
      <c r="K1057" s="86">
        <v>0.08</v>
      </c>
      <c r="L1057" s="32" t="s">
        <v>36</v>
      </c>
      <c r="M1057" s="162">
        <v>21800</v>
      </c>
      <c r="N1057" s="162">
        <v>20056</v>
      </c>
      <c r="O1057" s="32" t="s">
        <v>265</v>
      </c>
    </row>
    <row r="1058" spans="1:15" x14ac:dyDescent="0.3">
      <c r="A1058" s="115" t="s">
        <v>702</v>
      </c>
      <c r="B1058" s="11" t="s">
        <v>61</v>
      </c>
      <c r="C1058" s="30" t="s">
        <v>244</v>
      </c>
      <c r="D1058" s="30" t="s">
        <v>26</v>
      </c>
      <c r="E1058" s="30" t="s">
        <v>40</v>
      </c>
      <c r="F1058" s="30" t="s">
        <v>46</v>
      </c>
      <c r="G1058" s="30" t="s">
        <v>42</v>
      </c>
      <c r="H1058" s="39">
        <v>45921</v>
      </c>
      <c r="I1058" s="79">
        <v>85</v>
      </c>
      <c r="J1058" s="91">
        <v>280</v>
      </c>
      <c r="K1058" s="84">
        <v>7.0000000000000007E-2</v>
      </c>
      <c r="L1058" s="30" t="s">
        <v>36</v>
      </c>
      <c r="M1058" s="160">
        <v>23800</v>
      </c>
      <c r="N1058" s="160">
        <v>22134</v>
      </c>
      <c r="O1058" s="30" t="s">
        <v>265</v>
      </c>
    </row>
    <row r="1059" spans="1:15" x14ac:dyDescent="0.3">
      <c r="A1059" s="115" t="s">
        <v>703</v>
      </c>
      <c r="B1059" s="10" t="s">
        <v>260</v>
      </c>
      <c r="C1059" s="32" t="s">
        <v>261</v>
      </c>
      <c r="D1059" s="32" t="s">
        <v>39</v>
      </c>
      <c r="E1059" s="32" t="s">
        <v>40</v>
      </c>
      <c r="F1059" s="32" t="s">
        <v>46</v>
      </c>
      <c r="G1059" s="32" t="s">
        <v>35</v>
      </c>
      <c r="H1059" s="41">
        <v>45923</v>
      </c>
      <c r="I1059" s="81">
        <v>211</v>
      </c>
      <c r="J1059" s="93">
        <v>450</v>
      </c>
      <c r="K1059" s="86">
        <v>0.08</v>
      </c>
      <c r="L1059" s="32" t="s">
        <v>36</v>
      </c>
      <c r="M1059" s="162">
        <v>94950</v>
      </c>
      <c r="N1059" s="162">
        <v>87354</v>
      </c>
      <c r="O1059" s="32" t="s">
        <v>265</v>
      </c>
    </row>
    <row r="1060" spans="1:15" x14ac:dyDescent="0.3">
      <c r="A1060" s="115" t="s">
        <v>704</v>
      </c>
      <c r="B1060" s="11" t="s">
        <v>58</v>
      </c>
      <c r="C1060" s="30" t="s">
        <v>255</v>
      </c>
      <c r="D1060" s="30" t="s">
        <v>59</v>
      </c>
      <c r="E1060" s="30" t="s">
        <v>40</v>
      </c>
      <c r="F1060" s="30" t="s">
        <v>52</v>
      </c>
      <c r="G1060" s="30" t="s">
        <v>56</v>
      </c>
      <c r="H1060" s="39">
        <v>45923</v>
      </c>
      <c r="I1060" s="79">
        <v>324</v>
      </c>
      <c r="J1060" s="91">
        <v>2800</v>
      </c>
      <c r="K1060" s="84">
        <v>0</v>
      </c>
      <c r="L1060" s="30" t="s">
        <v>30</v>
      </c>
      <c r="M1060" s="160">
        <v>907200</v>
      </c>
      <c r="N1060" s="160">
        <v>907200</v>
      </c>
      <c r="O1060" s="30" t="s">
        <v>277</v>
      </c>
    </row>
    <row r="1061" spans="1:15" x14ac:dyDescent="0.3">
      <c r="A1061" s="115" t="s">
        <v>705</v>
      </c>
      <c r="B1061" s="10" t="s">
        <v>49</v>
      </c>
      <c r="C1061" s="32" t="s">
        <v>251</v>
      </c>
      <c r="D1061" s="32" t="s">
        <v>50</v>
      </c>
      <c r="E1061" s="32" t="s">
        <v>33</v>
      </c>
      <c r="F1061" s="32" t="s">
        <v>46</v>
      </c>
      <c r="G1061" s="32" t="s">
        <v>35</v>
      </c>
      <c r="H1061" s="41">
        <v>45924</v>
      </c>
      <c r="I1061" s="81">
        <v>381</v>
      </c>
      <c r="J1061" s="93">
        <v>895</v>
      </c>
      <c r="K1061" s="86">
        <v>0</v>
      </c>
      <c r="L1061" s="32" t="s">
        <v>30</v>
      </c>
      <c r="M1061" s="162">
        <v>340995</v>
      </c>
      <c r="N1061" s="162">
        <v>340995</v>
      </c>
      <c r="O1061" s="32" t="s">
        <v>267</v>
      </c>
    </row>
    <row r="1062" spans="1:15" x14ac:dyDescent="0.3">
      <c r="A1062" s="115" t="s">
        <v>706</v>
      </c>
      <c r="B1062" s="11" t="s">
        <v>61</v>
      </c>
      <c r="C1062" s="30" t="s">
        <v>244</v>
      </c>
      <c r="D1062" s="30" t="s">
        <v>26</v>
      </c>
      <c r="E1062" s="30" t="s">
        <v>27</v>
      </c>
      <c r="F1062" s="30" t="s">
        <v>52</v>
      </c>
      <c r="G1062" s="30" t="s">
        <v>47</v>
      </c>
      <c r="H1062" s="39">
        <v>45924</v>
      </c>
      <c r="I1062" s="79">
        <v>336</v>
      </c>
      <c r="J1062" s="91">
        <v>280</v>
      </c>
      <c r="K1062" s="84">
        <v>0.15</v>
      </c>
      <c r="L1062" s="30" t="s">
        <v>36</v>
      </c>
      <c r="M1062" s="160">
        <v>94080</v>
      </c>
      <c r="N1062" s="160">
        <v>79968</v>
      </c>
      <c r="O1062" s="30" t="s">
        <v>265</v>
      </c>
    </row>
    <row r="1063" spans="1:15" x14ac:dyDescent="0.3">
      <c r="A1063" s="115" t="s">
        <v>707</v>
      </c>
      <c r="B1063" s="10" t="s">
        <v>260</v>
      </c>
      <c r="C1063" s="32" t="s">
        <v>261</v>
      </c>
      <c r="D1063" s="32" t="s">
        <v>39</v>
      </c>
      <c r="E1063" s="32" t="s">
        <v>33</v>
      </c>
      <c r="F1063" s="32" t="s">
        <v>41</v>
      </c>
      <c r="G1063" s="32" t="s">
        <v>35</v>
      </c>
      <c r="H1063" s="41">
        <v>45924</v>
      </c>
      <c r="I1063" s="81">
        <v>276</v>
      </c>
      <c r="J1063" s="93">
        <v>450</v>
      </c>
      <c r="K1063" s="86">
        <v>0.14000000000000001</v>
      </c>
      <c r="L1063" s="32" t="s">
        <v>30</v>
      </c>
      <c r="M1063" s="162">
        <v>124200</v>
      </c>
      <c r="N1063" s="162">
        <v>106812</v>
      </c>
      <c r="O1063" s="32" t="s">
        <v>267</v>
      </c>
    </row>
    <row r="1064" spans="1:15" x14ac:dyDescent="0.3">
      <c r="A1064" s="115" t="s">
        <v>708</v>
      </c>
      <c r="B1064" s="11" t="s">
        <v>44</v>
      </c>
      <c r="C1064" s="30" t="s">
        <v>254</v>
      </c>
      <c r="D1064" s="30" t="s">
        <v>39</v>
      </c>
      <c r="E1064" s="30" t="s">
        <v>33</v>
      </c>
      <c r="F1064" s="30" t="s">
        <v>34</v>
      </c>
      <c r="G1064" s="30" t="s">
        <v>42</v>
      </c>
      <c r="H1064" s="39">
        <v>45925</v>
      </c>
      <c r="I1064" s="79">
        <v>490</v>
      </c>
      <c r="J1064" s="91">
        <v>200</v>
      </c>
      <c r="K1064" s="84">
        <v>0.03</v>
      </c>
      <c r="L1064" s="30" t="s">
        <v>36</v>
      </c>
      <c r="M1064" s="160">
        <v>98000</v>
      </c>
      <c r="N1064" s="160">
        <v>95060</v>
      </c>
      <c r="O1064" s="30" t="s">
        <v>265</v>
      </c>
    </row>
    <row r="1065" spans="1:15" x14ac:dyDescent="0.3">
      <c r="A1065" s="115" t="s">
        <v>709</v>
      </c>
      <c r="B1065" s="10" t="s">
        <v>58</v>
      </c>
      <c r="C1065" s="32" t="s">
        <v>255</v>
      </c>
      <c r="D1065" s="32" t="s">
        <v>59</v>
      </c>
      <c r="E1065" s="32" t="s">
        <v>27</v>
      </c>
      <c r="F1065" s="32" t="s">
        <v>46</v>
      </c>
      <c r="G1065" s="32" t="s">
        <v>42</v>
      </c>
      <c r="H1065" s="41">
        <v>45925</v>
      </c>
      <c r="I1065" s="81">
        <v>64</v>
      </c>
      <c r="J1065" s="93">
        <v>2800</v>
      </c>
      <c r="K1065" s="86">
        <v>0</v>
      </c>
      <c r="L1065" s="32" t="s">
        <v>36</v>
      </c>
      <c r="M1065" s="162">
        <v>179200</v>
      </c>
      <c r="N1065" s="162">
        <v>179200</v>
      </c>
      <c r="O1065" s="32" t="s">
        <v>267</v>
      </c>
    </row>
    <row r="1066" spans="1:15" x14ac:dyDescent="0.3">
      <c r="A1066" s="115" t="s">
        <v>710</v>
      </c>
      <c r="B1066" s="11" t="s">
        <v>44</v>
      </c>
      <c r="C1066" s="30" t="s">
        <v>254</v>
      </c>
      <c r="D1066" s="30" t="s">
        <v>39</v>
      </c>
      <c r="E1066" s="30" t="s">
        <v>33</v>
      </c>
      <c r="F1066" s="30" t="s">
        <v>28</v>
      </c>
      <c r="G1066" s="30" t="s">
        <v>53</v>
      </c>
      <c r="H1066" s="39">
        <v>45926</v>
      </c>
      <c r="I1066" s="79">
        <v>232</v>
      </c>
      <c r="J1066" s="91">
        <v>200</v>
      </c>
      <c r="K1066" s="84">
        <v>0.14000000000000001</v>
      </c>
      <c r="L1066" s="30" t="s">
        <v>36</v>
      </c>
      <c r="M1066" s="160">
        <v>46400</v>
      </c>
      <c r="N1066" s="160">
        <v>39904</v>
      </c>
      <c r="O1066" s="30" t="s">
        <v>265</v>
      </c>
    </row>
    <row r="1067" spans="1:15" x14ac:dyDescent="0.3">
      <c r="A1067" s="115" t="s">
        <v>711</v>
      </c>
      <c r="B1067" s="10" t="s">
        <v>55</v>
      </c>
      <c r="C1067" s="32" t="s">
        <v>249</v>
      </c>
      <c r="D1067" s="32" t="s">
        <v>39</v>
      </c>
      <c r="E1067" s="32" t="s">
        <v>51</v>
      </c>
      <c r="F1067" s="32" t="s">
        <v>28</v>
      </c>
      <c r="G1067" s="32" t="s">
        <v>42</v>
      </c>
      <c r="H1067" s="41">
        <v>45927</v>
      </c>
      <c r="I1067" s="81">
        <v>68</v>
      </c>
      <c r="J1067" s="93">
        <v>650</v>
      </c>
      <c r="K1067" s="86">
        <v>0</v>
      </c>
      <c r="L1067" s="32" t="s">
        <v>30</v>
      </c>
      <c r="M1067" s="162">
        <v>44200</v>
      </c>
      <c r="N1067" s="162">
        <v>44200</v>
      </c>
      <c r="O1067" s="32" t="s">
        <v>265</v>
      </c>
    </row>
    <row r="1068" spans="1:15" x14ac:dyDescent="0.3">
      <c r="A1068" s="115" t="s">
        <v>712</v>
      </c>
      <c r="B1068" s="11" t="s">
        <v>58</v>
      </c>
      <c r="C1068" s="30" t="s">
        <v>255</v>
      </c>
      <c r="D1068" s="30" t="s">
        <v>59</v>
      </c>
      <c r="E1068" s="30" t="s">
        <v>40</v>
      </c>
      <c r="F1068" s="30" t="s">
        <v>41</v>
      </c>
      <c r="G1068" s="30" t="s">
        <v>47</v>
      </c>
      <c r="H1068" s="39">
        <v>45927</v>
      </c>
      <c r="I1068" s="79">
        <v>373</v>
      </c>
      <c r="J1068" s="91">
        <v>2800</v>
      </c>
      <c r="K1068" s="84">
        <v>0.08</v>
      </c>
      <c r="L1068" s="30" t="s">
        <v>36</v>
      </c>
      <c r="M1068" s="160">
        <v>1044400</v>
      </c>
      <c r="N1068" s="160">
        <v>960848</v>
      </c>
      <c r="O1068" s="30" t="s">
        <v>277</v>
      </c>
    </row>
    <row r="1069" spans="1:15" x14ac:dyDescent="0.3">
      <c r="A1069" s="115" t="s">
        <v>713</v>
      </c>
      <c r="B1069" s="10" t="s">
        <v>38</v>
      </c>
      <c r="C1069" s="32" t="s">
        <v>247</v>
      </c>
      <c r="D1069" s="32" t="s">
        <v>39</v>
      </c>
      <c r="E1069" s="32" t="s">
        <v>33</v>
      </c>
      <c r="F1069" s="32" t="s">
        <v>41</v>
      </c>
      <c r="G1069" s="32" t="s">
        <v>56</v>
      </c>
      <c r="H1069" s="41">
        <v>45927</v>
      </c>
      <c r="I1069" s="81">
        <v>232</v>
      </c>
      <c r="J1069" s="93">
        <v>1200</v>
      </c>
      <c r="K1069" s="86">
        <v>0.15</v>
      </c>
      <c r="L1069" s="32" t="s">
        <v>36</v>
      </c>
      <c r="M1069" s="162">
        <v>278400</v>
      </c>
      <c r="N1069" s="162">
        <v>236640</v>
      </c>
      <c r="O1069" s="32" t="s">
        <v>267</v>
      </c>
    </row>
    <row r="1070" spans="1:15" x14ac:dyDescent="0.3">
      <c r="A1070" s="115" t="s">
        <v>714</v>
      </c>
      <c r="B1070" s="11" t="s">
        <v>258</v>
      </c>
      <c r="C1070" s="30" t="s">
        <v>259</v>
      </c>
      <c r="D1070" s="30" t="s">
        <v>26</v>
      </c>
      <c r="E1070" s="30" t="s">
        <v>40</v>
      </c>
      <c r="F1070" s="30" t="s">
        <v>52</v>
      </c>
      <c r="G1070" s="30" t="s">
        <v>53</v>
      </c>
      <c r="H1070" s="39">
        <v>45928</v>
      </c>
      <c r="I1070" s="79">
        <v>119</v>
      </c>
      <c r="J1070" s="91">
        <v>680</v>
      </c>
      <c r="K1070" s="84">
        <v>0.11</v>
      </c>
      <c r="L1070" s="30" t="s">
        <v>36</v>
      </c>
      <c r="M1070" s="160">
        <v>80920</v>
      </c>
      <c r="N1070" s="160">
        <v>72018.8</v>
      </c>
      <c r="O1070" s="30" t="s">
        <v>265</v>
      </c>
    </row>
    <row r="1071" spans="1:15" x14ac:dyDescent="0.3">
      <c r="A1071" s="115" t="s">
        <v>715</v>
      </c>
      <c r="B1071" s="10" t="s">
        <v>55</v>
      </c>
      <c r="C1071" s="32" t="s">
        <v>249</v>
      </c>
      <c r="D1071" s="32" t="s">
        <v>39</v>
      </c>
      <c r="E1071" s="32" t="s">
        <v>33</v>
      </c>
      <c r="F1071" s="32" t="s">
        <v>46</v>
      </c>
      <c r="G1071" s="32" t="s">
        <v>29</v>
      </c>
      <c r="H1071" s="41">
        <v>45928</v>
      </c>
      <c r="I1071" s="81">
        <v>78</v>
      </c>
      <c r="J1071" s="93">
        <v>650</v>
      </c>
      <c r="K1071" s="86">
        <v>0.03</v>
      </c>
      <c r="L1071" s="32" t="s">
        <v>36</v>
      </c>
      <c r="M1071" s="162">
        <v>50700</v>
      </c>
      <c r="N1071" s="162">
        <v>49179</v>
      </c>
      <c r="O1071" s="32" t="s">
        <v>265</v>
      </c>
    </row>
    <row r="1072" spans="1:15" x14ac:dyDescent="0.3">
      <c r="A1072" s="115" t="s">
        <v>716</v>
      </c>
      <c r="B1072" s="11" t="s">
        <v>55</v>
      </c>
      <c r="C1072" s="30" t="s">
        <v>249</v>
      </c>
      <c r="D1072" s="30" t="s">
        <v>39</v>
      </c>
      <c r="E1072" s="30" t="s">
        <v>27</v>
      </c>
      <c r="F1072" s="30" t="s">
        <v>52</v>
      </c>
      <c r="G1072" s="30" t="s">
        <v>35</v>
      </c>
      <c r="H1072" s="39">
        <v>45930</v>
      </c>
      <c r="I1072" s="79">
        <v>429</v>
      </c>
      <c r="J1072" s="91">
        <v>650</v>
      </c>
      <c r="K1072" s="84">
        <v>0.03</v>
      </c>
      <c r="L1072" s="30" t="s">
        <v>36</v>
      </c>
      <c r="M1072" s="160">
        <v>278850</v>
      </c>
      <c r="N1072" s="160">
        <v>270484.5</v>
      </c>
      <c r="O1072" s="30" t="s">
        <v>267</v>
      </c>
    </row>
    <row r="1073" spans="1:15" x14ac:dyDescent="0.3">
      <c r="A1073" s="115" t="s">
        <v>717</v>
      </c>
      <c r="B1073" s="10" t="s">
        <v>25</v>
      </c>
      <c r="C1073" s="32" t="s">
        <v>257</v>
      </c>
      <c r="D1073" s="32" t="s">
        <v>26</v>
      </c>
      <c r="E1073" s="32" t="s">
        <v>40</v>
      </c>
      <c r="F1073" s="32" t="s">
        <v>34</v>
      </c>
      <c r="G1073" s="32" t="s">
        <v>53</v>
      </c>
      <c r="H1073" s="41">
        <v>45930</v>
      </c>
      <c r="I1073" s="81">
        <v>180</v>
      </c>
      <c r="J1073" s="93">
        <v>350</v>
      </c>
      <c r="K1073" s="86">
        <v>0.12</v>
      </c>
      <c r="L1073" s="32" t="s">
        <v>36</v>
      </c>
      <c r="M1073" s="162">
        <v>63000</v>
      </c>
      <c r="N1073" s="162">
        <v>55440</v>
      </c>
      <c r="O1073" s="32" t="s">
        <v>265</v>
      </c>
    </row>
    <row r="1074" spans="1:15" x14ac:dyDescent="0.3">
      <c r="A1074" s="115" t="s">
        <v>718</v>
      </c>
      <c r="B1074" s="11" t="s">
        <v>38</v>
      </c>
      <c r="C1074" s="30" t="s">
        <v>247</v>
      </c>
      <c r="D1074" s="30" t="s">
        <v>39</v>
      </c>
      <c r="E1074" s="30" t="s">
        <v>51</v>
      </c>
      <c r="F1074" s="30" t="s">
        <v>41</v>
      </c>
      <c r="G1074" s="30" t="s">
        <v>53</v>
      </c>
      <c r="H1074" s="39">
        <v>45930</v>
      </c>
      <c r="I1074" s="79">
        <v>291</v>
      </c>
      <c r="J1074" s="91">
        <v>1200</v>
      </c>
      <c r="K1074" s="84">
        <v>0.13</v>
      </c>
      <c r="L1074" s="30" t="s">
        <v>36</v>
      </c>
      <c r="M1074" s="160">
        <v>349200</v>
      </c>
      <c r="N1074" s="160">
        <v>303804</v>
      </c>
      <c r="O1074" s="30" t="s">
        <v>267</v>
      </c>
    </row>
    <row r="1075" spans="1:15" x14ac:dyDescent="0.3">
      <c r="A1075" s="115" t="s">
        <v>719</v>
      </c>
      <c r="B1075" s="10" t="s">
        <v>16</v>
      </c>
      <c r="C1075" s="32" t="s">
        <v>250</v>
      </c>
      <c r="D1075" s="32" t="s">
        <v>39</v>
      </c>
      <c r="E1075" s="32" t="s">
        <v>33</v>
      </c>
      <c r="F1075" s="32" t="s">
        <v>41</v>
      </c>
      <c r="G1075" s="32" t="s">
        <v>47</v>
      </c>
      <c r="H1075" s="41">
        <v>45932</v>
      </c>
      <c r="I1075" s="81">
        <v>131</v>
      </c>
      <c r="J1075" s="93">
        <v>990</v>
      </c>
      <c r="K1075" s="86">
        <v>0.03</v>
      </c>
      <c r="L1075" s="32" t="s">
        <v>30</v>
      </c>
      <c r="M1075" s="162">
        <v>129690</v>
      </c>
      <c r="N1075" s="162">
        <v>125799.3</v>
      </c>
      <c r="O1075" s="32" t="s">
        <v>267</v>
      </c>
    </row>
    <row r="1076" spans="1:15" x14ac:dyDescent="0.3">
      <c r="A1076" s="115" t="s">
        <v>720</v>
      </c>
      <c r="B1076" s="11" t="s">
        <v>16</v>
      </c>
      <c r="C1076" s="30" t="s">
        <v>250</v>
      </c>
      <c r="D1076" s="30" t="s">
        <v>39</v>
      </c>
      <c r="E1076" s="30" t="s">
        <v>45</v>
      </c>
      <c r="F1076" s="30" t="s">
        <v>41</v>
      </c>
      <c r="G1076" s="30" t="s">
        <v>53</v>
      </c>
      <c r="H1076" s="39">
        <v>45932</v>
      </c>
      <c r="I1076" s="79">
        <v>69</v>
      </c>
      <c r="J1076" s="91">
        <v>990</v>
      </c>
      <c r="K1076" s="84">
        <v>0</v>
      </c>
      <c r="L1076" s="30" t="s">
        <v>36</v>
      </c>
      <c r="M1076" s="160">
        <v>68310</v>
      </c>
      <c r="N1076" s="160">
        <v>68310</v>
      </c>
      <c r="O1076" s="30" t="s">
        <v>265</v>
      </c>
    </row>
    <row r="1077" spans="1:15" x14ac:dyDescent="0.3">
      <c r="A1077" s="115" t="s">
        <v>721</v>
      </c>
      <c r="B1077" s="10" t="s">
        <v>38</v>
      </c>
      <c r="C1077" s="32" t="s">
        <v>247</v>
      </c>
      <c r="D1077" s="32" t="s">
        <v>39</v>
      </c>
      <c r="E1077" s="32" t="s">
        <v>45</v>
      </c>
      <c r="F1077" s="32" t="s">
        <v>52</v>
      </c>
      <c r="G1077" s="32" t="s">
        <v>47</v>
      </c>
      <c r="H1077" s="41">
        <v>45934</v>
      </c>
      <c r="I1077" s="81">
        <v>359</v>
      </c>
      <c r="J1077" s="93">
        <v>1200</v>
      </c>
      <c r="K1077" s="86">
        <v>0.12</v>
      </c>
      <c r="L1077" s="32" t="s">
        <v>36</v>
      </c>
      <c r="M1077" s="162">
        <v>430800</v>
      </c>
      <c r="N1077" s="162">
        <v>379104</v>
      </c>
      <c r="O1077" s="32" t="s">
        <v>277</v>
      </c>
    </row>
    <row r="1078" spans="1:15" x14ac:dyDescent="0.3">
      <c r="A1078" s="115" t="s">
        <v>722</v>
      </c>
      <c r="B1078" s="11" t="s">
        <v>58</v>
      </c>
      <c r="C1078" s="30" t="s">
        <v>255</v>
      </c>
      <c r="D1078" s="30" t="s">
        <v>59</v>
      </c>
      <c r="E1078" s="30" t="s">
        <v>51</v>
      </c>
      <c r="F1078" s="30" t="s">
        <v>34</v>
      </c>
      <c r="G1078" s="30" t="s">
        <v>35</v>
      </c>
      <c r="H1078" s="39">
        <v>45934</v>
      </c>
      <c r="I1078" s="79">
        <v>224</v>
      </c>
      <c r="J1078" s="91">
        <v>2800</v>
      </c>
      <c r="K1078" s="84">
        <v>0</v>
      </c>
      <c r="L1078" s="30" t="s">
        <v>36</v>
      </c>
      <c r="M1078" s="160">
        <v>627200</v>
      </c>
      <c r="N1078" s="160">
        <v>627200</v>
      </c>
      <c r="O1078" s="30" t="s">
        <v>277</v>
      </c>
    </row>
    <row r="1079" spans="1:15" x14ac:dyDescent="0.3">
      <c r="A1079" s="115" t="s">
        <v>723</v>
      </c>
      <c r="B1079" s="10" t="s">
        <v>63</v>
      </c>
      <c r="C1079" s="32" t="s">
        <v>253</v>
      </c>
      <c r="D1079" s="32" t="s">
        <v>50</v>
      </c>
      <c r="E1079" s="32" t="s">
        <v>40</v>
      </c>
      <c r="F1079" s="32" t="s">
        <v>41</v>
      </c>
      <c r="G1079" s="32" t="s">
        <v>35</v>
      </c>
      <c r="H1079" s="41">
        <v>45934</v>
      </c>
      <c r="I1079" s="81">
        <v>177</v>
      </c>
      <c r="J1079" s="93">
        <v>750</v>
      </c>
      <c r="K1079" s="86">
        <v>0.15</v>
      </c>
      <c r="L1079" s="32" t="s">
        <v>36</v>
      </c>
      <c r="M1079" s="162">
        <v>132750</v>
      </c>
      <c r="N1079" s="162">
        <v>112837.5</v>
      </c>
      <c r="O1079" s="32" t="s">
        <v>267</v>
      </c>
    </row>
    <row r="1080" spans="1:15" x14ac:dyDescent="0.3">
      <c r="A1080" s="115" t="s">
        <v>724</v>
      </c>
      <c r="B1080" s="11" t="s">
        <v>25</v>
      </c>
      <c r="C1080" s="30" t="s">
        <v>257</v>
      </c>
      <c r="D1080" s="30" t="s">
        <v>26</v>
      </c>
      <c r="E1080" s="30" t="s">
        <v>45</v>
      </c>
      <c r="F1080" s="30" t="s">
        <v>34</v>
      </c>
      <c r="G1080" s="30" t="s">
        <v>47</v>
      </c>
      <c r="H1080" s="39">
        <v>45935</v>
      </c>
      <c r="I1080" s="79">
        <v>256</v>
      </c>
      <c r="J1080" s="91">
        <v>350</v>
      </c>
      <c r="K1080" s="84">
        <v>0.05</v>
      </c>
      <c r="L1080" s="30" t="s">
        <v>30</v>
      </c>
      <c r="M1080" s="160">
        <v>89600</v>
      </c>
      <c r="N1080" s="160">
        <v>85120</v>
      </c>
      <c r="O1080" s="30" t="s">
        <v>265</v>
      </c>
    </row>
    <row r="1081" spans="1:15" x14ac:dyDescent="0.3">
      <c r="A1081" s="115" t="s">
        <v>725</v>
      </c>
      <c r="B1081" s="10" t="s">
        <v>25</v>
      </c>
      <c r="C1081" s="32" t="s">
        <v>257</v>
      </c>
      <c r="D1081" s="32" t="s">
        <v>26</v>
      </c>
      <c r="E1081" s="32" t="s">
        <v>45</v>
      </c>
      <c r="F1081" s="32" t="s">
        <v>28</v>
      </c>
      <c r="G1081" s="32" t="s">
        <v>53</v>
      </c>
      <c r="H1081" s="41">
        <v>45936</v>
      </c>
      <c r="I1081" s="81">
        <v>131</v>
      </c>
      <c r="J1081" s="93">
        <v>350</v>
      </c>
      <c r="K1081" s="86">
        <v>0.1</v>
      </c>
      <c r="L1081" s="32" t="s">
        <v>36</v>
      </c>
      <c r="M1081" s="162">
        <v>45850</v>
      </c>
      <c r="N1081" s="162">
        <v>41265</v>
      </c>
      <c r="O1081" s="32" t="s">
        <v>265</v>
      </c>
    </row>
    <row r="1082" spans="1:15" x14ac:dyDescent="0.3">
      <c r="A1082" s="115" t="s">
        <v>726</v>
      </c>
      <c r="B1082" s="11" t="s">
        <v>61</v>
      </c>
      <c r="C1082" s="30" t="s">
        <v>244</v>
      </c>
      <c r="D1082" s="30" t="s">
        <v>26</v>
      </c>
      <c r="E1082" s="30" t="s">
        <v>45</v>
      </c>
      <c r="F1082" s="30" t="s">
        <v>34</v>
      </c>
      <c r="G1082" s="30" t="s">
        <v>47</v>
      </c>
      <c r="H1082" s="39">
        <v>45936</v>
      </c>
      <c r="I1082" s="79">
        <v>143</v>
      </c>
      <c r="J1082" s="91">
        <v>280</v>
      </c>
      <c r="K1082" s="84">
        <v>0</v>
      </c>
      <c r="L1082" s="30" t="s">
        <v>36</v>
      </c>
      <c r="M1082" s="160">
        <v>40040</v>
      </c>
      <c r="N1082" s="160">
        <v>40040</v>
      </c>
      <c r="O1082" s="30" t="s">
        <v>265</v>
      </c>
    </row>
    <row r="1083" spans="1:15" x14ac:dyDescent="0.3">
      <c r="A1083" s="115" t="s">
        <v>727</v>
      </c>
      <c r="B1083" s="10" t="s">
        <v>38</v>
      </c>
      <c r="C1083" s="32" t="s">
        <v>247</v>
      </c>
      <c r="D1083" s="32" t="s">
        <v>39</v>
      </c>
      <c r="E1083" s="32" t="s">
        <v>40</v>
      </c>
      <c r="F1083" s="32" t="s">
        <v>46</v>
      </c>
      <c r="G1083" s="32" t="s">
        <v>53</v>
      </c>
      <c r="H1083" s="41">
        <v>45937</v>
      </c>
      <c r="I1083" s="81">
        <v>277</v>
      </c>
      <c r="J1083" s="93">
        <v>1200</v>
      </c>
      <c r="K1083" s="86">
        <v>7.0000000000000007E-2</v>
      </c>
      <c r="L1083" s="32" t="s">
        <v>36</v>
      </c>
      <c r="M1083" s="162">
        <v>332400</v>
      </c>
      <c r="N1083" s="162">
        <v>309132</v>
      </c>
      <c r="O1083" s="32" t="s">
        <v>267</v>
      </c>
    </row>
    <row r="1084" spans="1:15" x14ac:dyDescent="0.3">
      <c r="A1084" s="115" t="s">
        <v>728</v>
      </c>
      <c r="B1084" s="11" t="s">
        <v>49</v>
      </c>
      <c r="C1084" s="30" t="s">
        <v>251</v>
      </c>
      <c r="D1084" s="30" t="s">
        <v>50</v>
      </c>
      <c r="E1084" s="30" t="s">
        <v>27</v>
      </c>
      <c r="F1084" s="30" t="s">
        <v>41</v>
      </c>
      <c r="G1084" s="30" t="s">
        <v>29</v>
      </c>
      <c r="H1084" s="39">
        <v>45938</v>
      </c>
      <c r="I1084" s="79">
        <v>282</v>
      </c>
      <c r="J1084" s="91">
        <v>895</v>
      </c>
      <c r="K1084" s="84">
        <v>0.14000000000000001</v>
      </c>
      <c r="L1084" s="30" t="s">
        <v>36</v>
      </c>
      <c r="M1084" s="160">
        <v>252390</v>
      </c>
      <c r="N1084" s="160">
        <v>217055.4</v>
      </c>
      <c r="O1084" s="30" t="s">
        <v>267</v>
      </c>
    </row>
    <row r="1085" spans="1:15" x14ac:dyDescent="0.3">
      <c r="A1085" s="115" t="s">
        <v>729</v>
      </c>
      <c r="B1085" s="10" t="s">
        <v>58</v>
      </c>
      <c r="C1085" s="32" t="s">
        <v>255</v>
      </c>
      <c r="D1085" s="32" t="s">
        <v>59</v>
      </c>
      <c r="E1085" s="32" t="s">
        <v>33</v>
      </c>
      <c r="F1085" s="32" t="s">
        <v>28</v>
      </c>
      <c r="G1085" s="32" t="s">
        <v>42</v>
      </c>
      <c r="H1085" s="41">
        <v>45941</v>
      </c>
      <c r="I1085" s="81">
        <v>152</v>
      </c>
      <c r="J1085" s="93">
        <v>2800</v>
      </c>
      <c r="K1085" s="86">
        <v>0.13</v>
      </c>
      <c r="L1085" s="32" t="s">
        <v>36</v>
      </c>
      <c r="M1085" s="162">
        <v>425600</v>
      </c>
      <c r="N1085" s="162">
        <v>370272</v>
      </c>
      <c r="O1085" s="32" t="s">
        <v>277</v>
      </c>
    </row>
    <row r="1086" spans="1:15" x14ac:dyDescent="0.3">
      <c r="A1086" s="115" t="s">
        <v>730</v>
      </c>
      <c r="B1086" s="11" t="s">
        <v>258</v>
      </c>
      <c r="C1086" s="30" t="s">
        <v>259</v>
      </c>
      <c r="D1086" s="30" t="s">
        <v>26</v>
      </c>
      <c r="E1086" s="30" t="s">
        <v>51</v>
      </c>
      <c r="F1086" s="30" t="s">
        <v>28</v>
      </c>
      <c r="G1086" s="30" t="s">
        <v>42</v>
      </c>
      <c r="H1086" s="39">
        <v>45941</v>
      </c>
      <c r="I1086" s="79">
        <v>374</v>
      </c>
      <c r="J1086" s="91">
        <v>680</v>
      </c>
      <c r="K1086" s="84">
        <v>0.15</v>
      </c>
      <c r="L1086" s="30" t="s">
        <v>36</v>
      </c>
      <c r="M1086" s="160">
        <v>254320</v>
      </c>
      <c r="N1086" s="160">
        <v>216172</v>
      </c>
      <c r="O1086" s="30" t="s">
        <v>267</v>
      </c>
    </row>
    <row r="1087" spans="1:15" x14ac:dyDescent="0.3">
      <c r="A1087" s="115" t="s">
        <v>731</v>
      </c>
      <c r="B1087" s="10" t="s">
        <v>25</v>
      </c>
      <c r="C1087" s="32" t="s">
        <v>257</v>
      </c>
      <c r="D1087" s="32" t="s">
        <v>26</v>
      </c>
      <c r="E1087" s="32" t="s">
        <v>45</v>
      </c>
      <c r="F1087" s="32" t="s">
        <v>28</v>
      </c>
      <c r="G1087" s="32" t="s">
        <v>35</v>
      </c>
      <c r="H1087" s="41">
        <v>45942</v>
      </c>
      <c r="I1087" s="81">
        <v>254</v>
      </c>
      <c r="J1087" s="93">
        <v>350</v>
      </c>
      <c r="K1087" s="86">
        <v>0</v>
      </c>
      <c r="L1087" s="32" t="s">
        <v>36</v>
      </c>
      <c r="M1087" s="162">
        <v>88900</v>
      </c>
      <c r="N1087" s="162">
        <v>88900</v>
      </c>
      <c r="O1087" s="32" t="s">
        <v>265</v>
      </c>
    </row>
    <row r="1088" spans="1:15" x14ac:dyDescent="0.3">
      <c r="A1088" s="115" t="s">
        <v>732</v>
      </c>
      <c r="B1088" s="11" t="s">
        <v>61</v>
      </c>
      <c r="C1088" s="30" t="s">
        <v>244</v>
      </c>
      <c r="D1088" s="30" t="s">
        <v>26</v>
      </c>
      <c r="E1088" s="30" t="s">
        <v>27</v>
      </c>
      <c r="F1088" s="30" t="s">
        <v>52</v>
      </c>
      <c r="G1088" s="30" t="s">
        <v>53</v>
      </c>
      <c r="H1088" s="39">
        <v>45942</v>
      </c>
      <c r="I1088" s="79">
        <v>266</v>
      </c>
      <c r="J1088" s="91">
        <v>280</v>
      </c>
      <c r="K1088" s="84">
        <v>0</v>
      </c>
      <c r="L1088" s="30" t="s">
        <v>30</v>
      </c>
      <c r="M1088" s="160">
        <v>74480</v>
      </c>
      <c r="N1088" s="160">
        <v>74480</v>
      </c>
      <c r="O1088" s="30" t="s">
        <v>265</v>
      </c>
    </row>
    <row r="1089" spans="1:15" x14ac:dyDescent="0.3">
      <c r="A1089" s="115" t="s">
        <v>733</v>
      </c>
      <c r="B1089" s="10" t="s">
        <v>61</v>
      </c>
      <c r="C1089" s="32" t="s">
        <v>244</v>
      </c>
      <c r="D1089" s="32" t="s">
        <v>26</v>
      </c>
      <c r="E1089" s="32" t="s">
        <v>33</v>
      </c>
      <c r="F1089" s="32" t="s">
        <v>34</v>
      </c>
      <c r="G1089" s="32" t="s">
        <v>29</v>
      </c>
      <c r="H1089" s="41">
        <v>45942</v>
      </c>
      <c r="I1089" s="81">
        <v>396</v>
      </c>
      <c r="J1089" s="93">
        <v>280</v>
      </c>
      <c r="K1089" s="86">
        <v>0.1</v>
      </c>
      <c r="L1089" s="32" t="s">
        <v>36</v>
      </c>
      <c r="M1089" s="162">
        <v>110880</v>
      </c>
      <c r="N1089" s="162">
        <v>99792</v>
      </c>
      <c r="O1089" s="32" t="s">
        <v>265</v>
      </c>
    </row>
    <row r="1090" spans="1:15" x14ac:dyDescent="0.3">
      <c r="A1090" s="115" t="s">
        <v>734</v>
      </c>
      <c r="B1090" s="11" t="s">
        <v>44</v>
      </c>
      <c r="C1090" s="30" t="s">
        <v>254</v>
      </c>
      <c r="D1090" s="30" t="s">
        <v>39</v>
      </c>
      <c r="E1090" s="30" t="s">
        <v>33</v>
      </c>
      <c r="F1090" s="30" t="s">
        <v>52</v>
      </c>
      <c r="G1090" s="30" t="s">
        <v>47</v>
      </c>
      <c r="H1090" s="39">
        <v>45946</v>
      </c>
      <c r="I1090" s="79">
        <v>94</v>
      </c>
      <c r="J1090" s="91">
        <v>200</v>
      </c>
      <c r="K1090" s="84">
        <v>0.03</v>
      </c>
      <c r="L1090" s="30" t="s">
        <v>30</v>
      </c>
      <c r="M1090" s="160">
        <v>18800</v>
      </c>
      <c r="N1090" s="160">
        <v>18236</v>
      </c>
      <c r="O1090" s="30" t="s">
        <v>265</v>
      </c>
    </row>
    <row r="1091" spans="1:15" x14ac:dyDescent="0.3">
      <c r="A1091" s="115" t="s">
        <v>735</v>
      </c>
      <c r="B1091" s="10" t="s">
        <v>38</v>
      </c>
      <c r="C1091" s="32" t="s">
        <v>247</v>
      </c>
      <c r="D1091" s="32" t="s">
        <v>39</v>
      </c>
      <c r="E1091" s="32" t="s">
        <v>33</v>
      </c>
      <c r="F1091" s="32" t="s">
        <v>46</v>
      </c>
      <c r="G1091" s="32" t="s">
        <v>53</v>
      </c>
      <c r="H1091" s="41">
        <v>45947</v>
      </c>
      <c r="I1091" s="81">
        <v>221</v>
      </c>
      <c r="J1091" s="93">
        <v>1200</v>
      </c>
      <c r="K1091" s="86">
        <v>0.05</v>
      </c>
      <c r="L1091" s="32" t="s">
        <v>30</v>
      </c>
      <c r="M1091" s="162">
        <v>265200</v>
      </c>
      <c r="N1091" s="162">
        <v>251940</v>
      </c>
      <c r="O1091" s="32" t="s">
        <v>267</v>
      </c>
    </row>
    <row r="1092" spans="1:15" x14ac:dyDescent="0.3">
      <c r="A1092" s="115" t="s">
        <v>736</v>
      </c>
      <c r="B1092" s="11" t="s">
        <v>44</v>
      </c>
      <c r="C1092" s="30" t="s">
        <v>254</v>
      </c>
      <c r="D1092" s="30" t="s">
        <v>39</v>
      </c>
      <c r="E1092" s="30" t="s">
        <v>27</v>
      </c>
      <c r="F1092" s="30" t="s">
        <v>52</v>
      </c>
      <c r="G1092" s="30" t="s">
        <v>29</v>
      </c>
      <c r="H1092" s="39">
        <v>45948</v>
      </c>
      <c r="I1092" s="79">
        <v>211</v>
      </c>
      <c r="J1092" s="91">
        <v>200</v>
      </c>
      <c r="K1092" s="84">
        <v>0.05</v>
      </c>
      <c r="L1092" s="30" t="s">
        <v>36</v>
      </c>
      <c r="M1092" s="160">
        <v>42200</v>
      </c>
      <c r="N1092" s="160">
        <v>40090</v>
      </c>
      <c r="O1092" s="30" t="s">
        <v>265</v>
      </c>
    </row>
    <row r="1093" spans="1:15" x14ac:dyDescent="0.3">
      <c r="A1093" s="115" t="s">
        <v>737</v>
      </c>
      <c r="B1093" s="10" t="s">
        <v>44</v>
      </c>
      <c r="C1093" s="32" t="s">
        <v>254</v>
      </c>
      <c r="D1093" s="32" t="s">
        <v>39</v>
      </c>
      <c r="E1093" s="32" t="s">
        <v>45</v>
      </c>
      <c r="F1093" s="32" t="s">
        <v>41</v>
      </c>
      <c r="G1093" s="32" t="s">
        <v>29</v>
      </c>
      <c r="H1093" s="41">
        <v>45948</v>
      </c>
      <c r="I1093" s="81">
        <v>474</v>
      </c>
      <c r="J1093" s="93">
        <v>200</v>
      </c>
      <c r="K1093" s="86">
        <v>0.05</v>
      </c>
      <c r="L1093" s="32" t="s">
        <v>36</v>
      </c>
      <c r="M1093" s="162">
        <v>94800</v>
      </c>
      <c r="N1093" s="162">
        <v>90060</v>
      </c>
      <c r="O1093" s="32" t="s">
        <v>265</v>
      </c>
    </row>
    <row r="1094" spans="1:15" x14ac:dyDescent="0.3">
      <c r="A1094" s="115" t="s">
        <v>738</v>
      </c>
      <c r="B1094" s="11" t="s">
        <v>55</v>
      </c>
      <c r="C1094" s="30" t="s">
        <v>249</v>
      </c>
      <c r="D1094" s="30" t="s">
        <v>39</v>
      </c>
      <c r="E1094" s="30" t="s">
        <v>33</v>
      </c>
      <c r="F1094" s="30" t="s">
        <v>34</v>
      </c>
      <c r="G1094" s="30" t="s">
        <v>47</v>
      </c>
      <c r="H1094" s="39">
        <v>45948</v>
      </c>
      <c r="I1094" s="79">
        <v>239</v>
      </c>
      <c r="J1094" s="91">
        <v>650</v>
      </c>
      <c r="K1094" s="84">
        <v>0.1</v>
      </c>
      <c r="L1094" s="30" t="s">
        <v>36</v>
      </c>
      <c r="M1094" s="160">
        <v>155350</v>
      </c>
      <c r="N1094" s="160">
        <v>139815</v>
      </c>
      <c r="O1094" s="30" t="s">
        <v>267</v>
      </c>
    </row>
    <row r="1095" spans="1:15" x14ac:dyDescent="0.3">
      <c r="A1095" s="115" t="s">
        <v>739</v>
      </c>
      <c r="B1095" s="10" t="s">
        <v>55</v>
      </c>
      <c r="C1095" s="32" t="s">
        <v>249</v>
      </c>
      <c r="D1095" s="32" t="s">
        <v>39</v>
      </c>
      <c r="E1095" s="32" t="s">
        <v>33</v>
      </c>
      <c r="F1095" s="32" t="s">
        <v>34</v>
      </c>
      <c r="G1095" s="32" t="s">
        <v>35</v>
      </c>
      <c r="H1095" s="41">
        <v>45949</v>
      </c>
      <c r="I1095" s="81">
        <v>92</v>
      </c>
      <c r="J1095" s="93">
        <v>650</v>
      </c>
      <c r="K1095" s="86">
        <v>0.05</v>
      </c>
      <c r="L1095" s="32" t="s">
        <v>36</v>
      </c>
      <c r="M1095" s="162">
        <v>59800</v>
      </c>
      <c r="N1095" s="162">
        <v>56810</v>
      </c>
      <c r="O1095" s="32" t="s">
        <v>265</v>
      </c>
    </row>
    <row r="1096" spans="1:15" x14ac:dyDescent="0.3">
      <c r="A1096" s="115" t="s">
        <v>740</v>
      </c>
      <c r="B1096" s="11" t="s">
        <v>49</v>
      </c>
      <c r="C1096" s="30" t="s">
        <v>251</v>
      </c>
      <c r="D1096" s="30" t="s">
        <v>50</v>
      </c>
      <c r="E1096" s="30" t="s">
        <v>40</v>
      </c>
      <c r="F1096" s="30" t="s">
        <v>34</v>
      </c>
      <c r="G1096" s="30" t="s">
        <v>47</v>
      </c>
      <c r="H1096" s="39">
        <v>45949</v>
      </c>
      <c r="I1096" s="79">
        <v>256</v>
      </c>
      <c r="J1096" s="91">
        <v>895</v>
      </c>
      <c r="K1096" s="84">
        <v>0.03</v>
      </c>
      <c r="L1096" s="30" t="s">
        <v>36</v>
      </c>
      <c r="M1096" s="160">
        <v>229120</v>
      </c>
      <c r="N1096" s="160">
        <v>222246.39999999999</v>
      </c>
      <c r="O1096" s="30" t="s">
        <v>267</v>
      </c>
    </row>
    <row r="1097" spans="1:15" x14ac:dyDescent="0.3">
      <c r="A1097" s="115" t="s">
        <v>741</v>
      </c>
      <c r="B1097" s="10" t="s">
        <v>38</v>
      </c>
      <c r="C1097" s="32" t="s">
        <v>247</v>
      </c>
      <c r="D1097" s="32" t="s">
        <v>39</v>
      </c>
      <c r="E1097" s="32" t="s">
        <v>40</v>
      </c>
      <c r="F1097" s="32" t="s">
        <v>52</v>
      </c>
      <c r="G1097" s="32" t="s">
        <v>47</v>
      </c>
      <c r="H1097" s="41">
        <v>45949</v>
      </c>
      <c r="I1097" s="81">
        <v>130</v>
      </c>
      <c r="J1097" s="93">
        <v>1200</v>
      </c>
      <c r="K1097" s="86">
        <v>0.03</v>
      </c>
      <c r="L1097" s="32" t="s">
        <v>36</v>
      </c>
      <c r="M1097" s="162">
        <v>156000</v>
      </c>
      <c r="N1097" s="162">
        <v>151320</v>
      </c>
      <c r="O1097" s="32" t="s">
        <v>267</v>
      </c>
    </row>
    <row r="1098" spans="1:15" x14ac:dyDescent="0.3">
      <c r="A1098" s="115" t="s">
        <v>742</v>
      </c>
      <c r="B1098" s="11" t="s">
        <v>16</v>
      </c>
      <c r="C1098" s="30" t="s">
        <v>250</v>
      </c>
      <c r="D1098" s="30" t="s">
        <v>39</v>
      </c>
      <c r="E1098" s="30" t="s">
        <v>40</v>
      </c>
      <c r="F1098" s="30" t="s">
        <v>34</v>
      </c>
      <c r="G1098" s="30" t="s">
        <v>56</v>
      </c>
      <c r="H1098" s="39">
        <v>45950</v>
      </c>
      <c r="I1098" s="79">
        <v>297</v>
      </c>
      <c r="J1098" s="91">
        <v>990</v>
      </c>
      <c r="K1098" s="84">
        <v>0.08</v>
      </c>
      <c r="L1098" s="30" t="s">
        <v>36</v>
      </c>
      <c r="M1098" s="160">
        <v>294030</v>
      </c>
      <c r="N1098" s="160">
        <v>270507.59999999998</v>
      </c>
      <c r="O1098" s="30" t="s">
        <v>267</v>
      </c>
    </row>
    <row r="1099" spans="1:15" x14ac:dyDescent="0.3">
      <c r="A1099" s="115" t="s">
        <v>743</v>
      </c>
      <c r="B1099" s="10" t="s">
        <v>25</v>
      </c>
      <c r="C1099" s="32" t="s">
        <v>257</v>
      </c>
      <c r="D1099" s="32" t="s">
        <v>26</v>
      </c>
      <c r="E1099" s="32" t="s">
        <v>51</v>
      </c>
      <c r="F1099" s="32" t="s">
        <v>34</v>
      </c>
      <c r="G1099" s="32" t="s">
        <v>42</v>
      </c>
      <c r="H1099" s="41">
        <v>45950</v>
      </c>
      <c r="I1099" s="81">
        <v>122</v>
      </c>
      <c r="J1099" s="93">
        <v>350</v>
      </c>
      <c r="K1099" s="86">
        <v>0</v>
      </c>
      <c r="L1099" s="32" t="s">
        <v>36</v>
      </c>
      <c r="M1099" s="162">
        <v>42700</v>
      </c>
      <c r="N1099" s="162">
        <v>42700</v>
      </c>
      <c r="O1099" s="32" t="s">
        <v>265</v>
      </c>
    </row>
    <row r="1100" spans="1:15" x14ac:dyDescent="0.3">
      <c r="A1100" s="115" t="s">
        <v>744</v>
      </c>
      <c r="B1100" s="11" t="s">
        <v>25</v>
      </c>
      <c r="C1100" s="30" t="s">
        <v>257</v>
      </c>
      <c r="D1100" s="30" t="s">
        <v>26</v>
      </c>
      <c r="E1100" s="30" t="s">
        <v>51</v>
      </c>
      <c r="F1100" s="30" t="s">
        <v>46</v>
      </c>
      <c r="G1100" s="30" t="s">
        <v>56</v>
      </c>
      <c r="H1100" s="39">
        <v>45950</v>
      </c>
      <c r="I1100" s="79">
        <v>295</v>
      </c>
      <c r="J1100" s="91">
        <v>350</v>
      </c>
      <c r="K1100" s="84">
        <v>0.13</v>
      </c>
      <c r="L1100" s="30" t="s">
        <v>30</v>
      </c>
      <c r="M1100" s="160">
        <v>103250</v>
      </c>
      <c r="N1100" s="160">
        <v>89827.5</v>
      </c>
      <c r="O1100" s="30" t="s">
        <v>265</v>
      </c>
    </row>
    <row r="1101" spans="1:15" x14ac:dyDescent="0.3">
      <c r="A1101" s="115" t="s">
        <v>745</v>
      </c>
      <c r="B1101" s="10" t="s">
        <v>262</v>
      </c>
      <c r="C1101" s="32" t="s">
        <v>263</v>
      </c>
      <c r="D1101" s="32" t="s">
        <v>50</v>
      </c>
      <c r="E1101" s="32" t="s">
        <v>40</v>
      </c>
      <c r="F1101" s="32" t="s">
        <v>41</v>
      </c>
      <c r="G1101" s="32" t="s">
        <v>35</v>
      </c>
      <c r="H1101" s="41">
        <v>45953</v>
      </c>
      <c r="I1101" s="81">
        <v>254</v>
      </c>
      <c r="J1101" s="93">
        <v>820</v>
      </c>
      <c r="K1101" s="86">
        <v>0.14000000000000001</v>
      </c>
      <c r="L1101" s="32" t="s">
        <v>36</v>
      </c>
      <c r="M1101" s="162">
        <v>208280</v>
      </c>
      <c r="N1101" s="162">
        <v>179120.8</v>
      </c>
      <c r="O1101" s="32" t="s">
        <v>267</v>
      </c>
    </row>
    <row r="1102" spans="1:15" x14ac:dyDescent="0.3">
      <c r="A1102" s="115" t="s">
        <v>746</v>
      </c>
      <c r="B1102" s="11" t="s">
        <v>260</v>
      </c>
      <c r="C1102" s="30" t="s">
        <v>261</v>
      </c>
      <c r="D1102" s="30" t="s">
        <v>39</v>
      </c>
      <c r="E1102" s="30" t="s">
        <v>45</v>
      </c>
      <c r="F1102" s="30" t="s">
        <v>41</v>
      </c>
      <c r="G1102" s="30" t="s">
        <v>56</v>
      </c>
      <c r="H1102" s="39">
        <v>45954</v>
      </c>
      <c r="I1102" s="79">
        <v>265</v>
      </c>
      <c r="J1102" s="91">
        <v>450</v>
      </c>
      <c r="K1102" s="84">
        <v>0.14000000000000001</v>
      </c>
      <c r="L1102" s="30" t="s">
        <v>30</v>
      </c>
      <c r="M1102" s="160">
        <v>119250</v>
      </c>
      <c r="N1102" s="160">
        <v>102555</v>
      </c>
      <c r="O1102" s="30" t="s">
        <v>267</v>
      </c>
    </row>
    <row r="1103" spans="1:15" x14ac:dyDescent="0.3">
      <c r="A1103" s="115" t="s">
        <v>747</v>
      </c>
      <c r="B1103" s="10" t="s">
        <v>61</v>
      </c>
      <c r="C1103" s="32" t="s">
        <v>244</v>
      </c>
      <c r="D1103" s="32" t="s">
        <v>26</v>
      </c>
      <c r="E1103" s="32" t="s">
        <v>45</v>
      </c>
      <c r="F1103" s="32" t="s">
        <v>41</v>
      </c>
      <c r="G1103" s="32" t="s">
        <v>47</v>
      </c>
      <c r="H1103" s="41">
        <v>45956</v>
      </c>
      <c r="I1103" s="81">
        <v>287</v>
      </c>
      <c r="J1103" s="93">
        <v>280</v>
      </c>
      <c r="K1103" s="86">
        <v>0</v>
      </c>
      <c r="L1103" s="32" t="s">
        <v>36</v>
      </c>
      <c r="M1103" s="162">
        <v>80360</v>
      </c>
      <c r="N1103" s="162">
        <v>80360</v>
      </c>
      <c r="O1103" s="32" t="s">
        <v>265</v>
      </c>
    </row>
    <row r="1104" spans="1:15" x14ac:dyDescent="0.3">
      <c r="A1104" s="115" t="s">
        <v>748</v>
      </c>
      <c r="B1104" s="11" t="s">
        <v>260</v>
      </c>
      <c r="C1104" s="30" t="s">
        <v>261</v>
      </c>
      <c r="D1104" s="30" t="s">
        <v>39</v>
      </c>
      <c r="E1104" s="30" t="s">
        <v>40</v>
      </c>
      <c r="F1104" s="30" t="s">
        <v>34</v>
      </c>
      <c r="G1104" s="30" t="s">
        <v>56</v>
      </c>
      <c r="H1104" s="39">
        <v>45956</v>
      </c>
      <c r="I1104" s="79">
        <v>158</v>
      </c>
      <c r="J1104" s="91">
        <v>450</v>
      </c>
      <c r="K1104" s="84">
        <v>0</v>
      </c>
      <c r="L1104" s="30" t="s">
        <v>30</v>
      </c>
      <c r="M1104" s="160">
        <v>71100</v>
      </c>
      <c r="N1104" s="160">
        <v>71100</v>
      </c>
      <c r="O1104" s="30" t="s">
        <v>265</v>
      </c>
    </row>
    <row r="1105" spans="1:15" x14ac:dyDescent="0.3">
      <c r="A1105" s="115" t="s">
        <v>749</v>
      </c>
      <c r="B1105" s="10" t="s">
        <v>32</v>
      </c>
      <c r="C1105" s="32" t="s">
        <v>246</v>
      </c>
      <c r="D1105" s="32" t="s">
        <v>26</v>
      </c>
      <c r="E1105" s="32" t="s">
        <v>40</v>
      </c>
      <c r="F1105" s="32" t="s">
        <v>28</v>
      </c>
      <c r="G1105" s="32" t="s">
        <v>47</v>
      </c>
      <c r="H1105" s="41">
        <v>45956</v>
      </c>
      <c r="I1105" s="81">
        <v>338</v>
      </c>
      <c r="J1105" s="93">
        <v>420</v>
      </c>
      <c r="K1105" s="86">
        <v>0.12</v>
      </c>
      <c r="L1105" s="32" t="s">
        <v>36</v>
      </c>
      <c r="M1105" s="162">
        <v>141960</v>
      </c>
      <c r="N1105" s="162">
        <v>124924.8</v>
      </c>
      <c r="O1105" s="32" t="s">
        <v>267</v>
      </c>
    </row>
    <row r="1106" spans="1:15" x14ac:dyDescent="0.3">
      <c r="A1106" s="115" t="s">
        <v>750</v>
      </c>
      <c r="B1106" s="11" t="s">
        <v>258</v>
      </c>
      <c r="C1106" s="30" t="s">
        <v>259</v>
      </c>
      <c r="D1106" s="30" t="s">
        <v>26</v>
      </c>
      <c r="E1106" s="30" t="s">
        <v>51</v>
      </c>
      <c r="F1106" s="30" t="s">
        <v>46</v>
      </c>
      <c r="G1106" s="30" t="s">
        <v>29</v>
      </c>
      <c r="H1106" s="39">
        <v>45957</v>
      </c>
      <c r="I1106" s="79">
        <v>162</v>
      </c>
      <c r="J1106" s="91">
        <v>680</v>
      </c>
      <c r="K1106" s="84">
        <v>0.15</v>
      </c>
      <c r="L1106" s="30" t="s">
        <v>36</v>
      </c>
      <c r="M1106" s="160">
        <v>110160</v>
      </c>
      <c r="N1106" s="160">
        <v>93636</v>
      </c>
      <c r="O1106" s="30" t="s">
        <v>265</v>
      </c>
    </row>
    <row r="1107" spans="1:15" x14ac:dyDescent="0.3">
      <c r="A1107" s="115" t="s">
        <v>751</v>
      </c>
      <c r="B1107" s="10" t="s">
        <v>260</v>
      </c>
      <c r="C1107" s="32" t="s">
        <v>261</v>
      </c>
      <c r="D1107" s="32" t="s">
        <v>39</v>
      </c>
      <c r="E1107" s="32" t="s">
        <v>33</v>
      </c>
      <c r="F1107" s="32" t="s">
        <v>28</v>
      </c>
      <c r="G1107" s="32" t="s">
        <v>35</v>
      </c>
      <c r="H1107" s="41">
        <v>45958</v>
      </c>
      <c r="I1107" s="81">
        <v>141</v>
      </c>
      <c r="J1107" s="93">
        <v>450</v>
      </c>
      <c r="K1107" s="86">
        <v>7.0000000000000007E-2</v>
      </c>
      <c r="L1107" s="32" t="s">
        <v>36</v>
      </c>
      <c r="M1107" s="162">
        <v>63450</v>
      </c>
      <c r="N1107" s="162">
        <v>59008.5</v>
      </c>
      <c r="O1107" s="32" t="s">
        <v>265</v>
      </c>
    </row>
    <row r="1108" spans="1:15" x14ac:dyDescent="0.3">
      <c r="A1108" s="115" t="s">
        <v>752</v>
      </c>
      <c r="B1108" s="11" t="s">
        <v>16</v>
      </c>
      <c r="C1108" s="30" t="s">
        <v>250</v>
      </c>
      <c r="D1108" s="30" t="s">
        <v>39</v>
      </c>
      <c r="E1108" s="30" t="s">
        <v>45</v>
      </c>
      <c r="F1108" s="30" t="s">
        <v>46</v>
      </c>
      <c r="G1108" s="30" t="s">
        <v>47</v>
      </c>
      <c r="H1108" s="39">
        <v>45960</v>
      </c>
      <c r="I1108" s="79">
        <v>199</v>
      </c>
      <c r="J1108" s="91">
        <v>990</v>
      </c>
      <c r="K1108" s="84">
        <v>0.08</v>
      </c>
      <c r="L1108" s="30" t="s">
        <v>36</v>
      </c>
      <c r="M1108" s="160">
        <v>197010</v>
      </c>
      <c r="N1108" s="160">
        <v>181249.2</v>
      </c>
      <c r="O1108" s="30" t="s">
        <v>267</v>
      </c>
    </row>
    <row r="1109" spans="1:15" x14ac:dyDescent="0.3">
      <c r="A1109" s="115" t="s">
        <v>753</v>
      </c>
      <c r="B1109" s="10" t="s">
        <v>38</v>
      </c>
      <c r="C1109" s="32" t="s">
        <v>247</v>
      </c>
      <c r="D1109" s="32" t="s">
        <v>39</v>
      </c>
      <c r="E1109" s="32" t="s">
        <v>33</v>
      </c>
      <c r="F1109" s="32" t="s">
        <v>52</v>
      </c>
      <c r="G1109" s="32" t="s">
        <v>47</v>
      </c>
      <c r="H1109" s="41">
        <v>45961</v>
      </c>
      <c r="I1109" s="81">
        <v>68</v>
      </c>
      <c r="J1109" s="93">
        <v>1200</v>
      </c>
      <c r="K1109" s="86">
        <v>0.12</v>
      </c>
      <c r="L1109" s="32" t="s">
        <v>30</v>
      </c>
      <c r="M1109" s="162">
        <v>81600</v>
      </c>
      <c r="N1109" s="162">
        <v>71808</v>
      </c>
      <c r="O1109" s="32" t="s">
        <v>265</v>
      </c>
    </row>
    <row r="1110" spans="1:15" x14ac:dyDescent="0.3">
      <c r="A1110" s="115" t="s">
        <v>754</v>
      </c>
      <c r="B1110" s="11" t="s">
        <v>44</v>
      </c>
      <c r="C1110" s="30" t="s">
        <v>254</v>
      </c>
      <c r="D1110" s="30" t="s">
        <v>39</v>
      </c>
      <c r="E1110" s="30" t="s">
        <v>51</v>
      </c>
      <c r="F1110" s="30" t="s">
        <v>52</v>
      </c>
      <c r="G1110" s="30" t="s">
        <v>29</v>
      </c>
      <c r="H1110" s="39">
        <v>45961</v>
      </c>
      <c r="I1110" s="79">
        <v>454</v>
      </c>
      <c r="J1110" s="91">
        <v>200</v>
      </c>
      <c r="K1110" s="84">
        <v>0.15</v>
      </c>
      <c r="L1110" s="30" t="s">
        <v>36</v>
      </c>
      <c r="M1110" s="160">
        <v>90800</v>
      </c>
      <c r="N1110" s="160">
        <v>77180</v>
      </c>
      <c r="O1110" s="30" t="s">
        <v>265</v>
      </c>
    </row>
    <row r="1111" spans="1:15" x14ac:dyDescent="0.3">
      <c r="A1111" s="115" t="s">
        <v>755</v>
      </c>
      <c r="B1111" s="10" t="s">
        <v>262</v>
      </c>
      <c r="C1111" s="32" t="s">
        <v>263</v>
      </c>
      <c r="D1111" s="32" t="s">
        <v>50</v>
      </c>
      <c r="E1111" s="32" t="s">
        <v>27</v>
      </c>
      <c r="F1111" s="32" t="s">
        <v>46</v>
      </c>
      <c r="G1111" s="32" t="s">
        <v>53</v>
      </c>
      <c r="H1111" s="41">
        <v>45962</v>
      </c>
      <c r="I1111" s="81">
        <v>372</v>
      </c>
      <c r="J1111" s="93">
        <v>820</v>
      </c>
      <c r="K1111" s="86">
        <v>0</v>
      </c>
      <c r="L1111" s="32" t="s">
        <v>30</v>
      </c>
      <c r="M1111" s="162">
        <v>305040</v>
      </c>
      <c r="N1111" s="162">
        <v>305040</v>
      </c>
      <c r="O1111" s="32" t="s">
        <v>267</v>
      </c>
    </row>
    <row r="1112" spans="1:15" x14ac:dyDescent="0.3">
      <c r="A1112" s="115" t="s">
        <v>756</v>
      </c>
      <c r="B1112" s="11" t="s">
        <v>38</v>
      </c>
      <c r="C1112" s="30" t="s">
        <v>247</v>
      </c>
      <c r="D1112" s="30" t="s">
        <v>39</v>
      </c>
      <c r="E1112" s="30" t="s">
        <v>51</v>
      </c>
      <c r="F1112" s="30" t="s">
        <v>46</v>
      </c>
      <c r="G1112" s="30" t="s">
        <v>35</v>
      </c>
      <c r="H1112" s="39">
        <v>45962</v>
      </c>
      <c r="I1112" s="79">
        <v>216</v>
      </c>
      <c r="J1112" s="91">
        <v>1200</v>
      </c>
      <c r="K1112" s="84">
        <v>7.0000000000000007E-2</v>
      </c>
      <c r="L1112" s="30" t="s">
        <v>30</v>
      </c>
      <c r="M1112" s="160">
        <v>259200</v>
      </c>
      <c r="N1112" s="160">
        <v>241056</v>
      </c>
      <c r="O1112" s="30" t="s">
        <v>267</v>
      </c>
    </row>
    <row r="1113" spans="1:15" x14ac:dyDescent="0.3">
      <c r="A1113" s="115" t="s">
        <v>757</v>
      </c>
      <c r="B1113" s="10" t="s">
        <v>63</v>
      </c>
      <c r="C1113" s="32" t="s">
        <v>253</v>
      </c>
      <c r="D1113" s="32" t="s">
        <v>50</v>
      </c>
      <c r="E1113" s="32" t="s">
        <v>40</v>
      </c>
      <c r="F1113" s="32" t="s">
        <v>28</v>
      </c>
      <c r="G1113" s="32" t="s">
        <v>35</v>
      </c>
      <c r="H1113" s="41">
        <v>45962</v>
      </c>
      <c r="I1113" s="81">
        <v>154</v>
      </c>
      <c r="J1113" s="93">
        <v>750</v>
      </c>
      <c r="K1113" s="86">
        <v>0.03</v>
      </c>
      <c r="L1113" s="32" t="s">
        <v>30</v>
      </c>
      <c r="M1113" s="162">
        <v>115500</v>
      </c>
      <c r="N1113" s="162">
        <v>112035</v>
      </c>
      <c r="O1113" s="32" t="s">
        <v>267</v>
      </c>
    </row>
    <row r="1114" spans="1:15" x14ac:dyDescent="0.3">
      <c r="A1114" s="115" t="s">
        <v>758</v>
      </c>
      <c r="B1114" s="11" t="s">
        <v>63</v>
      </c>
      <c r="C1114" s="30" t="s">
        <v>253</v>
      </c>
      <c r="D1114" s="30" t="s">
        <v>50</v>
      </c>
      <c r="E1114" s="30" t="s">
        <v>51</v>
      </c>
      <c r="F1114" s="30" t="s">
        <v>46</v>
      </c>
      <c r="G1114" s="30" t="s">
        <v>35</v>
      </c>
      <c r="H1114" s="39">
        <v>45963</v>
      </c>
      <c r="I1114" s="79">
        <v>289</v>
      </c>
      <c r="J1114" s="91">
        <v>750</v>
      </c>
      <c r="K1114" s="84">
        <v>0.14000000000000001</v>
      </c>
      <c r="L1114" s="30" t="s">
        <v>30</v>
      </c>
      <c r="M1114" s="160">
        <v>216750</v>
      </c>
      <c r="N1114" s="160">
        <v>186405</v>
      </c>
      <c r="O1114" s="30" t="s">
        <v>267</v>
      </c>
    </row>
    <row r="1115" spans="1:15" x14ac:dyDescent="0.3">
      <c r="A1115" s="115" t="s">
        <v>759</v>
      </c>
      <c r="B1115" s="10" t="s">
        <v>61</v>
      </c>
      <c r="C1115" s="32" t="s">
        <v>244</v>
      </c>
      <c r="D1115" s="32" t="s">
        <v>26</v>
      </c>
      <c r="E1115" s="32" t="s">
        <v>33</v>
      </c>
      <c r="F1115" s="32" t="s">
        <v>34</v>
      </c>
      <c r="G1115" s="32" t="s">
        <v>35</v>
      </c>
      <c r="H1115" s="41">
        <v>45964</v>
      </c>
      <c r="I1115" s="81">
        <v>193</v>
      </c>
      <c r="J1115" s="93">
        <v>280</v>
      </c>
      <c r="K1115" s="86">
        <v>0.12</v>
      </c>
      <c r="L1115" s="32" t="s">
        <v>36</v>
      </c>
      <c r="M1115" s="162">
        <v>54040</v>
      </c>
      <c r="N1115" s="162">
        <v>47555.199999999997</v>
      </c>
      <c r="O1115" s="32" t="s">
        <v>265</v>
      </c>
    </row>
    <row r="1116" spans="1:15" x14ac:dyDescent="0.3">
      <c r="A1116" s="115" t="s">
        <v>760</v>
      </c>
      <c r="B1116" s="11" t="s">
        <v>260</v>
      </c>
      <c r="C1116" s="30" t="s">
        <v>261</v>
      </c>
      <c r="D1116" s="30" t="s">
        <v>39</v>
      </c>
      <c r="E1116" s="30" t="s">
        <v>45</v>
      </c>
      <c r="F1116" s="30" t="s">
        <v>28</v>
      </c>
      <c r="G1116" s="30" t="s">
        <v>42</v>
      </c>
      <c r="H1116" s="39">
        <v>45964</v>
      </c>
      <c r="I1116" s="79">
        <v>281</v>
      </c>
      <c r="J1116" s="91">
        <v>450</v>
      </c>
      <c r="K1116" s="84">
        <v>0.1</v>
      </c>
      <c r="L1116" s="30" t="s">
        <v>36</v>
      </c>
      <c r="M1116" s="160">
        <v>126450</v>
      </c>
      <c r="N1116" s="160">
        <v>113805</v>
      </c>
      <c r="O1116" s="30" t="s">
        <v>267</v>
      </c>
    </row>
    <row r="1117" spans="1:15" x14ac:dyDescent="0.3">
      <c r="A1117" s="115" t="s">
        <v>761</v>
      </c>
      <c r="B1117" s="10" t="s">
        <v>25</v>
      </c>
      <c r="C1117" s="32" t="s">
        <v>257</v>
      </c>
      <c r="D1117" s="32" t="s">
        <v>26</v>
      </c>
      <c r="E1117" s="32" t="s">
        <v>40</v>
      </c>
      <c r="F1117" s="32" t="s">
        <v>46</v>
      </c>
      <c r="G1117" s="32" t="s">
        <v>53</v>
      </c>
      <c r="H1117" s="41">
        <v>45965</v>
      </c>
      <c r="I1117" s="81">
        <v>125</v>
      </c>
      <c r="J1117" s="93">
        <v>350</v>
      </c>
      <c r="K1117" s="86">
        <v>0.11</v>
      </c>
      <c r="L1117" s="32" t="s">
        <v>30</v>
      </c>
      <c r="M1117" s="162">
        <v>43750</v>
      </c>
      <c r="N1117" s="162">
        <v>38937.5</v>
      </c>
      <c r="O1117" s="32" t="s">
        <v>265</v>
      </c>
    </row>
    <row r="1118" spans="1:15" x14ac:dyDescent="0.3">
      <c r="A1118" s="115" t="s">
        <v>762</v>
      </c>
      <c r="B1118" s="11" t="s">
        <v>49</v>
      </c>
      <c r="C1118" s="30" t="s">
        <v>251</v>
      </c>
      <c r="D1118" s="30" t="s">
        <v>50</v>
      </c>
      <c r="E1118" s="30" t="s">
        <v>51</v>
      </c>
      <c r="F1118" s="30" t="s">
        <v>46</v>
      </c>
      <c r="G1118" s="30" t="s">
        <v>56</v>
      </c>
      <c r="H1118" s="39">
        <v>45965</v>
      </c>
      <c r="I1118" s="79">
        <v>142</v>
      </c>
      <c r="J1118" s="91">
        <v>895</v>
      </c>
      <c r="K1118" s="84">
        <v>0.12</v>
      </c>
      <c r="L1118" s="30" t="s">
        <v>36</v>
      </c>
      <c r="M1118" s="160">
        <v>127090</v>
      </c>
      <c r="N1118" s="160">
        <v>111839.2</v>
      </c>
      <c r="O1118" s="30" t="s">
        <v>267</v>
      </c>
    </row>
    <row r="1119" spans="1:15" x14ac:dyDescent="0.3">
      <c r="A1119" s="115" t="s">
        <v>763</v>
      </c>
      <c r="B1119" s="10" t="s">
        <v>49</v>
      </c>
      <c r="C1119" s="32" t="s">
        <v>251</v>
      </c>
      <c r="D1119" s="32" t="s">
        <v>50</v>
      </c>
      <c r="E1119" s="32" t="s">
        <v>40</v>
      </c>
      <c r="F1119" s="32" t="s">
        <v>46</v>
      </c>
      <c r="G1119" s="32" t="s">
        <v>42</v>
      </c>
      <c r="H1119" s="41">
        <v>45968</v>
      </c>
      <c r="I1119" s="81">
        <v>370</v>
      </c>
      <c r="J1119" s="93">
        <v>895</v>
      </c>
      <c r="K1119" s="86">
        <v>0.13</v>
      </c>
      <c r="L1119" s="32" t="s">
        <v>36</v>
      </c>
      <c r="M1119" s="162">
        <v>331150</v>
      </c>
      <c r="N1119" s="162">
        <v>288100.5</v>
      </c>
      <c r="O1119" s="32" t="s">
        <v>267</v>
      </c>
    </row>
    <row r="1120" spans="1:15" x14ac:dyDescent="0.3">
      <c r="A1120" s="115" t="s">
        <v>764</v>
      </c>
      <c r="B1120" s="11" t="s">
        <v>16</v>
      </c>
      <c r="C1120" s="30" t="s">
        <v>250</v>
      </c>
      <c r="D1120" s="30" t="s">
        <v>39</v>
      </c>
      <c r="E1120" s="30" t="s">
        <v>45</v>
      </c>
      <c r="F1120" s="30" t="s">
        <v>41</v>
      </c>
      <c r="G1120" s="30" t="s">
        <v>42</v>
      </c>
      <c r="H1120" s="39">
        <v>45969</v>
      </c>
      <c r="I1120" s="79">
        <v>108</v>
      </c>
      <c r="J1120" s="91">
        <v>990</v>
      </c>
      <c r="K1120" s="84">
        <v>0</v>
      </c>
      <c r="L1120" s="30" t="s">
        <v>36</v>
      </c>
      <c r="M1120" s="160">
        <v>106920</v>
      </c>
      <c r="N1120" s="160">
        <v>106920</v>
      </c>
      <c r="O1120" s="30" t="s">
        <v>267</v>
      </c>
    </row>
    <row r="1121" spans="1:15" x14ac:dyDescent="0.3">
      <c r="A1121" s="115" t="s">
        <v>765</v>
      </c>
      <c r="B1121" s="10" t="s">
        <v>262</v>
      </c>
      <c r="C1121" s="32" t="s">
        <v>263</v>
      </c>
      <c r="D1121" s="32" t="s">
        <v>50</v>
      </c>
      <c r="E1121" s="32" t="s">
        <v>27</v>
      </c>
      <c r="F1121" s="32" t="s">
        <v>34</v>
      </c>
      <c r="G1121" s="32" t="s">
        <v>35</v>
      </c>
      <c r="H1121" s="41">
        <v>45969</v>
      </c>
      <c r="I1121" s="81">
        <v>164</v>
      </c>
      <c r="J1121" s="93">
        <v>820</v>
      </c>
      <c r="K1121" s="86">
        <v>0.13</v>
      </c>
      <c r="L1121" s="32" t="s">
        <v>30</v>
      </c>
      <c r="M1121" s="162">
        <v>134480</v>
      </c>
      <c r="N1121" s="162">
        <v>116997.6</v>
      </c>
      <c r="O1121" s="32" t="s">
        <v>267</v>
      </c>
    </row>
    <row r="1122" spans="1:15" x14ac:dyDescent="0.3">
      <c r="A1122" s="115" t="s">
        <v>766</v>
      </c>
      <c r="B1122" s="11" t="s">
        <v>16</v>
      </c>
      <c r="C1122" s="30" t="s">
        <v>250</v>
      </c>
      <c r="D1122" s="30" t="s">
        <v>39</v>
      </c>
      <c r="E1122" s="30" t="s">
        <v>27</v>
      </c>
      <c r="F1122" s="30" t="s">
        <v>46</v>
      </c>
      <c r="G1122" s="30" t="s">
        <v>42</v>
      </c>
      <c r="H1122" s="39">
        <v>45969</v>
      </c>
      <c r="I1122" s="79">
        <v>161</v>
      </c>
      <c r="J1122" s="91">
        <v>990</v>
      </c>
      <c r="K1122" s="84">
        <v>0.11</v>
      </c>
      <c r="L1122" s="30" t="s">
        <v>36</v>
      </c>
      <c r="M1122" s="160">
        <v>159390</v>
      </c>
      <c r="N1122" s="160">
        <v>141857.1</v>
      </c>
      <c r="O1122" s="30" t="s">
        <v>267</v>
      </c>
    </row>
    <row r="1123" spans="1:15" x14ac:dyDescent="0.3">
      <c r="A1123" s="115" t="s">
        <v>767</v>
      </c>
      <c r="B1123" s="10" t="s">
        <v>38</v>
      </c>
      <c r="C1123" s="32" t="s">
        <v>247</v>
      </c>
      <c r="D1123" s="32" t="s">
        <v>39</v>
      </c>
      <c r="E1123" s="32" t="s">
        <v>27</v>
      </c>
      <c r="F1123" s="32" t="s">
        <v>46</v>
      </c>
      <c r="G1123" s="32" t="s">
        <v>53</v>
      </c>
      <c r="H1123" s="41">
        <v>45970</v>
      </c>
      <c r="I1123" s="81">
        <v>224</v>
      </c>
      <c r="J1123" s="93">
        <v>1200</v>
      </c>
      <c r="K1123" s="86">
        <v>0.15</v>
      </c>
      <c r="L1123" s="32" t="s">
        <v>30</v>
      </c>
      <c r="M1123" s="162">
        <v>268800</v>
      </c>
      <c r="N1123" s="162">
        <v>228480</v>
      </c>
      <c r="O1123" s="32" t="s">
        <v>267</v>
      </c>
    </row>
    <row r="1124" spans="1:15" x14ac:dyDescent="0.3">
      <c r="A1124" s="115" t="s">
        <v>768</v>
      </c>
      <c r="B1124" s="11" t="s">
        <v>260</v>
      </c>
      <c r="C1124" s="30" t="s">
        <v>261</v>
      </c>
      <c r="D1124" s="30" t="s">
        <v>39</v>
      </c>
      <c r="E1124" s="30" t="s">
        <v>40</v>
      </c>
      <c r="F1124" s="30" t="s">
        <v>34</v>
      </c>
      <c r="G1124" s="30" t="s">
        <v>56</v>
      </c>
      <c r="H1124" s="39">
        <v>45970</v>
      </c>
      <c r="I1124" s="79">
        <v>213</v>
      </c>
      <c r="J1124" s="91">
        <v>450</v>
      </c>
      <c r="K1124" s="84">
        <v>0.13</v>
      </c>
      <c r="L1124" s="30" t="s">
        <v>36</v>
      </c>
      <c r="M1124" s="160">
        <v>95850</v>
      </c>
      <c r="N1124" s="160">
        <v>83389.5</v>
      </c>
      <c r="O1124" s="30" t="s">
        <v>265</v>
      </c>
    </row>
    <row r="1125" spans="1:15" x14ac:dyDescent="0.3">
      <c r="A1125" s="115" t="s">
        <v>769</v>
      </c>
      <c r="B1125" s="10" t="s">
        <v>262</v>
      </c>
      <c r="C1125" s="32" t="s">
        <v>263</v>
      </c>
      <c r="D1125" s="32" t="s">
        <v>50</v>
      </c>
      <c r="E1125" s="32" t="s">
        <v>33</v>
      </c>
      <c r="F1125" s="32" t="s">
        <v>28</v>
      </c>
      <c r="G1125" s="32" t="s">
        <v>29</v>
      </c>
      <c r="H1125" s="41">
        <v>45970</v>
      </c>
      <c r="I1125" s="81">
        <v>358</v>
      </c>
      <c r="J1125" s="93">
        <v>820</v>
      </c>
      <c r="K1125" s="86">
        <v>0.12</v>
      </c>
      <c r="L1125" s="32" t="s">
        <v>36</v>
      </c>
      <c r="M1125" s="162">
        <v>293560</v>
      </c>
      <c r="N1125" s="162">
        <v>258332.79999999999</v>
      </c>
      <c r="O1125" s="32" t="s">
        <v>267</v>
      </c>
    </row>
    <row r="1126" spans="1:15" x14ac:dyDescent="0.3">
      <c r="A1126" s="115" t="s">
        <v>770</v>
      </c>
      <c r="B1126" s="11" t="s">
        <v>32</v>
      </c>
      <c r="C1126" s="30" t="s">
        <v>246</v>
      </c>
      <c r="D1126" s="30" t="s">
        <v>26</v>
      </c>
      <c r="E1126" s="30" t="s">
        <v>51</v>
      </c>
      <c r="F1126" s="30" t="s">
        <v>34</v>
      </c>
      <c r="G1126" s="30" t="s">
        <v>42</v>
      </c>
      <c r="H1126" s="39">
        <v>45971</v>
      </c>
      <c r="I1126" s="79">
        <v>181</v>
      </c>
      <c r="J1126" s="91">
        <v>420</v>
      </c>
      <c r="K1126" s="84">
        <v>7.0000000000000007E-2</v>
      </c>
      <c r="L1126" s="30" t="s">
        <v>36</v>
      </c>
      <c r="M1126" s="160">
        <v>76020</v>
      </c>
      <c r="N1126" s="160">
        <v>70698.600000000006</v>
      </c>
      <c r="O1126" s="30" t="s">
        <v>265</v>
      </c>
    </row>
    <row r="1127" spans="1:15" x14ac:dyDescent="0.3">
      <c r="A1127" s="115" t="s">
        <v>771</v>
      </c>
      <c r="B1127" s="10" t="s">
        <v>32</v>
      </c>
      <c r="C1127" s="32" t="s">
        <v>246</v>
      </c>
      <c r="D1127" s="32" t="s">
        <v>26</v>
      </c>
      <c r="E1127" s="32" t="s">
        <v>33</v>
      </c>
      <c r="F1127" s="32" t="s">
        <v>41</v>
      </c>
      <c r="G1127" s="32" t="s">
        <v>47</v>
      </c>
      <c r="H1127" s="41">
        <v>45972</v>
      </c>
      <c r="I1127" s="81">
        <v>53</v>
      </c>
      <c r="J1127" s="93">
        <v>420</v>
      </c>
      <c r="K1127" s="86">
        <v>0</v>
      </c>
      <c r="L1127" s="32" t="s">
        <v>36</v>
      </c>
      <c r="M1127" s="162">
        <v>22260</v>
      </c>
      <c r="N1127" s="162">
        <v>22260</v>
      </c>
      <c r="O1127" s="32" t="s">
        <v>265</v>
      </c>
    </row>
    <row r="1128" spans="1:15" x14ac:dyDescent="0.3">
      <c r="A1128" s="115" t="s">
        <v>772</v>
      </c>
      <c r="B1128" s="11" t="s">
        <v>260</v>
      </c>
      <c r="C1128" s="30" t="s">
        <v>261</v>
      </c>
      <c r="D1128" s="30" t="s">
        <v>39</v>
      </c>
      <c r="E1128" s="30" t="s">
        <v>40</v>
      </c>
      <c r="F1128" s="30" t="s">
        <v>52</v>
      </c>
      <c r="G1128" s="30" t="s">
        <v>29</v>
      </c>
      <c r="H1128" s="39">
        <v>45973</v>
      </c>
      <c r="I1128" s="79">
        <v>163</v>
      </c>
      <c r="J1128" s="91">
        <v>450</v>
      </c>
      <c r="K1128" s="84">
        <v>0.03</v>
      </c>
      <c r="L1128" s="30" t="s">
        <v>30</v>
      </c>
      <c r="M1128" s="160">
        <v>73350</v>
      </c>
      <c r="N1128" s="160">
        <v>71149.5</v>
      </c>
      <c r="O1128" s="30" t="s">
        <v>265</v>
      </c>
    </row>
    <row r="1129" spans="1:15" x14ac:dyDescent="0.3">
      <c r="A1129" s="115" t="s">
        <v>773</v>
      </c>
      <c r="B1129" s="10" t="s">
        <v>16</v>
      </c>
      <c r="C1129" s="32" t="s">
        <v>250</v>
      </c>
      <c r="D1129" s="32" t="s">
        <v>39</v>
      </c>
      <c r="E1129" s="32" t="s">
        <v>51</v>
      </c>
      <c r="F1129" s="32" t="s">
        <v>52</v>
      </c>
      <c r="G1129" s="32" t="s">
        <v>56</v>
      </c>
      <c r="H1129" s="41">
        <v>45973</v>
      </c>
      <c r="I1129" s="81">
        <v>60</v>
      </c>
      <c r="J1129" s="93">
        <v>990</v>
      </c>
      <c r="K1129" s="86">
        <v>0.11</v>
      </c>
      <c r="L1129" s="32" t="s">
        <v>36</v>
      </c>
      <c r="M1129" s="162">
        <v>59400</v>
      </c>
      <c r="N1129" s="162">
        <v>52866</v>
      </c>
      <c r="O1129" s="32" t="s">
        <v>265</v>
      </c>
    </row>
    <row r="1130" spans="1:15" x14ac:dyDescent="0.3">
      <c r="A1130" s="115" t="s">
        <v>774</v>
      </c>
      <c r="B1130" s="11" t="s">
        <v>44</v>
      </c>
      <c r="C1130" s="30" t="s">
        <v>254</v>
      </c>
      <c r="D1130" s="30" t="s">
        <v>39</v>
      </c>
      <c r="E1130" s="30" t="s">
        <v>33</v>
      </c>
      <c r="F1130" s="30" t="s">
        <v>52</v>
      </c>
      <c r="G1130" s="30" t="s">
        <v>35</v>
      </c>
      <c r="H1130" s="39">
        <v>45975</v>
      </c>
      <c r="I1130" s="79">
        <v>187</v>
      </c>
      <c r="J1130" s="91">
        <v>200</v>
      </c>
      <c r="K1130" s="84">
        <v>0.05</v>
      </c>
      <c r="L1130" s="30" t="s">
        <v>30</v>
      </c>
      <c r="M1130" s="160">
        <v>37400</v>
      </c>
      <c r="N1130" s="160">
        <v>35530</v>
      </c>
      <c r="O1130" s="30" t="s">
        <v>265</v>
      </c>
    </row>
    <row r="1131" spans="1:15" x14ac:dyDescent="0.3">
      <c r="A1131" s="115" t="s">
        <v>775</v>
      </c>
      <c r="B1131" s="10" t="s">
        <v>260</v>
      </c>
      <c r="C1131" s="32" t="s">
        <v>261</v>
      </c>
      <c r="D1131" s="32" t="s">
        <v>39</v>
      </c>
      <c r="E1131" s="32" t="s">
        <v>27</v>
      </c>
      <c r="F1131" s="32" t="s">
        <v>34</v>
      </c>
      <c r="G1131" s="32" t="s">
        <v>42</v>
      </c>
      <c r="H1131" s="41">
        <v>45975</v>
      </c>
      <c r="I1131" s="81">
        <v>446</v>
      </c>
      <c r="J1131" s="93">
        <v>450</v>
      </c>
      <c r="K1131" s="86">
        <v>0.1</v>
      </c>
      <c r="L1131" s="32" t="s">
        <v>36</v>
      </c>
      <c r="M1131" s="162">
        <v>200700</v>
      </c>
      <c r="N1131" s="162">
        <v>180630</v>
      </c>
      <c r="O1131" s="32" t="s">
        <v>267</v>
      </c>
    </row>
    <row r="1132" spans="1:15" x14ac:dyDescent="0.3">
      <c r="A1132" s="115" t="s">
        <v>776</v>
      </c>
      <c r="B1132" s="11" t="s">
        <v>32</v>
      </c>
      <c r="C1132" s="30" t="s">
        <v>246</v>
      </c>
      <c r="D1132" s="30" t="s">
        <v>26</v>
      </c>
      <c r="E1132" s="30" t="s">
        <v>27</v>
      </c>
      <c r="F1132" s="30" t="s">
        <v>28</v>
      </c>
      <c r="G1132" s="30" t="s">
        <v>56</v>
      </c>
      <c r="H1132" s="39">
        <v>45977</v>
      </c>
      <c r="I1132" s="79">
        <v>237</v>
      </c>
      <c r="J1132" s="91">
        <v>420</v>
      </c>
      <c r="K1132" s="84">
        <v>0.12</v>
      </c>
      <c r="L1132" s="30" t="s">
        <v>36</v>
      </c>
      <c r="M1132" s="160">
        <v>99540</v>
      </c>
      <c r="N1132" s="160">
        <v>87595.199999999997</v>
      </c>
      <c r="O1132" s="30" t="s">
        <v>265</v>
      </c>
    </row>
    <row r="1133" spans="1:15" x14ac:dyDescent="0.3">
      <c r="A1133" s="115" t="s">
        <v>777</v>
      </c>
      <c r="B1133" s="10" t="s">
        <v>55</v>
      </c>
      <c r="C1133" s="32" t="s">
        <v>249</v>
      </c>
      <c r="D1133" s="32" t="s">
        <v>39</v>
      </c>
      <c r="E1133" s="32" t="s">
        <v>45</v>
      </c>
      <c r="F1133" s="32" t="s">
        <v>28</v>
      </c>
      <c r="G1133" s="32" t="s">
        <v>53</v>
      </c>
      <c r="H1133" s="41">
        <v>45977</v>
      </c>
      <c r="I1133" s="81">
        <v>291</v>
      </c>
      <c r="J1133" s="93">
        <v>650</v>
      </c>
      <c r="K1133" s="86">
        <v>0.05</v>
      </c>
      <c r="L1133" s="32" t="s">
        <v>30</v>
      </c>
      <c r="M1133" s="162">
        <v>189150</v>
      </c>
      <c r="N1133" s="162">
        <v>179692.5</v>
      </c>
      <c r="O1133" s="32" t="s">
        <v>267</v>
      </c>
    </row>
    <row r="1134" spans="1:15" x14ac:dyDescent="0.3">
      <c r="A1134" s="115" t="s">
        <v>778</v>
      </c>
      <c r="B1134" s="11" t="s">
        <v>61</v>
      </c>
      <c r="C1134" s="30" t="s">
        <v>244</v>
      </c>
      <c r="D1134" s="30" t="s">
        <v>26</v>
      </c>
      <c r="E1134" s="30" t="s">
        <v>40</v>
      </c>
      <c r="F1134" s="30" t="s">
        <v>34</v>
      </c>
      <c r="G1134" s="30" t="s">
        <v>29</v>
      </c>
      <c r="H1134" s="39">
        <v>45977</v>
      </c>
      <c r="I1134" s="79">
        <v>100</v>
      </c>
      <c r="J1134" s="91">
        <v>280</v>
      </c>
      <c r="K1134" s="84">
        <v>0.05</v>
      </c>
      <c r="L1134" s="30" t="s">
        <v>36</v>
      </c>
      <c r="M1134" s="160">
        <v>28000</v>
      </c>
      <c r="N1134" s="160">
        <v>26600</v>
      </c>
      <c r="O1134" s="30" t="s">
        <v>265</v>
      </c>
    </row>
    <row r="1135" spans="1:15" x14ac:dyDescent="0.3">
      <c r="A1135" s="115" t="s">
        <v>779</v>
      </c>
      <c r="B1135" s="10" t="s">
        <v>63</v>
      </c>
      <c r="C1135" s="32" t="s">
        <v>253</v>
      </c>
      <c r="D1135" s="32" t="s">
        <v>50</v>
      </c>
      <c r="E1135" s="32" t="s">
        <v>40</v>
      </c>
      <c r="F1135" s="32" t="s">
        <v>28</v>
      </c>
      <c r="G1135" s="32" t="s">
        <v>35</v>
      </c>
      <c r="H1135" s="41">
        <v>45978</v>
      </c>
      <c r="I1135" s="81">
        <v>161</v>
      </c>
      <c r="J1135" s="93">
        <v>750</v>
      </c>
      <c r="K1135" s="86">
        <v>0.08</v>
      </c>
      <c r="L1135" s="32" t="s">
        <v>36</v>
      </c>
      <c r="M1135" s="162">
        <v>120750</v>
      </c>
      <c r="N1135" s="162">
        <v>111090</v>
      </c>
      <c r="O1135" s="32" t="s">
        <v>267</v>
      </c>
    </row>
    <row r="1136" spans="1:15" x14ac:dyDescent="0.3">
      <c r="A1136" s="115" t="s">
        <v>780</v>
      </c>
      <c r="B1136" s="11" t="s">
        <v>58</v>
      </c>
      <c r="C1136" s="30" t="s">
        <v>255</v>
      </c>
      <c r="D1136" s="30" t="s">
        <v>59</v>
      </c>
      <c r="E1136" s="30" t="s">
        <v>51</v>
      </c>
      <c r="F1136" s="30" t="s">
        <v>46</v>
      </c>
      <c r="G1136" s="30" t="s">
        <v>56</v>
      </c>
      <c r="H1136" s="39">
        <v>45978</v>
      </c>
      <c r="I1136" s="79">
        <v>287</v>
      </c>
      <c r="J1136" s="91">
        <v>2800</v>
      </c>
      <c r="K1136" s="84">
        <v>0.12</v>
      </c>
      <c r="L1136" s="30" t="s">
        <v>30</v>
      </c>
      <c r="M1136" s="160">
        <v>803600</v>
      </c>
      <c r="N1136" s="160">
        <v>707168</v>
      </c>
      <c r="O1136" s="30" t="s">
        <v>277</v>
      </c>
    </row>
    <row r="1137" spans="1:15" x14ac:dyDescent="0.3">
      <c r="A1137" s="115" t="s">
        <v>781</v>
      </c>
      <c r="B1137" s="10" t="s">
        <v>16</v>
      </c>
      <c r="C1137" s="32" t="s">
        <v>250</v>
      </c>
      <c r="D1137" s="32" t="s">
        <v>39</v>
      </c>
      <c r="E1137" s="32" t="s">
        <v>45</v>
      </c>
      <c r="F1137" s="32" t="s">
        <v>41</v>
      </c>
      <c r="G1137" s="32" t="s">
        <v>53</v>
      </c>
      <c r="H1137" s="41">
        <v>45979</v>
      </c>
      <c r="I1137" s="81">
        <v>268</v>
      </c>
      <c r="J1137" s="93">
        <v>990</v>
      </c>
      <c r="K1137" s="86">
        <v>0.05</v>
      </c>
      <c r="L1137" s="32" t="s">
        <v>36</v>
      </c>
      <c r="M1137" s="162">
        <v>265320</v>
      </c>
      <c r="N1137" s="162">
        <v>252054</v>
      </c>
      <c r="O1137" s="32" t="s">
        <v>267</v>
      </c>
    </row>
    <row r="1138" spans="1:15" x14ac:dyDescent="0.3">
      <c r="A1138" s="115" t="s">
        <v>782</v>
      </c>
      <c r="B1138" s="11" t="s">
        <v>258</v>
      </c>
      <c r="C1138" s="30" t="s">
        <v>259</v>
      </c>
      <c r="D1138" s="30" t="s">
        <v>26</v>
      </c>
      <c r="E1138" s="30" t="s">
        <v>51</v>
      </c>
      <c r="F1138" s="30" t="s">
        <v>28</v>
      </c>
      <c r="G1138" s="30" t="s">
        <v>42</v>
      </c>
      <c r="H1138" s="39">
        <v>45981</v>
      </c>
      <c r="I1138" s="79">
        <v>403</v>
      </c>
      <c r="J1138" s="91">
        <v>680</v>
      </c>
      <c r="K1138" s="84">
        <v>0</v>
      </c>
      <c r="L1138" s="30" t="s">
        <v>36</v>
      </c>
      <c r="M1138" s="160">
        <v>274040</v>
      </c>
      <c r="N1138" s="160">
        <v>274040</v>
      </c>
      <c r="O1138" s="30" t="s">
        <v>267</v>
      </c>
    </row>
    <row r="1139" spans="1:15" x14ac:dyDescent="0.3">
      <c r="A1139" s="115" t="s">
        <v>783</v>
      </c>
      <c r="B1139" s="10" t="s">
        <v>58</v>
      </c>
      <c r="C1139" s="32" t="s">
        <v>255</v>
      </c>
      <c r="D1139" s="32" t="s">
        <v>59</v>
      </c>
      <c r="E1139" s="32" t="s">
        <v>33</v>
      </c>
      <c r="F1139" s="32" t="s">
        <v>52</v>
      </c>
      <c r="G1139" s="32" t="s">
        <v>56</v>
      </c>
      <c r="H1139" s="41">
        <v>45981</v>
      </c>
      <c r="I1139" s="81">
        <v>339</v>
      </c>
      <c r="J1139" s="93">
        <v>2800</v>
      </c>
      <c r="K1139" s="86">
        <v>0.15</v>
      </c>
      <c r="L1139" s="32" t="s">
        <v>36</v>
      </c>
      <c r="M1139" s="162">
        <v>949200</v>
      </c>
      <c r="N1139" s="162">
        <v>806820</v>
      </c>
      <c r="O1139" s="32" t="s">
        <v>277</v>
      </c>
    </row>
    <row r="1140" spans="1:15" x14ac:dyDescent="0.3">
      <c r="A1140" s="115" t="s">
        <v>784</v>
      </c>
      <c r="B1140" s="11" t="s">
        <v>63</v>
      </c>
      <c r="C1140" s="30" t="s">
        <v>253</v>
      </c>
      <c r="D1140" s="30" t="s">
        <v>50</v>
      </c>
      <c r="E1140" s="30" t="s">
        <v>40</v>
      </c>
      <c r="F1140" s="30" t="s">
        <v>28</v>
      </c>
      <c r="G1140" s="30" t="s">
        <v>56</v>
      </c>
      <c r="H1140" s="39">
        <v>45984</v>
      </c>
      <c r="I1140" s="79">
        <v>33</v>
      </c>
      <c r="J1140" s="91">
        <v>750</v>
      </c>
      <c r="K1140" s="84">
        <v>7.0000000000000007E-2</v>
      </c>
      <c r="L1140" s="30" t="s">
        <v>30</v>
      </c>
      <c r="M1140" s="160">
        <v>24750</v>
      </c>
      <c r="N1140" s="160">
        <v>23017.5</v>
      </c>
      <c r="O1140" s="30" t="s">
        <v>265</v>
      </c>
    </row>
    <row r="1141" spans="1:15" x14ac:dyDescent="0.3">
      <c r="A1141" s="115" t="s">
        <v>785</v>
      </c>
      <c r="B1141" s="10" t="s">
        <v>258</v>
      </c>
      <c r="C1141" s="32" t="s">
        <v>259</v>
      </c>
      <c r="D1141" s="32" t="s">
        <v>26</v>
      </c>
      <c r="E1141" s="32" t="s">
        <v>51</v>
      </c>
      <c r="F1141" s="32" t="s">
        <v>28</v>
      </c>
      <c r="G1141" s="32" t="s">
        <v>29</v>
      </c>
      <c r="H1141" s="41">
        <v>45984</v>
      </c>
      <c r="I1141" s="81">
        <v>198</v>
      </c>
      <c r="J1141" s="93">
        <v>680</v>
      </c>
      <c r="K1141" s="86">
        <v>0.08</v>
      </c>
      <c r="L1141" s="32" t="s">
        <v>36</v>
      </c>
      <c r="M1141" s="162">
        <v>134640</v>
      </c>
      <c r="N1141" s="162">
        <v>123868.8</v>
      </c>
      <c r="O1141" s="32" t="s">
        <v>267</v>
      </c>
    </row>
    <row r="1142" spans="1:15" x14ac:dyDescent="0.3">
      <c r="A1142" s="115" t="s">
        <v>786</v>
      </c>
      <c r="B1142" s="11" t="s">
        <v>262</v>
      </c>
      <c r="C1142" s="30" t="s">
        <v>263</v>
      </c>
      <c r="D1142" s="30" t="s">
        <v>50</v>
      </c>
      <c r="E1142" s="30" t="s">
        <v>33</v>
      </c>
      <c r="F1142" s="30" t="s">
        <v>34</v>
      </c>
      <c r="G1142" s="30" t="s">
        <v>47</v>
      </c>
      <c r="H1142" s="39">
        <v>45984</v>
      </c>
      <c r="I1142" s="79">
        <v>177</v>
      </c>
      <c r="J1142" s="91">
        <v>820</v>
      </c>
      <c r="K1142" s="84">
        <v>0.1</v>
      </c>
      <c r="L1142" s="30" t="s">
        <v>30</v>
      </c>
      <c r="M1142" s="160">
        <v>145140</v>
      </c>
      <c r="N1142" s="160">
        <v>130626</v>
      </c>
      <c r="O1142" s="30" t="s">
        <v>267</v>
      </c>
    </row>
    <row r="1143" spans="1:15" x14ac:dyDescent="0.3">
      <c r="A1143" s="115" t="s">
        <v>787</v>
      </c>
      <c r="B1143" s="10" t="s">
        <v>44</v>
      </c>
      <c r="C1143" s="32" t="s">
        <v>254</v>
      </c>
      <c r="D1143" s="32" t="s">
        <v>39</v>
      </c>
      <c r="E1143" s="32" t="s">
        <v>27</v>
      </c>
      <c r="F1143" s="32" t="s">
        <v>28</v>
      </c>
      <c r="G1143" s="32" t="s">
        <v>47</v>
      </c>
      <c r="H1143" s="41">
        <v>45985</v>
      </c>
      <c r="I1143" s="81">
        <v>89</v>
      </c>
      <c r="J1143" s="93">
        <v>200</v>
      </c>
      <c r="K1143" s="86">
        <v>0.08</v>
      </c>
      <c r="L1143" s="32" t="s">
        <v>30</v>
      </c>
      <c r="M1143" s="162">
        <v>17800</v>
      </c>
      <c r="N1143" s="162">
        <v>16376</v>
      </c>
      <c r="O1143" s="32" t="s">
        <v>265</v>
      </c>
    </row>
    <row r="1144" spans="1:15" x14ac:dyDescent="0.3">
      <c r="A1144" s="115" t="s">
        <v>788</v>
      </c>
      <c r="B1144" s="11" t="s">
        <v>44</v>
      </c>
      <c r="C1144" s="30" t="s">
        <v>254</v>
      </c>
      <c r="D1144" s="30" t="s">
        <v>39</v>
      </c>
      <c r="E1144" s="30" t="s">
        <v>33</v>
      </c>
      <c r="F1144" s="30" t="s">
        <v>28</v>
      </c>
      <c r="G1144" s="30" t="s">
        <v>42</v>
      </c>
      <c r="H1144" s="39">
        <v>45986</v>
      </c>
      <c r="I1144" s="79">
        <v>193</v>
      </c>
      <c r="J1144" s="91">
        <v>200</v>
      </c>
      <c r="K1144" s="84">
        <v>0.05</v>
      </c>
      <c r="L1144" s="30" t="s">
        <v>36</v>
      </c>
      <c r="M1144" s="160">
        <v>38600</v>
      </c>
      <c r="N1144" s="160">
        <v>36670</v>
      </c>
      <c r="O1144" s="30" t="s">
        <v>265</v>
      </c>
    </row>
    <row r="1145" spans="1:15" x14ac:dyDescent="0.3">
      <c r="A1145" s="115" t="s">
        <v>789</v>
      </c>
      <c r="B1145" s="10" t="s">
        <v>32</v>
      </c>
      <c r="C1145" s="32" t="s">
        <v>246</v>
      </c>
      <c r="D1145" s="32" t="s">
        <v>26</v>
      </c>
      <c r="E1145" s="32" t="s">
        <v>51</v>
      </c>
      <c r="F1145" s="32" t="s">
        <v>28</v>
      </c>
      <c r="G1145" s="32" t="s">
        <v>29</v>
      </c>
      <c r="H1145" s="41">
        <v>45986</v>
      </c>
      <c r="I1145" s="81">
        <v>283</v>
      </c>
      <c r="J1145" s="93">
        <v>420</v>
      </c>
      <c r="K1145" s="86">
        <v>0.14000000000000001</v>
      </c>
      <c r="L1145" s="32" t="s">
        <v>36</v>
      </c>
      <c r="M1145" s="162">
        <v>118860</v>
      </c>
      <c r="N1145" s="162">
        <v>102219.6</v>
      </c>
      <c r="O1145" s="32" t="s">
        <v>267</v>
      </c>
    </row>
    <row r="1146" spans="1:15" x14ac:dyDescent="0.3">
      <c r="A1146" s="115" t="s">
        <v>790</v>
      </c>
      <c r="B1146" s="11" t="s">
        <v>25</v>
      </c>
      <c r="C1146" s="30" t="s">
        <v>257</v>
      </c>
      <c r="D1146" s="30" t="s">
        <v>26</v>
      </c>
      <c r="E1146" s="30" t="s">
        <v>27</v>
      </c>
      <c r="F1146" s="30" t="s">
        <v>52</v>
      </c>
      <c r="G1146" s="30" t="s">
        <v>29</v>
      </c>
      <c r="H1146" s="39">
        <v>45987</v>
      </c>
      <c r="I1146" s="79">
        <v>121</v>
      </c>
      <c r="J1146" s="91">
        <v>350</v>
      </c>
      <c r="K1146" s="84">
        <v>0.13</v>
      </c>
      <c r="L1146" s="30" t="s">
        <v>36</v>
      </c>
      <c r="M1146" s="160">
        <v>42350</v>
      </c>
      <c r="N1146" s="160">
        <v>36844.5</v>
      </c>
      <c r="O1146" s="30" t="s">
        <v>265</v>
      </c>
    </row>
    <row r="1147" spans="1:15" x14ac:dyDescent="0.3">
      <c r="A1147" s="115" t="s">
        <v>791</v>
      </c>
      <c r="B1147" s="10" t="s">
        <v>32</v>
      </c>
      <c r="C1147" s="32" t="s">
        <v>246</v>
      </c>
      <c r="D1147" s="32" t="s">
        <v>26</v>
      </c>
      <c r="E1147" s="32" t="s">
        <v>45</v>
      </c>
      <c r="F1147" s="32" t="s">
        <v>41</v>
      </c>
      <c r="G1147" s="32" t="s">
        <v>29</v>
      </c>
      <c r="H1147" s="41">
        <v>45987</v>
      </c>
      <c r="I1147" s="81">
        <v>231</v>
      </c>
      <c r="J1147" s="93">
        <v>420</v>
      </c>
      <c r="K1147" s="86">
        <v>0.11</v>
      </c>
      <c r="L1147" s="32" t="s">
        <v>36</v>
      </c>
      <c r="M1147" s="162">
        <v>97020</v>
      </c>
      <c r="N1147" s="162">
        <v>86347.8</v>
      </c>
      <c r="O1147" s="32" t="s">
        <v>265</v>
      </c>
    </row>
    <row r="1148" spans="1:15" x14ac:dyDescent="0.3">
      <c r="A1148" s="115" t="s">
        <v>792</v>
      </c>
      <c r="B1148" s="11" t="s">
        <v>49</v>
      </c>
      <c r="C1148" s="30" t="s">
        <v>251</v>
      </c>
      <c r="D1148" s="30" t="s">
        <v>50</v>
      </c>
      <c r="E1148" s="30" t="s">
        <v>51</v>
      </c>
      <c r="F1148" s="30" t="s">
        <v>46</v>
      </c>
      <c r="G1148" s="30" t="s">
        <v>47</v>
      </c>
      <c r="H1148" s="39">
        <v>45988</v>
      </c>
      <c r="I1148" s="79">
        <v>296</v>
      </c>
      <c r="J1148" s="91">
        <v>895</v>
      </c>
      <c r="K1148" s="84">
        <v>0.05</v>
      </c>
      <c r="L1148" s="30" t="s">
        <v>36</v>
      </c>
      <c r="M1148" s="160">
        <v>264920</v>
      </c>
      <c r="N1148" s="160">
        <v>251674</v>
      </c>
      <c r="O1148" s="30" t="s">
        <v>267</v>
      </c>
    </row>
    <row r="1149" spans="1:15" x14ac:dyDescent="0.3">
      <c r="A1149" s="115" t="s">
        <v>793</v>
      </c>
      <c r="B1149" s="10" t="s">
        <v>63</v>
      </c>
      <c r="C1149" s="32" t="s">
        <v>253</v>
      </c>
      <c r="D1149" s="32" t="s">
        <v>50</v>
      </c>
      <c r="E1149" s="32" t="s">
        <v>33</v>
      </c>
      <c r="F1149" s="32" t="s">
        <v>46</v>
      </c>
      <c r="G1149" s="32" t="s">
        <v>29</v>
      </c>
      <c r="H1149" s="41">
        <v>45988</v>
      </c>
      <c r="I1149" s="81">
        <v>152</v>
      </c>
      <c r="J1149" s="93">
        <v>750</v>
      </c>
      <c r="K1149" s="86">
        <v>0.05</v>
      </c>
      <c r="L1149" s="32" t="s">
        <v>30</v>
      </c>
      <c r="M1149" s="162">
        <v>114000</v>
      </c>
      <c r="N1149" s="162">
        <v>108300</v>
      </c>
      <c r="O1149" s="32" t="s">
        <v>267</v>
      </c>
    </row>
    <row r="1150" spans="1:15" x14ac:dyDescent="0.3">
      <c r="A1150" s="115" t="s">
        <v>794</v>
      </c>
      <c r="B1150" s="11" t="s">
        <v>262</v>
      </c>
      <c r="C1150" s="30" t="s">
        <v>263</v>
      </c>
      <c r="D1150" s="30" t="s">
        <v>50</v>
      </c>
      <c r="E1150" s="30" t="s">
        <v>45</v>
      </c>
      <c r="F1150" s="30" t="s">
        <v>34</v>
      </c>
      <c r="G1150" s="30" t="s">
        <v>35</v>
      </c>
      <c r="H1150" s="39">
        <v>45989</v>
      </c>
      <c r="I1150" s="79">
        <v>368</v>
      </c>
      <c r="J1150" s="91">
        <v>820</v>
      </c>
      <c r="K1150" s="84">
        <v>0.05</v>
      </c>
      <c r="L1150" s="30" t="s">
        <v>36</v>
      </c>
      <c r="M1150" s="160">
        <v>301760</v>
      </c>
      <c r="N1150" s="160">
        <v>286672</v>
      </c>
      <c r="O1150" s="30" t="s">
        <v>267</v>
      </c>
    </row>
    <row r="1151" spans="1:15" x14ac:dyDescent="0.3">
      <c r="A1151" s="115" t="s">
        <v>795</v>
      </c>
      <c r="B1151" s="10" t="s">
        <v>260</v>
      </c>
      <c r="C1151" s="32" t="s">
        <v>261</v>
      </c>
      <c r="D1151" s="32" t="s">
        <v>39</v>
      </c>
      <c r="E1151" s="32" t="s">
        <v>40</v>
      </c>
      <c r="F1151" s="32" t="s">
        <v>28</v>
      </c>
      <c r="G1151" s="32" t="s">
        <v>47</v>
      </c>
      <c r="H1151" s="41">
        <v>45991</v>
      </c>
      <c r="I1151" s="81">
        <v>417</v>
      </c>
      <c r="J1151" s="93">
        <v>450</v>
      </c>
      <c r="K1151" s="86">
        <v>0.1</v>
      </c>
      <c r="L1151" s="32" t="s">
        <v>36</v>
      </c>
      <c r="M1151" s="162">
        <v>187650</v>
      </c>
      <c r="N1151" s="162">
        <v>168885</v>
      </c>
      <c r="O1151" s="32" t="s">
        <v>267</v>
      </c>
    </row>
    <row r="1152" spans="1:15" x14ac:dyDescent="0.3">
      <c r="A1152" s="115" t="s">
        <v>796</v>
      </c>
      <c r="B1152" s="11" t="s">
        <v>32</v>
      </c>
      <c r="C1152" s="30" t="s">
        <v>246</v>
      </c>
      <c r="D1152" s="30" t="s">
        <v>26</v>
      </c>
      <c r="E1152" s="30" t="s">
        <v>27</v>
      </c>
      <c r="F1152" s="30" t="s">
        <v>41</v>
      </c>
      <c r="G1152" s="30" t="s">
        <v>53</v>
      </c>
      <c r="H1152" s="39">
        <v>45994</v>
      </c>
      <c r="I1152" s="79">
        <v>71</v>
      </c>
      <c r="J1152" s="91">
        <v>420</v>
      </c>
      <c r="K1152" s="84">
        <v>0.13</v>
      </c>
      <c r="L1152" s="30" t="s">
        <v>30</v>
      </c>
      <c r="M1152" s="160">
        <v>29820</v>
      </c>
      <c r="N1152" s="160">
        <v>25943.4</v>
      </c>
      <c r="O1152" s="30" t="s">
        <v>265</v>
      </c>
    </row>
    <row r="1153" spans="1:15" x14ac:dyDescent="0.3">
      <c r="A1153" s="115" t="s">
        <v>797</v>
      </c>
      <c r="B1153" s="10" t="s">
        <v>25</v>
      </c>
      <c r="C1153" s="32" t="s">
        <v>257</v>
      </c>
      <c r="D1153" s="32" t="s">
        <v>26</v>
      </c>
      <c r="E1153" s="32" t="s">
        <v>45</v>
      </c>
      <c r="F1153" s="32" t="s">
        <v>46</v>
      </c>
      <c r="G1153" s="32" t="s">
        <v>29</v>
      </c>
      <c r="H1153" s="41">
        <v>45996</v>
      </c>
      <c r="I1153" s="81">
        <v>297</v>
      </c>
      <c r="J1153" s="93">
        <v>350</v>
      </c>
      <c r="K1153" s="86">
        <v>0.13</v>
      </c>
      <c r="L1153" s="32" t="s">
        <v>36</v>
      </c>
      <c r="M1153" s="162">
        <v>103950</v>
      </c>
      <c r="N1153" s="162">
        <v>90436.5</v>
      </c>
      <c r="O1153" s="32" t="s">
        <v>265</v>
      </c>
    </row>
    <row r="1154" spans="1:15" x14ac:dyDescent="0.3">
      <c r="A1154" s="115" t="s">
        <v>798</v>
      </c>
      <c r="B1154" s="11" t="s">
        <v>262</v>
      </c>
      <c r="C1154" s="30" t="s">
        <v>263</v>
      </c>
      <c r="D1154" s="30" t="s">
        <v>50</v>
      </c>
      <c r="E1154" s="30" t="s">
        <v>51</v>
      </c>
      <c r="F1154" s="30" t="s">
        <v>46</v>
      </c>
      <c r="G1154" s="30" t="s">
        <v>29</v>
      </c>
      <c r="H1154" s="39">
        <v>45997</v>
      </c>
      <c r="I1154" s="79">
        <v>181</v>
      </c>
      <c r="J1154" s="91">
        <v>820</v>
      </c>
      <c r="K1154" s="84">
        <v>0</v>
      </c>
      <c r="L1154" s="30" t="s">
        <v>36</v>
      </c>
      <c r="M1154" s="160">
        <v>148420</v>
      </c>
      <c r="N1154" s="160">
        <v>148420</v>
      </c>
      <c r="O1154" s="30" t="s">
        <v>267</v>
      </c>
    </row>
    <row r="1155" spans="1:15" x14ac:dyDescent="0.3">
      <c r="A1155" s="115" t="s">
        <v>799</v>
      </c>
      <c r="B1155" s="10" t="s">
        <v>49</v>
      </c>
      <c r="C1155" s="32" t="s">
        <v>251</v>
      </c>
      <c r="D1155" s="32" t="s">
        <v>50</v>
      </c>
      <c r="E1155" s="32" t="s">
        <v>45</v>
      </c>
      <c r="F1155" s="32" t="s">
        <v>41</v>
      </c>
      <c r="G1155" s="32" t="s">
        <v>47</v>
      </c>
      <c r="H1155" s="41">
        <v>45997</v>
      </c>
      <c r="I1155" s="81">
        <v>356</v>
      </c>
      <c r="J1155" s="93">
        <v>895</v>
      </c>
      <c r="K1155" s="86">
        <v>0.1</v>
      </c>
      <c r="L1155" s="32" t="s">
        <v>36</v>
      </c>
      <c r="M1155" s="162">
        <v>318620</v>
      </c>
      <c r="N1155" s="162">
        <v>286758</v>
      </c>
      <c r="O1155" s="32" t="s">
        <v>267</v>
      </c>
    </row>
    <row r="1156" spans="1:15" x14ac:dyDescent="0.3">
      <c r="A1156" s="115" t="s">
        <v>800</v>
      </c>
      <c r="B1156" s="11" t="s">
        <v>260</v>
      </c>
      <c r="C1156" s="30" t="s">
        <v>261</v>
      </c>
      <c r="D1156" s="30" t="s">
        <v>39</v>
      </c>
      <c r="E1156" s="30" t="s">
        <v>33</v>
      </c>
      <c r="F1156" s="30" t="s">
        <v>34</v>
      </c>
      <c r="G1156" s="30" t="s">
        <v>35</v>
      </c>
      <c r="H1156" s="39">
        <v>45997</v>
      </c>
      <c r="I1156" s="79">
        <v>178</v>
      </c>
      <c r="J1156" s="91">
        <v>450</v>
      </c>
      <c r="K1156" s="84">
        <v>0.08</v>
      </c>
      <c r="L1156" s="30" t="s">
        <v>36</v>
      </c>
      <c r="M1156" s="160">
        <v>80100</v>
      </c>
      <c r="N1156" s="160">
        <v>73692</v>
      </c>
      <c r="O1156" s="30" t="s">
        <v>265</v>
      </c>
    </row>
    <row r="1157" spans="1:15" x14ac:dyDescent="0.3">
      <c r="A1157" s="115" t="s">
        <v>801</v>
      </c>
      <c r="B1157" s="10" t="s">
        <v>49</v>
      </c>
      <c r="C1157" s="32" t="s">
        <v>251</v>
      </c>
      <c r="D1157" s="32" t="s">
        <v>50</v>
      </c>
      <c r="E1157" s="32" t="s">
        <v>27</v>
      </c>
      <c r="F1157" s="32" t="s">
        <v>34</v>
      </c>
      <c r="G1157" s="32" t="s">
        <v>35</v>
      </c>
      <c r="H1157" s="41">
        <v>45999</v>
      </c>
      <c r="I1157" s="81">
        <v>93</v>
      </c>
      <c r="J1157" s="93">
        <v>895</v>
      </c>
      <c r="K1157" s="86">
        <v>0</v>
      </c>
      <c r="L1157" s="32" t="s">
        <v>30</v>
      </c>
      <c r="M1157" s="162">
        <v>83235</v>
      </c>
      <c r="N1157" s="162">
        <v>83235</v>
      </c>
      <c r="O1157" s="32" t="s">
        <v>265</v>
      </c>
    </row>
    <row r="1158" spans="1:15" x14ac:dyDescent="0.3">
      <c r="A1158" s="115" t="s">
        <v>802</v>
      </c>
      <c r="B1158" s="11" t="s">
        <v>16</v>
      </c>
      <c r="C1158" s="30" t="s">
        <v>250</v>
      </c>
      <c r="D1158" s="30" t="s">
        <v>39</v>
      </c>
      <c r="E1158" s="30" t="s">
        <v>45</v>
      </c>
      <c r="F1158" s="30" t="s">
        <v>34</v>
      </c>
      <c r="G1158" s="30" t="s">
        <v>42</v>
      </c>
      <c r="H1158" s="39">
        <v>46005</v>
      </c>
      <c r="I1158" s="79">
        <v>110</v>
      </c>
      <c r="J1158" s="91">
        <v>990</v>
      </c>
      <c r="K1158" s="84">
        <v>0.03</v>
      </c>
      <c r="L1158" s="30" t="s">
        <v>36</v>
      </c>
      <c r="M1158" s="160">
        <v>108900</v>
      </c>
      <c r="N1158" s="160">
        <v>105633</v>
      </c>
      <c r="O1158" s="30" t="s">
        <v>267</v>
      </c>
    </row>
    <row r="1159" spans="1:15" x14ac:dyDescent="0.3">
      <c r="A1159" s="115" t="s">
        <v>803</v>
      </c>
      <c r="B1159" s="10" t="s">
        <v>38</v>
      </c>
      <c r="C1159" s="32" t="s">
        <v>247</v>
      </c>
      <c r="D1159" s="32" t="s">
        <v>39</v>
      </c>
      <c r="E1159" s="32" t="s">
        <v>51</v>
      </c>
      <c r="F1159" s="32" t="s">
        <v>34</v>
      </c>
      <c r="G1159" s="32" t="s">
        <v>56</v>
      </c>
      <c r="H1159" s="41">
        <v>46005</v>
      </c>
      <c r="I1159" s="81">
        <v>139</v>
      </c>
      <c r="J1159" s="93">
        <v>1200</v>
      </c>
      <c r="K1159" s="86">
        <v>0.1</v>
      </c>
      <c r="L1159" s="32" t="s">
        <v>30</v>
      </c>
      <c r="M1159" s="162">
        <v>166800</v>
      </c>
      <c r="N1159" s="162">
        <v>150120</v>
      </c>
      <c r="O1159" s="32" t="s">
        <v>267</v>
      </c>
    </row>
    <row r="1160" spans="1:15" x14ac:dyDescent="0.3">
      <c r="A1160" s="115" t="s">
        <v>804</v>
      </c>
      <c r="B1160" s="11" t="s">
        <v>262</v>
      </c>
      <c r="C1160" s="30" t="s">
        <v>263</v>
      </c>
      <c r="D1160" s="30" t="s">
        <v>50</v>
      </c>
      <c r="E1160" s="30" t="s">
        <v>33</v>
      </c>
      <c r="F1160" s="30" t="s">
        <v>34</v>
      </c>
      <c r="G1160" s="30" t="s">
        <v>35</v>
      </c>
      <c r="H1160" s="39">
        <v>46008</v>
      </c>
      <c r="I1160" s="79">
        <v>256</v>
      </c>
      <c r="J1160" s="91">
        <v>820</v>
      </c>
      <c r="K1160" s="84">
        <v>7.0000000000000007E-2</v>
      </c>
      <c r="L1160" s="30" t="s">
        <v>36</v>
      </c>
      <c r="M1160" s="160">
        <v>209920</v>
      </c>
      <c r="N1160" s="160">
        <v>195225.60000000001</v>
      </c>
      <c r="O1160" s="30" t="s">
        <v>267</v>
      </c>
    </row>
    <row r="1161" spans="1:15" x14ac:dyDescent="0.3">
      <c r="A1161" s="115" t="s">
        <v>805</v>
      </c>
      <c r="B1161" s="10" t="s">
        <v>25</v>
      </c>
      <c r="C1161" s="32" t="s">
        <v>257</v>
      </c>
      <c r="D1161" s="32" t="s">
        <v>26</v>
      </c>
      <c r="E1161" s="32" t="s">
        <v>45</v>
      </c>
      <c r="F1161" s="32" t="s">
        <v>34</v>
      </c>
      <c r="G1161" s="32" t="s">
        <v>53</v>
      </c>
      <c r="H1161" s="41">
        <v>46010</v>
      </c>
      <c r="I1161" s="81">
        <v>352</v>
      </c>
      <c r="J1161" s="93">
        <v>350</v>
      </c>
      <c r="K1161" s="86">
        <v>7.0000000000000007E-2</v>
      </c>
      <c r="L1161" s="32" t="s">
        <v>36</v>
      </c>
      <c r="M1161" s="162">
        <v>123200</v>
      </c>
      <c r="N1161" s="162">
        <v>114576</v>
      </c>
      <c r="O1161" s="32" t="s">
        <v>267</v>
      </c>
    </row>
    <row r="1162" spans="1:15" x14ac:dyDescent="0.3">
      <c r="A1162" s="115" t="s">
        <v>806</v>
      </c>
      <c r="B1162" s="11" t="s">
        <v>260</v>
      </c>
      <c r="C1162" s="30" t="s">
        <v>261</v>
      </c>
      <c r="D1162" s="30" t="s">
        <v>39</v>
      </c>
      <c r="E1162" s="30" t="s">
        <v>45</v>
      </c>
      <c r="F1162" s="30" t="s">
        <v>34</v>
      </c>
      <c r="G1162" s="30" t="s">
        <v>35</v>
      </c>
      <c r="H1162" s="39">
        <v>46013</v>
      </c>
      <c r="I1162" s="79">
        <v>326</v>
      </c>
      <c r="J1162" s="91">
        <v>450</v>
      </c>
      <c r="K1162" s="84">
        <v>0.1</v>
      </c>
      <c r="L1162" s="30" t="s">
        <v>30</v>
      </c>
      <c r="M1162" s="160">
        <v>146700</v>
      </c>
      <c r="N1162" s="160">
        <v>132030</v>
      </c>
      <c r="O1162" s="30" t="s">
        <v>267</v>
      </c>
    </row>
    <row r="1163" spans="1:15" x14ac:dyDescent="0.3">
      <c r="A1163" s="115" t="s">
        <v>807</v>
      </c>
      <c r="B1163" s="10" t="s">
        <v>44</v>
      </c>
      <c r="C1163" s="32" t="s">
        <v>254</v>
      </c>
      <c r="D1163" s="32" t="s">
        <v>39</v>
      </c>
      <c r="E1163" s="32" t="s">
        <v>33</v>
      </c>
      <c r="F1163" s="32" t="s">
        <v>34</v>
      </c>
      <c r="G1163" s="32" t="s">
        <v>53</v>
      </c>
      <c r="H1163" s="41">
        <v>46013</v>
      </c>
      <c r="I1163" s="81">
        <v>204</v>
      </c>
      <c r="J1163" s="93">
        <v>200</v>
      </c>
      <c r="K1163" s="86">
        <v>0.14000000000000001</v>
      </c>
      <c r="L1163" s="32" t="s">
        <v>30</v>
      </c>
      <c r="M1163" s="162">
        <v>40800</v>
      </c>
      <c r="N1163" s="162">
        <v>35088</v>
      </c>
      <c r="O1163" s="32" t="s">
        <v>265</v>
      </c>
    </row>
    <row r="1164" spans="1:15" x14ac:dyDescent="0.3">
      <c r="A1164" s="115" t="s">
        <v>808</v>
      </c>
      <c r="B1164" s="11" t="s">
        <v>44</v>
      </c>
      <c r="C1164" s="30" t="s">
        <v>254</v>
      </c>
      <c r="D1164" s="30" t="s">
        <v>39</v>
      </c>
      <c r="E1164" s="30" t="s">
        <v>27</v>
      </c>
      <c r="F1164" s="30" t="s">
        <v>28</v>
      </c>
      <c r="G1164" s="30" t="s">
        <v>47</v>
      </c>
      <c r="H1164" s="39">
        <v>46016</v>
      </c>
      <c r="I1164" s="79">
        <v>376</v>
      </c>
      <c r="J1164" s="91">
        <v>200</v>
      </c>
      <c r="K1164" s="84">
        <v>0.05</v>
      </c>
      <c r="L1164" s="30" t="s">
        <v>36</v>
      </c>
      <c r="M1164" s="160">
        <v>75200</v>
      </c>
      <c r="N1164" s="160">
        <v>71440</v>
      </c>
      <c r="O1164" s="30" t="s">
        <v>265</v>
      </c>
    </row>
    <row r="1165" spans="1:15" x14ac:dyDescent="0.3">
      <c r="A1165" s="115" t="s">
        <v>809</v>
      </c>
      <c r="B1165" s="10" t="s">
        <v>61</v>
      </c>
      <c r="C1165" s="32" t="s">
        <v>244</v>
      </c>
      <c r="D1165" s="32" t="s">
        <v>26</v>
      </c>
      <c r="E1165" s="32" t="s">
        <v>51</v>
      </c>
      <c r="F1165" s="32" t="s">
        <v>28</v>
      </c>
      <c r="G1165" s="32" t="s">
        <v>47</v>
      </c>
      <c r="H1165" s="41">
        <v>46019</v>
      </c>
      <c r="I1165" s="81">
        <v>481</v>
      </c>
      <c r="J1165" s="93">
        <v>280</v>
      </c>
      <c r="K1165" s="86">
        <v>0.1</v>
      </c>
      <c r="L1165" s="32" t="s">
        <v>36</v>
      </c>
      <c r="M1165" s="162">
        <v>134680</v>
      </c>
      <c r="N1165" s="162">
        <v>121212</v>
      </c>
      <c r="O1165" s="32" t="s">
        <v>267</v>
      </c>
    </row>
    <row r="1166" spans="1:15" x14ac:dyDescent="0.3">
      <c r="A1166" s="115" t="s">
        <v>810</v>
      </c>
      <c r="B1166" s="11" t="s">
        <v>25</v>
      </c>
      <c r="C1166" s="30" t="s">
        <v>257</v>
      </c>
      <c r="D1166" s="30" t="s">
        <v>26</v>
      </c>
      <c r="E1166" s="30" t="s">
        <v>27</v>
      </c>
      <c r="F1166" s="30" t="s">
        <v>28</v>
      </c>
      <c r="G1166" s="30" t="s">
        <v>56</v>
      </c>
      <c r="H1166" s="39">
        <v>46019</v>
      </c>
      <c r="I1166" s="79">
        <v>434</v>
      </c>
      <c r="J1166" s="91">
        <v>350</v>
      </c>
      <c r="K1166" s="84">
        <v>0</v>
      </c>
      <c r="L1166" s="30" t="s">
        <v>36</v>
      </c>
      <c r="M1166" s="160">
        <v>151900</v>
      </c>
      <c r="N1166" s="160">
        <v>151900</v>
      </c>
      <c r="O1166" s="30" t="s">
        <v>267</v>
      </c>
    </row>
    <row r="1167" spans="1:15" x14ac:dyDescent="0.3">
      <c r="A1167" s="115" t="s">
        <v>811</v>
      </c>
      <c r="B1167" s="10" t="s">
        <v>44</v>
      </c>
      <c r="C1167" s="32" t="s">
        <v>254</v>
      </c>
      <c r="D1167" s="32" t="s">
        <v>39</v>
      </c>
      <c r="E1167" s="32" t="s">
        <v>45</v>
      </c>
      <c r="F1167" s="32" t="s">
        <v>41</v>
      </c>
      <c r="G1167" s="32" t="s">
        <v>47</v>
      </c>
      <c r="H1167" s="41">
        <v>46023</v>
      </c>
      <c r="I1167" s="81">
        <v>259</v>
      </c>
      <c r="J1167" s="93">
        <v>200</v>
      </c>
      <c r="K1167" s="86">
        <v>0.15</v>
      </c>
      <c r="L1167" s="32" t="s">
        <v>36</v>
      </c>
      <c r="M1167" s="162">
        <v>51800</v>
      </c>
      <c r="N1167" s="162">
        <v>44030</v>
      </c>
      <c r="O1167" s="32" t="s">
        <v>265</v>
      </c>
    </row>
    <row r="1168" spans="1:15" x14ac:dyDescent="0.3">
      <c r="A1168" s="115" t="s">
        <v>812</v>
      </c>
      <c r="B1168" s="11" t="s">
        <v>25</v>
      </c>
      <c r="C1168" s="30" t="s">
        <v>257</v>
      </c>
      <c r="D1168" s="30" t="s">
        <v>26</v>
      </c>
      <c r="E1168" s="30" t="s">
        <v>27</v>
      </c>
      <c r="F1168" s="30" t="s">
        <v>41</v>
      </c>
      <c r="G1168" s="30" t="s">
        <v>35</v>
      </c>
      <c r="H1168" s="39">
        <v>46023</v>
      </c>
      <c r="I1168" s="79">
        <v>63</v>
      </c>
      <c r="J1168" s="91">
        <v>350</v>
      </c>
      <c r="K1168" s="84">
        <v>0</v>
      </c>
      <c r="L1168" s="30" t="s">
        <v>30</v>
      </c>
      <c r="M1168" s="160">
        <v>22050</v>
      </c>
      <c r="N1168" s="160">
        <v>22050</v>
      </c>
      <c r="O1168" s="30" t="s">
        <v>265</v>
      </c>
    </row>
    <row r="1169" spans="1:15" x14ac:dyDescent="0.3">
      <c r="A1169" s="115" t="s">
        <v>813</v>
      </c>
      <c r="B1169" s="10" t="s">
        <v>32</v>
      </c>
      <c r="C1169" s="32" t="s">
        <v>246</v>
      </c>
      <c r="D1169" s="32" t="s">
        <v>26</v>
      </c>
      <c r="E1169" s="32" t="s">
        <v>40</v>
      </c>
      <c r="F1169" s="32" t="s">
        <v>41</v>
      </c>
      <c r="G1169" s="32" t="s">
        <v>42</v>
      </c>
      <c r="H1169" s="41">
        <v>46023</v>
      </c>
      <c r="I1169" s="81">
        <v>336</v>
      </c>
      <c r="J1169" s="93">
        <v>420</v>
      </c>
      <c r="K1169" s="86">
        <v>0.12</v>
      </c>
      <c r="L1169" s="32" t="s">
        <v>30</v>
      </c>
      <c r="M1169" s="162">
        <v>141120</v>
      </c>
      <c r="N1169" s="162">
        <v>124185.60000000001</v>
      </c>
      <c r="O1169" s="32" t="s">
        <v>267</v>
      </c>
    </row>
    <row r="1170" spans="1:15" x14ac:dyDescent="0.3">
      <c r="A1170" s="115" t="s">
        <v>814</v>
      </c>
      <c r="B1170" s="11" t="s">
        <v>58</v>
      </c>
      <c r="C1170" s="30" t="s">
        <v>255</v>
      </c>
      <c r="D1170" s="30" t="s">
        <v>59</v>
      </c>
      <c r="E1170" s="30" t="s">
        <v>40</v>
      </c>
      <c r="F1170" s="30" t="s">
        <v>41</v>
      </c>
      <c r="G1170" s="30" t="s">
        <v>29</v>
      </c>
      <c r="H1170" s="39">
        <v>46024</v>
      </c>
      <c r="I1170" s="79">
        <v>196</v>
      </c>
      <c r="J1170" s="91">
        <v>2800</v>
      </c>
      <c r="K1170" s="84">
        <v>0</v>
      </c>
      <c r="L1170" s="30" t="s">
        <v>30</v>
      </c>
      <c r="M1170" s="160">
        <v>548800</v>
      </c>
      <c r="N1170" s="160">
        <v>548800</v>
      </c>
      <c r="O1170" s="30" t="s">
        <v>277</v>
      </c>
    </row>
    <row r="1171" spans="1:15" x14ac:dyDescent="0.3">
      <c r="A1171" s="115" t="s">
        <v>815</v>
      </c>
      <c r="B1171" s="10" t="s">
        <v>260</v>
      </c>
      <c r="C1171" s="32" t="s">
        <v>261</v>
      </c>
      <c r="D1171" s="32" t="s">
        <v>39</v>
      </c>
      <c r="E1171" s="32" t="s">
        <v>33</v>
      </c>
      <c r="F1171" s="32" t="s">
        <v>34</v>
      </c>
      <c r="G1171" s="32" t="s">
        <v>29</v>
      </c>
      <c r="H1171" s="41">
        <v>46024</v>
      </c>
      <c r="I1171" s="81">
        <v>314</v>
      </c>
      <c r="J1171" s="93">
        <v>450</v>
      </c>
      <c r="K1171" s="86">
        <v>0.12</v>
      </c>
      <c r="L1171" s="32" t="s">
        <v>36</v>
      </c>
      <c r="M1171" s="162">
        <v>141300</v>
      </c>
      <c r="N1171" s="162">
        <v>124344</v>
      </c>
      <c r="O1171" s="32" t="s">
        <v>267</v>
      </c>
    </row>
    <row r="1172" spans="1:15" x14ac:dyDescent="0.3">
      <c r="A1172" s="115" t="s">
        <v>816</v>
      </c>
      <c r="B1172" s="11" t="s">
        <v>44</v>
      </c>
      <c r="C1172" s="30" t="s">
        <v>254</v>
      </c>
      <c r="D1172" s="30" t="s">
        <v>39</v>
      </c>
      <c r="E1172" s="30" t="s">
        <v>40</v>
      </c>
      <c r="F1172" s="30" t="s">
        <v>28</v>
      </c>
      <c r="G1172" s="30" t="s">
        <v>56</v>
      </c>
      <c r="H1172" s="39">
        <v>46024</v>
      </c>
      <c r="I1172" s="79">
        <v>218</v>
      </c>
      <c r="J1172" s="91">
        <v>200</v>
      </c>
      <c r="K1172" s="84">
        <v>0.12</v>
      </c>
      <c r="L1172" s="30" t="s">
        <v>36</v>
      </c>
      <c r="M1172" s="160">
        <v>43600</v>
      </c>
      <c r="N1172" s="160">
        <v>38368</v>
      </c>
      <c r="O1172" s="30" t="s">
        <v>265</v>
      </c>
    </row>
    <row r="1173" spans="1:15" x14ac:dyDescent="0.3">
      <c r="A1173" s="115" t="s">
        <v>817</v>
      </c>
      <c r="B1173" s="10" t="s">
        <v>32</v>
      </c>
      <c r="C1173" s="32" t="s">
        <v>246</v>
      </c>
      <c r="D1173" s="32" t="s">
        <v>26</v>
      </c>
      <c r="E1173" s="32" t="s">
        <v>40</v>
      </c>
      <c r="F1173" s="32" t="s">
        <v>28</v>
      </c>
      <c r="G1173" s="32" t="s">
        <v>47</v>
      </c>
      <c r="H1173" s="41">
        <v>46025</v>
      </c>
      <c r="I1173" s="81">
        <v>427</v>
      </c>
      <c r="J1173" s="93">
        <v>420</v>
      </c>
      <c r="K1173" s="86">
        <v>0.11</v>
      </c>
      <c r="L1173" s="32" t="s">
        <v>36</v>
      </c>
      <c r="M1173" s="162">
        <v>179340</v>
      </c>
      <c r="N1173" s="162">
        <v>159612.6</v>
      </c>
      <c r="O1173" s="32" t="s">
        <v>267</v>
      </c>
    </row>
    <row r="1174" spans="1:15" x14ac:dyDescent="0.3">
      <c r="A1174" s="115" t="s">
        <v>818</v>
      </c>
      <c r="B1174" s="11" t="s">
        <v>262</v>
      </c>
      <c r="C1174" s="30" t="s">
        <v>263</v>
      </c>
      <c r="D1174" s="30" t="s">
        <v>50</v>
      </c>
      <c r="E1174" s="30" t="s">
        <v>27</v>
      </c>
      <c r="F1174" s="30" t="s">
        <v>28</v>
      </c>
      <c r="G1174" s="30" t="s">
        <v>35</v>
      </c>
      <c r="H1174" s="39">
        <v>46025</v>
      </c>
      <c r="I1174" s="79">
        <v>95</v>
      </c>
      <c r="J1174" s="91">
        <v>820</v>
      </c>
      <c r="K1174" s="84">
        <v>0.14000000000000001</v>
      </c>
      <c r="L1174" s="30" t="s">
        <v>36</v>
      </c>
      <c r="M1174" s="160">
        <v>77900</v>
      </c>
      <c r="N1174" s="160">
        <v>66994</v>
      </c>
      <c r="O1174" s="30" t="s">
        <v>265</v>
      </c>
    </row>
    <row r="1175" spans="1:15" x14ac:dyDescent="0.3">
      <c r="A1175" s="115" t="s">
        <v>819</v>
      </c>
      <c r="B1175" s="10" t="s">
        <v>49</v>
      </c>
      <c r="C1175" s="32" t="s">
        <v>251</v>
      </c>
      <c r="D1175" s="32" t="s">
        <v>50</v>
      </c>
      <c r="E1175" s="32" t="s">
        <v>33</v>
      </c>
      <c r="F1175" s="32" t="s">
        <v>46</v>
      </c>
      <c r="G1175" s="32" t="s">
        <v>29</v>
      </c>
      <c r="H1175" s="41">
        <v>46026</v>
      </c>
      <c r="I1175" s="81">
        <v>181</v>
      </c>
      <c r="J1175" s="93">
        <v>895</v>
      </c>
      <c r="K1175" s="86">
        <v>0</v>
      </c>
      <c r="L1175" s="32" t="s">
        <v>30</v>
      </c>
      <c r="M1175" s="162">
        <v>161995</v>
      </c>
      <c r="N1175" s="162">
        <v>161995</v>
      </c>
      <c r="O1175" s="32" t="s">
        <v>267</v>
      </c>
    </row>
    <row r="1176" spans="1:15" x14ac:dyDescent="0.3">
      <c r="A1176" s="115" t="s">
        <v>820</v>
      </c>
      <c r="B1176" s="11" t="s">
        <v>38</v>
      </c>
      <c r="C1176" s="30" t="s">
        <v>247</v>
      </c>
      <c r="D1176" s="30" t="s">
        <v>39</v>
      </c>
      <c r="E1176" s="30" t="s">
        <v>27</v>
      </c>
      <c r="F1176" s="30" t="s">
        <v>46</v>
      </c>
      <c r="G1176" s="30" t="s">
        <v>35</v>
      </c>
      <c r="H1176" s="39">
        <v>46026</v>
      </c>
      <c r="I1176" s="79">
        <v>131</v>
      </c>
      <c r="J1176" s="91">
        <v>1200</v>
      </c>
      <c r="K1176" s="84">
        <v>0</v>
      </c>
      <c r="L1176" s="30" t="s">
        <v>30</v>
      </c>
      <c r="M1176" s="160">
        <v>157200</v>
      </c>
      <c r="N1176" s="160">
        <v>157200</v>
      </c>
      <c r="O1176" s="30" t="s">
        <v>267</v>
      </c>
    </row>
    <row r="1177" spans="1:15" x14ac:dyDescent="0.3">
      <c r="A1177" s="115" t="s">
        <v>821</v>
      </c>
      <c r="B1177" s="10" t="s">
        <v>38</v>
      </c>
      <c r="C1177" s="32" t="s">
        <v>247</v>
      </c>
      <c r="D1177" s="32" t="s">
        <v>39</v>
      </c>
      <c r="E1177" s="32" t="s">
        <v>45</v>
      </c>
      <c r="F1177" s="32" t="s">
        <v>28</v>
      </c>
      <c r="G1177" s="32" t="s">
        <v>35</v>
      </c>
      <c r="H1177" s="41">
        <v>46026</v>
      </c>
      <c r="I1177" s="81">
        <v>175</v>
      </c>
      <c r="J1177" s="93">
        <v>1200</v>
      </c>
      <c r="K1177" s="86">
        <v>0.13</v>
      </c>
      <c r="L1177" s="32" t="s">
        <v>36</v>
      </c>
      <c r="M1177" s="162">
        <v>210000</v>
      </c>
      <c r="N1177" s="162">
        <v>182700</v>
      </c>
      <c r="O1177" s="32" t="s">
        <v>267</v>
      </c>
    </row>
    <row r="1178" spans="1:15" x14ac:dyDescent="0.3">
      <c r="A1178" s="115" t="s">
        <v>822</v>
      </c>
      <c r="B1178" s="11" t="s">
        <v>260</v>
      </c>
      <c r="C1178" s="30" t="s">
        <v>261</v>
      </c>
      <c r="D1178" s="30" t="s">
        <v>39</v>
      </c>
      <c r="E1178" s="30" t="s">
        <v>33</v>
      </c>
      <c r="F1178" s="30" t="s">
        <v>34</v>
      </c>
      <c r="G1178" s="30" t="s">
        <v>42</v>
      </c>
      <c r="H1178" s="39">
        <v>46027</v>
      </c>
      <c r="I1178" s="79">
        <v>260</v>
      </c>
      <c r="J1178" s="91">
        <v>450</v>
      </c>
      <c r="K1178" s="84">
        <v>0.11</v>
      </c>
      <c r="L1178" s="30" t="s">
        <v>36</v>
      </c>
      <c r="M1178" s="160">
        <v>117000</v>
      </c>
      <c r="N1178" s="160">
        <v>104130</v>
      </c>
      <c r="O1178" s="30" t="s">
        <v>267</v>
      </c>
    </row>
    <row r="1179" spans="1:15" x14ac:dyDescent="0.3">
      <c r="A1179" s="115" t="s">
        <v>823</v>
      </c>
      <c r="B1179" s="10" t="s">
        <v>63</v>
      </c>
      <c r="C1179" s="32" t="s">
        <v>253</v>
      </c>
      <c r="D1179" s="32" t="s">
        <v>50</v>
      </c>
      <c r="E1179" s="32" t="s">
        <v>51</v>
      </c>
      <c r="F1179" s="32" t="s">
        <v>41</v>
      </c>
      <c r="G1179" s="32" t="s">
        <v>42</v>
      </c>
      <c r="H1179" s="41">
        <v>46027</v>
      </c>
      <c r="I1179" s="81">
        <v>138</v>
      </c>
      <c r="J1179" s="93">
        <v>750</v>
      </c>
      <c r="K1179" s="86">
        <v>0.13</v>
      </c>
      <c r="L1179" s="32" t="s">
        <v>36</v>
      </c>
      <c r="M1179" s="162">
        <v>103500</v>
      </c>
      <c r="N1179" s="162">
        <v>90045</v>
      </c>
      <c r="O1179" s="32" t="s">
        <v>265</v>
      </c>
    </row>
    <row r="1180" spans="1:15" x14ac:dyDescent="0.3">
      <c r="A1180" s="115" t="s">
        <v>824</v>
      </c>
      <c r="B1180" s="11" t="s">
        <v>61</v>
      </c>
      <c r="C1180" s="30" t="s">
        <v>244</v>
      </c>
      <c r="D1180" s="30" t="s">
        <v>26</v>
      </c>
      <c r="E1180" s="30" t="s">
        <v>27</v>
      </c>
      <c r="F1180" s="30" t="s">
        <v>52</v>
      </c>
      <c r="G1180" s="30" t="s">
        <v>42</v>
      </c>
      <c r="H1180" s="39">
        <v>46028</v>
      </c>
      <c r="I1180" s="79">
        <v>371</v>
      </c>
      <c r="J1180" s="91">
        <v>280</v>
      </c>
      <c r="K1180" s="84">
        <v>0.14000000000000001</v>
      </c>
      <c r="L1180" s="30" t="s">
        <v>36</v>
      </c>
      <c r="M1180" s="160">
        <v>103880</v>
      </c>
      <c r="N1180" s="160">
        <v>89336.8</v>
      </c>
      <c r="O1180" s="30" t="s">
        <v>265</v>
      </c>
    </row>
    <row r="1181" spans="1:15" x14ac:dyDescent="0.3">
      <c r="A1181" s="115" t="s">
        <v>825</v>
      </c>
      <c r="B1181" s="10" t="s">
        <v>44</v>
      </c>
      <c r="C1181" s="32" t="s">
        <v>254</v>
      </c>
      <c r="D1181" s="32" t="s">
        <v>39</v>
      </c>
      <c r="E1181" s="32" t="s">
        <v>51</v>
      </c>
      <c r="F1181" s="32" t="s">
        <v>34</v>
      </c>
      <c r="G1181" s="32" t="s">
        <v>35</v>
      </c>
      <c r="H1181" s="41">
        <v>46028</v>
      </c>
      <c r="I1181" s="81">
        <v>212</v>
      </c>
      <c r="J1181" s="93">
        <v>200</v>
      </c>
      <c r="K1181" s="86">
        <v>0.03</v>
      </c>
      <c r="L1181" s="32" t="s">
        <v>36</v>
      </c>
      <c r="M1181" s="162">
        <v>42400</v>
      </c>
      <c r="N1181" s="162">
        <v>41128</v>
      </c>
      <c r="O1181" s="32" t="s">
        <v>265</v>
      </c>
    </row>
    <row r="1182" spans="1:15" x14ac:dyDescent="0.3">
      <c r="A1182" s="115" t="s">
        <v>826</v>
      </c>
      <c r="B1182" s="11" t="s">
        <v>32</v>
      </c>
      <c r="C1182" s="30" t="s">
        <v>246</v>
      </c>
      <c r="D1182" s="30" t="s">
        <v>26</v>
      </c>
      <c r="E1182" s="30" t="s">
        <v>40</v>
      </c>
      <c r="F1182" s="30" t="s">
        <v>46</v>
      </c>
      <c r="G1182" s="30" t="s">
        <v>47</v>
      </c>
      <c r="H1182" s="39">
        <v>46028</v>
      </c>
      <c r="I1182" s="79">
        <v>121</v>
      </c>
      <c r="J1182" s="91">
        <v>420</v>
      </c>
      <c r="K1182" s="84">
        <v>0.1</v>
      </c>
      <c r="L1182" s="30" t="s">
        <v>30</v>
      </c>
      <c r="M1182" s="160">
        <v>50820</v>
      </c>
      <c r="N1182" s="160">
        <v>45738</v>
      </c>
      <c r="O1182" s="30" t="s">
        <v>265</v>
      </c>
    </row>
    <row r="1183" spans="1:15" x14ac:dyDescent="0.3">
      <c r="A1183" s="115" t="s">
        <v>827</v>
      </c>
      <c r="B1183" s="10" t="s">
        <v>32</v>
      </c>
      <c r="C1183" s="32" t="s">
        <v>246</v>
      </c>
      <c r="D1183" s="32" t="s">
        <v>26</v>
      </c>
      <c r="E1183" s="32" t="s">
        <v>33</v>
      </c>
      <c r="F1183" s="32" t="s">
        <v>46</v>
      </c>
      <c r="G1183" s="32" t="s">
        <v>53</v>
      </c>
      <c r="H1183" s="41">
        <v>46029</v>
      </c>
      <c r="I1183" s="81">
        <v>115</v>
      </c>
      <c r="J1183" s="93">
        <v>420</v>
      </c>
      <c r="K1183" s="86">
        <v>0.03</v>
      </c>
      <c r="L1183" s="32" t="s">
        <v>36</v>
      </c>
      <c r="M1183" s="162">
        <v>48300</v>
      </c>
      <c r="N1183" s="162">
        <v>46851</v>
      </c>
      <c r="O1183" s="32" t="s">
        <v>265</v>
      </c>
    </row>
    <row r="1184" spans="1:15" x14ac:dyDescent="0.3">
      <c r="A1184" s="115" t="s">
        <v>828</v>
      </c>
      <c r="B1184" s="11" t="s">
        <v>16</v>
      </c>
      <c r="C1184" s="30" t="s">
        <v>250</v>
      </c>
      <c r="D1184" s="30" t="s">
        <v>39</v>
      </c>
      <c r="E1184" s="30" t="s">
        <v>27</v>
      </c>
      <c r="F1184" s="30" t="s">
        <v>28</v>
      </c>
      <c r="G1184" s="30" t="s">
        <v>35</v>
      </c>
      <c r="H1184" s="39">
        <v>46029</v>
      </c>
      <c r="I1184" s="79">
        <v>66</v>
      </c>
      <c r="J1184" s="91">
        <v>990</v>
      </c>
      <c r="K1184" s="84">
        <v>0.13</v>
      </c>
      <c r="L1184" s="30" t="s">
        <v>36</v>
      </c>
      <c r="M1184" s="160">
        <v>65340</v>
      </c>
      <c r="N1184" s="160">
        <v>56845.8</v>
      </c>
      <c r="O1184" s="30" t="s">
        <v>265</v>
      </c>
    </row>
    <row r="1185" spans="1:15" x14ac:dyDescent="0.3">
      <c r="A1185" s="115" t="s">
        <v>829</v>
      </c>
      <c r="B1185" s="10" t="s">
        <v>49</v>
      </c>
      <c r="C1185" s="32" t="s">
        <v>251</v>
      </c>
      <c r="D1185" s="32" t="s">
        <v>50</v>
      </c>
      <c r="E1185" s="32" t="s">
        <v>40</v>
      </c>
      <c r="F1185" s="32" t="s">
        <v>52</v>
      </c>
      <c r="G1185" s="32" t="s">
        <v>42</v>
      </c>
      <c r="H1185" s="41">
        <v>46029</v>
      </c>
      <c r="I1185" s="81">
        <v>262</v>
      </c>
      <c r="J1185" s="93">
        <v>895</v>
      </c>
      <c r="K1185" s="86">
        <v>0.13</v>
      </c>
      <c r="L1185" s="32" t="s">
        <v>36</v>
      </c>
      <c r="M1185" s="162">
        <v>234490</v>
      </c>
      <c r="N1185" s="162">
        <v>204006.3</v>
      </c>
      <c r="O1185" s="32" t="s">
        <v>267</v>
      </c>
    </row>
    <row r="1186" spans="1:15" x14ac:dyDescent="0.3">
      <c r="A1186" s="115" t="s">
        <v>830</v>
      </c>
      <c r="B1186" s="11" t="s">
        <v>61</v>
      </c>
      <c r="C1186" s="30" t="s">
        <v>244</v>
      </c>
      <c r="D1186" s="30" t="s">
        <v>26</v>
      </c>
      <c r="E1186" s="30" t="s">
        <v>33</v>
      </c>
      <c r="F1186" s="30" t="s">
        <v>41</v>
      </c>
      <c r="G1186" s="30" t="s">
        <v>56</v>
      </c>
      <c r="H1186" s="39">
        <v>46030</v>
      </c>
      <c r="I1186" s="79">
        <v>212</v>
      </c>
      <c r="J1186" s="91">
        <v>280</v>
      </c>
      <c r="K1186" s="84">
        <v>0.03</v>
      </c>
      <c r="L1186" s="30" t="s">
        <v>30</v>
      </c>
      <c r="M1186" s="160">
        <v>59360</v>
      </c>
      <c r="N1186" s="160">
        <v>57579.199999999997</v>
      </c>
      <c r="O1186" s="30" t="s">
        <v>265</v>
      </c>
    </row>
    <row r="1187" spans="1:15" x14ac:dyDescent="0.3">
      <c r="A1187" s="115" t="s">
        <v>831</v>
      </c>
      <c r="B1187" s="10" t="s">
        <v>25</v>
      </c>
      <c r="C1187" s="32" t="s">
        <v>257</v>
      </c>
      <c r="D1187" s="32" t="s">
        <v>26</v>
      </c>
      <c r="E1187" s="32" t="s">
        <v>45</v>
      </c>
      <c r="F1187" s="32" t="s">
        <v>41</v>
      </c>
      <c r="G1187" s="32" t="s">
        <v>56</v>
      </c>
      <c r="H1187" s="41">
        <v>46030</v>
      </c>
      <c r="I1187" s="81">
        <v>239</v>
      </c>
      <c r="J1187" s="93">
        <v>350</v>
      </c>
      <c r="K1187" s="86">
        <v>0.03</v>
      </c>
      <c r="L1187" s="32" t="s">
        <v>30</v>
      </c>
      <c r="M1187" s="162">
        <v>83650</v>
      </c>
      <c r="N1187" s="162">
        <v>81140.5</v>
      </c>
      <c r="O1187" s="32" t="s">
        <v>265</v>
      </c>
    </row>
    <row r="1188" spans="1:15" x14ac:dyDescent="0.3">
      <c r="A1188" s="115" t="s">
        <v>832</v>
      </c>
      <c r="B1188" s="11" t="s">
        <v>258</v>
      </c>
      <c r="C1188" s="30" t="s">
        <v>259</v>
      </c>
      <c r="D1188" s="30" t="s">
        <v>26</v>
      </c>
      <c r="E1188" s="30" t="s">
        <v>45</v>
      </c>
      <c r="F1188" s="30" t="s">
        <v>34</v>
      </c>
      <c r="G1188" s="30" t="s">
        <v>29</v>
      </c>
      <c r="H1188" s="39">
        <v>46030</v>
      </c>
      <c r="I1188" s="79">
        <v>406</v>
      </c>
      <c r="J1188" s="91">
        <v>680</v>
      </c>
      <c r="K1188" s="84">
        <v>0</v>
      </c>
      <c r="L1188" s="30" t="s">
        <v>30</v>
      </c>
      <c r="M1188" s="160">
        <v>276080</v>
      </c>
      <c r="N1188" s="160">
        <v>276080</v>
      </c>
      <c r="O1188" s="30" t="s">
        <v>267</v>
      </c>
    </row>
    <row r="1189" spans="1:15" x14ac:dyDescent="0.3">
      <c r="A1189" s="115" t="s">
        <v>833</v>
      </c>
      <c r="B1189" s="10" t="s">
        <v>262</v>
      </c>
      <c r="C1189" s="32" t="s">
        <v>263</v>
      </c>
      <c r="D1189" s="32" t="s">
        <v>50</v>
      </c>
      <c r="E1189" s="32" t="s">
        <v>51</v>
      </c>
      <c r="F1189" s="32" t="s">
        <v>34</v>
      </c>
      <c r="G1189" s="32" t="s">
        <v>35</v>
      </c>
      <c r="H1189" s="41">
        <v>46031</v>
      </c>
      <c r="I1189" s="81">
        <v>124</v>
      </c>
      <c r="J1189" s="93">
        <v>820</v>
      </c>
      <c r="K1189" s="86">
        <v>0.11</v>
      </c>
      <c r="L1189" s="32" t="s">
        <v>30</v>
      </c>
      <c r="M1189" s="162">
        <v>101680</v>
      </c>
      <c r="N1189" s="162">
        <v>90495.2</v>
      </c>
      <c r="O1189" s="32" t="s">
        <v>265</v>
      </c>
    </row>
    <row r="1190" spans="1:15" x14ac:dyDescent="0.3">
      <c r="A1190" s="115" t="s">
        <v>834</v>
      </c>
      <c r="B1190" s="11" t="s">
        <v>32</v>
      </c>
      <c r="C1190" s="30" t="s">
        <v>246</v>
      </c>
      <c r="D1190" s="30" t="s">
        <v>26</v>
      </c>
      <c r="E1190" s="30" t="s">
        <v>51</v>
      </c>
      <c r="F1190" s="30" t="s">
        <v>34</v>
      </c>
      <c r="G1190" s="30" t="s">
        <v>35</v>
      </c>
      <c r="H1190" s="39">
        <v>46031</v>
      </c>
      <c r="I1190" s="79">
        <v>443</v>
      </c>
      <c r="J1190" s="91">
        <v>420</v>
      </c>
      <c r="K1190" s="84">
        <v>0</v>
      </c>
      <c r="L1190" s="30" t="s">
        <v>30</v>
      </c>
      <c r="M1190" s="160">
        <v>186060</v>
      </c>
      <c r="N1190" s="160">
        <v>186060</v>
      </c>
      <c r="O1190" s="30" t="s">
        <v>267</v>
      </c>
    </row>
    <row r="1191" spans="1:15" x14ac:dyDescent="0.3">
      <c r="A1191" s="115" t="s">
        <v>835</v>
      </c>
      <c r="B1191" s="10" t="s">
        <v>25</v>
      </c>
      <c r="C1191" s="32" t="s">
        <v>257</v>
      </c>
      <c r="D1191" s="32" t="s">
        <v>26</v>
      </c>
      <c r="E1191" s="32" t="s">
        <v>40</v>
      </c>
      <c r="F1191" s="32" t="s">
        <v>28</v>
      </c>
      <c r="G1191" s="32" t="s">
        <v>35</v>
      </c>
      <c r="H1191" s="41">
        <v>46031</v>
      </c>
      <c r="I1191" s="81">
        <v>102</v>
      </c>
      <c r="J1191" s="93">
        <v>350</v>
      </c>
      <c r="K1191" s="86">
        <v>7.0000000000000007E-2</v>
      </c>
      <c r="L1191" s="32" t="s">
        <v>36</v>
      </c>
      <c r="M1191" s="162">
        <v>35700</v>
      </c>
      <c r="N1191" s="162">
        <v>33201</v>
      </c>
      <c r="O1191" s="32" t="s">
        <v>265</v>
      </c>
    </row>
    <row r="1192" spans="1:15" x14ac:dyDescent="0.3">
      <c r="A1192" s="115" t="s">
        <v>836</v>
      </c>
      <c r="B1192" s="11" t="s">
        <v>44</v>
      </c>
      <c r="C1192" s="30" t="s">
        <v>254</v>
      </c>
      <c r="D1192" s="30" t="s">
        <v>39</v>
      </c>
      <c r="E1192" s="30" t="s">
        <v>33</v>
      </c>
      <c r="F1192" s="30" t="s">
        <v>52</v>
      </c>
      <c r="G1192" s="30" t="s">
        <v>29</v>
      </c>
      <c r="H1192" s="39">
        <v>46032</v>
      </c>
      <c r="I1192" s="79">
        <v>162</v>
      </c>
      <c r="J1192" s="91">
        <v>200</v>
      </c>
      <c r="K1192" s="84">
        <v>0.14000000000000001</v>
      </c>
      <c r="L1192" s="30" t="s">
        <v>36</v>
      </c>
      <c r="M1192" s="160">
        <v>32400</v>
      </c>
      <c r="N1192" s="160">
        <v>27864</v>
      </c>
      <c r="O1192" s="30" t="s">
        <v>265</v>
      </c>
    </row>
    <row r="1193" spans="1:15" x14ac:dyDescent="0.3">
      <c r="A1193" s="115" t="s">
        <v>837</v>
      </c>
      <c r="B1193" s="10" t="s">
        <v>49</v>
      </c>
      <c r="C1193" s="32" t="s">
        <v>251</v>
      </c>
      <c r="D1193" s="32" t="s">
        <v>50</v>
      </c>
      <c r="E1193" s="32" t="s">
        <v>51</v>
      </c>
      <c r="F1193" s="32" t="s">
        <v>52</v>
      </c>
      <c r="G1193" s="32" t="s">
        <v>29</v>
      </c>
      <c r="H1193" s="41">
        <v>46032</v>
      </c>
      <c r="I1193" s="81">
        <v>130</v>
      </c>
      <c r="J1193" s="93">
        <v>895</v>
      </c>
      <c r="K1193" s="86">
        <v>0</v>
      </c>
      <c r="L1193" s="32" t="s">
        <v>30</v>
      </c>
      <c r="M1193" s="162">
        <v>116350</v>
      </c>
      <c r="N1193" s="162">
        <v>116350</v>
      </c>
      <c r="O1193" s="32" t="s">
        <v>267</v>
      </c>
    </row>
    <row r="1194" spans="1:15" x14ac:dyDescent="0.3">
      <c r="A1194" s="115" t="s">
        <v>838</v>
      </c>
      <c r="B1194" s="11" t="s">
        <v>262</v>
      </c>
      <c r="C1194" s="30" t="s">
        <v>263</v>
      </c>
      <c r="D1194" s="30" t="s">
        <v>50</v>
      </c>
      <c r="E1194" s="30" t="s">
        <v>45</v>
      </c>
      <c r="F1194" s="30" t="s">
        <v>34</v>
      </c>
      <c r="G1194" s="30" t="s">
        <v>29</v>
      </c>
      <c r="H1194" s="39">
        <v>46035</v>
      </c>
      <c r="I1194" s="79">
        <v>297</v>
      </c>
      <c r="J1194" s="91">
        <v>820</v>
      </c>
      <c r="K1194" s="84">
        <v>0.13</v>
      </c>
      <c r="L1194" s="30" t="s">
        <v>30</v>
      </c>
      <c r="M1194" s="160">
        <v>243540</v>
      </c>
      <c r="N1194" s="160">
        <v>211879.8</v>
      </c>
      <c r="O1194" s="30" t="s">
        <v>267</v>
      </c>
    </row>
    <row r="1195" spans="1:15" x14ac:dyDescent="0.3">
      <c r="A1195" s="115" t="s">
        <v>839</v>
      </c>
      <c r="B1195" s="10" t="s">
        <v>61</v>
      </c>
      <c r="C1195" s="32" t="s">
        <v>244</v>
      </c>
      <c r="D1195" s="32" t="s">
        <v>26</v>
      </c>
      <c r="E1195" s="32" t="s">
        <v>45</v>
      </c>
      <c r="F1195" s="32" t="s">
        <v>46</v>
      </c>
      <c r="G1195" s="32" t="s">
        <v>47</v>
      </c>
      <c r="H1195" s="41">
        <v>46035</v>
      </c>
      <c r="I1195" s="81">
        <v>331</v>
      </c>
      <c r="J1195" s="93">
        <v>280</v>
      </c>
      <c r="K1195" s="86">
        <v>0.05</v>
      </c>
      <c r="L1195" s="32" t="s">
        <v>36</v>
      </c>
      <c r="M1195" s="162">
        <v>92680</v>
      </c>
      <c r="N1195" s="162">
        <v>88046</v>
      </c>
      <c r="O1195" s="32" t="s">
        <v>265</v>
      </c>
    </row>
    <row r="1196" spans="1:15" x14ac:dyDescent="0.3">
      <c r="A1196" s="115" t="s">
        <v>840</v>
      </c>
      <c r="B1196" s="11" t="s">
        <v>38</v>
      </c>
      <c r="C1196" s="30" t="s">
        <v>247</v>
      </c>
      <c r="D1196" s="30" t="s">
        <v>39</v>
      </c>
      <c r="E1196" s="30" t="s">
        <v>33</v>
      </c>
      <c r="F1196" s="30" t="s">
        <v>41</v>
      </c>
      <c r="G1196" s="30" t="s">
        <v>56</v>
      </c>
      <c r="H1196" s="39">
        <v>46038</v>
      </c>
      <c r="I1196" s="79">
        <v>242</v>
      </c>
      <c r="J1196" s="91">
        <v>1200</v>
      </c>
      <c r="K1196" s="84">
        <v>0.15</v>
      </c>
      <c r="L1196" s="30" t="s">
        <v>36</v>
      </c>
      <c r="M1196" s="160">
        <v>290400</v>
      </c>
      <c r="N1196" s="160">
        <v>246840</v>
      </c>
      <c r="O1196" s="30" t="s">
        <v>267</v>
      </c>
    </row>
    <row r="1197" spans="1:15" x14ac:dyDescent="0.3">
      <c r="A1197" s="115" t="s">
        <v>841</v>
      </c>
      <c r="B1197" s="10" t="s">
        <v>49</v>
      </c>
      <c r="C1197" s="32" t="s">
        <v>251</v>
      </c>
      <c r="D1197" s="32" t="s">
        <v>50</v>
      </c>
      <c r="E1197" s="32" t="s">
        <v>45</v>
      </c>
      <c r="F1197" s="32" t="s">
        <v>52</v>
      </c>
      <c r="G1197" s="32" t="s">
        <v>53</v>
      </c>
      <c r="H1197" s="41">
        <v>46039</v>
      </c>
      <c r="I1197" s="81">
        <v>34</v>
      </c>
      <c r="J1197" s="93">
        <v>895</v>
      </c>
      <c r="K1197" s="86">
        <v>0.05</v>
      </c>
      <c r="L1197" s="32" t="s">
        <v>30</v>
      </c>
      <c r="M1197" s="162">
        <v>30430</v>
      </c>
      <c r="N1197" s="162">
        <v>28908.5</v>
      </c>
      <c r="O1197" s="32" t="s">
        <v>265</v>
      </c>
    </row>
    <row r="1198" spans="1:15" x14ac:dyDescent="0.3">
      <c r="A1198" s="115" t="s">
        <v>842</v>
      </c>
      <c r="B1198" s="11" t="s">
        <v>55</v>
      </c>
      <c r="C1198" s="30" t="s">
        <v>249</v>
      </c>
      <c r="D1198" s="30" t="s">
        <v>39</v>
      </c>
      <c r="E1198" s="30" t="s">
        <v>33</v>
      </c>
      <c r="F1198" s="30" t="s">
        <v>52</v>
      </c>
      <c r="G1198" s="30" t="s">
        <v>29</v>
      </c>
      <c r="H1198" s="39">
        <v>46039</v>
      </c>
      <c r="I1198" s="79">
        <v>220</v>
      </c>
      <c r="J1198" s="91">
        <v>650</v>
      </c>
      <c r="K1198" s="84">
        <v>0</v>
      </c>
      <c r="L1198" s="30" t="s">
        <v>30</v>
      </c>
      <c r="M1198" s="160">
        <v>143000</v>
      </c>
      <c r="N1198" s="160">
        <v>143000</v>
      </c>
      <c r="O1198" s="30" t="s">
        <v>267</v>
      </c>
    </row>
    <row r="1199" spans="1:15" x14ac:dyDescent="0.3">
      <c r="A1199" s="115" t="s">
        <v>843</v>
      </c>
      <c r="B1199" s="10" t="s">
        <v>44</v>
      </c>
      <c r="C1199" s="32" t="s">
        <v>254</v>
      </c>
      <c r="D1199" s="32" t="s">
        <v>39</v>
      </c>
      <c r="E1199" s="32" t="s">
        <v>27</v>
      </c>
      <c r="F1199" s="32" t="s">
        <v>46</v>
      </c>
      <c r="G1199" s="32" t="s">
        <v>35</v>
      </c>
      <c r="H1199" s="41">
        <v>46039</v>
      </c>
      <c r="I1199" s="81">
        <v>483</v>
      </c>
      <c r="J1199" s="93">
        <v>200</v>
      </c>
      <c r="K1199" s="86">
        <v>0.14000000000000001</v>
      </c>
      <c r="L1199" s="32" t="s">
        <v>36</v>
      </c>
      <c r="M1199" s="162">
        <v>96600</v>
      </c>
      <c r="N1199" s="162">
        <v>83076</v>
      </c>
      <c r="O1199" s="32" t="s">
        <v>265</v>
      </c>
    </row>
    <row r="1200" spans="1:15" x14ac:dyDescent="0.3">
      <c r="A1200" s="115" t="s">
        <v>844</v>
      </c>
      <c r="B1200" s="11" t="s">
        <v>38</v>
      </c>
      <c r="C1200" s="30" t="s">
        <v>247</v>
      </c>
      <c r="D1200" s="30" t="s">
        <v>39</v>
      </c>
      <c r="E1200" s="30" t="s">
        <v>45</v>
      </c>
      <c r="F1200" s="30" t="s">
        <v>52</v>
      </c>
      <c r="G1200" s="30" t="s">
        <v>29</v>
      </c>
      <c r="H1200" s="39">
        <v>46040</v>
      </c>
      <c r="I1200" s="79">
        <v>353</v>
      </c>
      <c r="J1200" s="91">
        <v>1200</v>
      </c>
      <c r="K1200" s="84">
        <v>0</v>
      </c>
      <c r="L1200" s="30" t="s">
        <v>36</v>
      </c>
      <c r="M1200" s="160">
        <v>423600</v>
      </c>
      <c r="N1200" s="160">
        <v>423600</v>
      </c>
      <c r="O1200" s="30" t="s">
        <v>277</v>
      </c>
    </row>
    <row r="1201" spans="1:15" x14ac:dyDescent="0.3">
      <c r="A1201" s="115" t="s">
        <v>845</v>
      </c>
      <c r="B1201" s="10" t="s">
        <v>49</v>
      </c>
      <c r="C1201" s="32" t="s">
        <v>251</v>
      </c>
      <c r="D1201" s="32" t="s">
        <v>50</v>
      </c>
      <c r="E1201" s="32" t="s">
        <v>45</v>
      </c>
      <c r="F1201" s="32" t="s">
        <v>41</v>
      </c>
      <c r="G1201" s="32" t="s">
        <v>53</v>
      </c>
      <c r="H1201" s="41">
        <v>46041</v>
      </c>
      <c r="I1201" s="81">
        <v>381</v>
      </c>
      <c r="J1201" s="93">
        <v>895</v>
      </c>
      <c r="K1201" s="86">
        <v>0</v>
      </c>
      <c r="L1201" s="32" t="s">
        <v>36</v>
      </c>
      <c r="M1201" s="162">
        <v>340995</v>
      </c>
      <c r="N1201" s="162">
        <v>340995</v>
      </c>
      <c r="O1201" s="32" t="s">
        <v>267</v>
      </c>
    </row>
    <row r="1202" spans="1:15" x14ac:dyDescent="0.3">
      <c r="A1202" s="115" t="s">
        <v>846</v>
      </c>
      <c r="B1202" s="11" t="s">
        <v>262</v>
      </c>
      <c r="C1202" s="30" t="s">
        <v>263</v>
      </c>
      <c r="D1202" s="30" t="s">
        <v>50</v>
      </c>
      <c r="E1202" s="30" t="s">
        <v>27</v>
      </c>
      <c r="F1202" s="30" t="s">
        <v>28</v>
      </c>
      <c r="G1202" s="30" t="s">
        <v>47</v>
      </c>
      <c r="H1202" s="39">
        <v>46041</v>
      </c>
      <c r="I1202" s="79">
        <v>170</v>
      </c>
      <c r="J1202" s="91">
        <v>820</v>
      </c>
      <c r="K1202" s="84">
        <v>0.05</v>
      </c>
      <c r="L1202" s="30" t="s">
        <v>36</v>
      </c>
      <c r="M1202" s="160">
        <v>139400</v>
      </c>
      <c r="N1202" s="160">
        <v>132430</v>
      </c>
      <c r="O1202" s="30" t="s">
        <v>267</v>
      </c>
    </row>
    <row r="1203" spans="1:15" x14ac:dyDescent="0.3">
      <c r="A1203" s="115" t="s">
        <v>847</v>
      </c>
      <c r="B1203" s="10" t="s">
        <v>32</v>
      </c>
      <c r="C1203" s="32" t="s">
        <v>246</v>
      </c>
      <c r="D1203" s="32" t="s">
        <v>26</v>
      </c>
      <c r="E1203" s="32" t="s">
        <v>51</v>
      </c>
      <c r="F1203" s="32" t="s">
        <v>28</v>
      </c>
      <c r="G1203" s="32" t="s">
        <v>35</v>
      </c>
      <c r="H1203" s="41">
        <v>46041</v>
      </c>
      <c r="I1203" s="81">
        <v>393</v>
      </c>
      <c r="J1203" s="93">
        <v>420</v>
      </c>
      <c r="K1203" s="86">
        <v>0.11</v>
      </c>
      <c r="L1203" s="32" t="s">
        <v>36</v>
      </c>
      <c r="M1203" s="162">
        <v>165060</v>
      </c>
      <c r="N1203" s="162">
        <v>146903.4</v>
      </c>
      <c r="O1203" s="32" t="s">
        <v>267</v>
      </c>
    </row>
    <row r="1204" spans="1:15" x14ac:dyDescent="0.3">
      <c r="A1204" s="115" t="s">
        <v>848</v>
      </c>
      <c r="B1204" s="11" t="s">
        <v>258</v>
      </c>
      <c r="C1204" s="30" t="s">
        <v>259</v>
      </c>
      <c r="D1204" s="30" t="s">
        <v>26</v>
      </c>
      <c r="E1204" s="30" t="s">
        <v>33</v>
      </c>
      <c r="F1204" s="30" t="s">
        <v>52</v>
      </c>
      <c r="G1204" s="30" t="s">
        <v>42</v>
      </c>
      <c r="H1204" s="39">
        <v>46042</v>
      </c>
      <c r="I1204" s="79">
        <v>403</v>
      </c>
      <c r="J1204" s="91">
        <v>680</v>
      </c>
      <c r="K1204" s="84">
        <v>0.14000000000000001</v>
      </c>
      <c r="L1204" s="30" t="s">
        <v>36</v>
      </c>
      <c r="M1204" s="160">
        <v>274040</v>
      </c>
      <c r="N1204" s="160">
        <v>235674.4</v>
      </c>
      <c r="O1204" s="30" t="s">
        <v>267</v>
      </c>
    </row>
    <row r="1205" spans="1:15" x14ac:dyDescent="0.3">
      <c r="A1205" s="115" t="s">
        <v>849</v>
      </c>
      <c r="B1205" s="10" t="s">
        <v>58</v>
      </c>
      <c r="C1205" s="32" t="s">
        <v>255</v>
      </c>
      <c r="D1205" s="32" t="s">
        <v>59</v>
      </c>
      <c r="E1205" s="32" t="s">
        <v>33</v>
      </c>
      <c r="F1205" s="32" t="s">
        <v>46</v>
      </c>
      <c r="G1205" s="32" t="s">
        <v>53</v>
      </c>
      <c r="H1205" s="41">
        <v>46042</v>
      </c>
      <c r="I1205" s="81">
        <v>135</v>
      </c>
      <c r="J1205" s="93">
        <v>2800</v>
      </c>
      <c r="K1205" s="86">
        <v>0.14000000000000001</v>
      </c>
      <c r="L1205" s="32" t="s">
        <v>30</v>
      </c>
      <c r="M1205" s="162">
        <v>378000</v>
      </c>
      <c r="N1205" s="162">
        <v>325080</v>
      </c>
      <c r="O1205" s="32" t="s">
        <v>267</v>
      </c>
    </row>
    <row r="1206" spans="1:15" x14ac:dyDescent="0.3">
      <c r="A1206" s="115" t="s">
        <v>850</v>
      </c>
      <c r="B1206" s="11" t="s">
        <v>49</v>
      </c>
      <c r="C1206" s="30" t="s">
        <v>251</v>
      </c>
      <c r="D1206" s="30" t="s">
        <v>50</v>
      </c>
      <c r="E1206" s="30" t="s">
        <v>45</v>
      </c>
      <c r="F1206" s="30" t="s">
        <v>28</v>
      </c>
      <c r="G1206" s="30" t="s">
        <v>29</v>
      </c>
      <c r="H1206" s="39">
        <v>46043</v>
      </c>
      <c r="I1206" s="79">
        <v>245</v>
      </c>
      <c r="J1206" s="91">
        <v>895</v>
      </c>
      <c r="K1206" s="84">
        <v>0.11</v>
      </c>
      <c r="L1206" s="30" t="s">
        <v>36</v>
      </c>
      <c r="M1206" s="160">
        <v>219275</v>
      </c>
      <c r="N1206" s="160">
        <v>195154.75</v>
      </c>
      <c r="O1206" s="30" t="s">
        <v>267</v>
      </c>
    </row>
    <row r="1207" spans="1:15" x14ac:dyDescent="0.3">
      <c r="A1207" s="115" t="s">
        <v>851</v>
      </c>
      <c r="B1207" s="10" t="s">
        <v>44</v>
      </c>
      <c r="C1207" s="32" t="s">
        <v>254</v>
      </c>
      <c r="D1207" s="32" t="s">
        <v>39</v>
      </c>
      <c r="E1207" s="32" t="s">
        <v>45</v>
      </c>
      <c r="F1207" s="32" t="s">
        <v>41</v>
      </c>
      <c r="G1207" s="32" t="s">
        <v>29</v>
      </c>
      <c r="H1207" s="41">
        <v>46043</v>
      </c>
      <c r="I1207" s="81">
        <v>167</v>
      </c>
      <c r="J1207" s="93">
        <v>200</v>
      </c>
      <c r="K1207" s="86">
        <v>0</v>
      </c>
      <c r="L1207" s="32" t="s">
        <v>30</v>
      </c>
      <c r="M1207" s="162">
        <v>33400</v>
      </c>
      <c r="N1207" s="162">
        <v>33400</v>
      </c>
      <c r="O1207" s="32" t="s">
        <v>265</v>
      </c>
    </row>
    <row r="1208" spans="1:15" x14ac:dyDescent="0.3">
      <c r="A1208" s="115" t="s">
        <v>852</v>
      </c>
      <c r="B1208" s="11" t="s">
        <v>38</v>
      </c>
      <c r="C1208" s="30" t="s">
        <v>247</v>
      </c>
      <c r="D1208" s="30" t="s">
        <v>39</v>
      </c>
      <c r="E1208" s="30" t="s">
        <v>51</v>
      </c>
      <c r="F1208" s="30" t="s">
        <v>34</v>
      </c>
      <c r="G1208" s="30" t="s">
        <v>47</v>
      </c>
      <c r="H1208" s="39">
        <v>46043</v>
      </c>
      <c r="I1208" s="79">
        <v>241</v>
      </c>
      <c r="J1208" s="91">
        <v>1200</v>
      </c>
      <c r="K1208" s="84">
        <v>0.14000000000000001</v>
      </c>
      <c r="L1208" s="30" t="s">
        <v>30</v>
      </c>
      <c r="M1208" s="160">
        <v>289200</v>
      </c>
      <c r="N1208" s="160">
        <v>248712</v>
      </c>
      <c r="O1208" s="30" t="s">
        <v>267</v>
      </c>
    </row>
    <row r="1209" spans="1:15" x14ac:dyDescent="0.3">
      <c r="A1209" s="115" t="s">
        <v>853</v>
      </c>
      <c r="B1209" s="10" t="s">
        <v>16</v>
      </c>
      <c r="C1209" s="32" t="s">
        <v>250</v>
      </c>
      <c r="D1209" s="32" t="s">
        <v>39</v>
      </c>
      <c r="E1209" s="32" t="s">
        <v>51</v>
      </c>
      <c r="F1209" s="32" t="s">
        <v>41</v>
      </c>
      <c r="G1209" s="32" t="s">
        <v>29</v>
      </c>
      <c r="H1209" s="41">
        <v>46046</v>
      </c>
      <c r="I1209" s="81">
        <v>210</v>
      </c>
      <c r="J1209" s="93">
        <v>990</v>
      </c>
      <c r="K1209" s="86">
        <v>0.13</v>
      </c>
      <c r="L1209" s="32" t="s">
        <v>36</v>
      </c>
      <c r="M1209" s="162">
        <v>207900</v>
      </c>
      <c r="N1209" s="162">
        <v>180873</v>
      </c>
      <c r="O1209" s="32" t="s">
        <v>267</v>
      </c>
    </row>
    <row r="1210" spans="1:15" x14ac:dyDescent="0.3">
      <c r="A1210" s="115" t="s">
        <v>854</v>
      </c>
      <c r="B1210" s="11" t="s">
        <v>258</v>
      </c>
      <c r="C1210" s="30" t="s">
        <v>259</v>
      </c>
      <c r="D1210" s="30" t="s">
        <v>26</v>
      </c>
      <c r="E1210" s="30" t="s">
        <v>27</v>
      </c>
      <c r="F1210" s="30" t="s">
        <v>28</v>
      </c>
      <c r="G1210" s="30" t="s">
        <v>47</v>
      </c>
      <c r="H1210" s="39">
        <v>46046</v>
      </c>
      <c r="I1210" s="79">
        <v>271</v>
      </c>
      <c r="J1210" s="91">
        <v>680</v>
      </c>
      <c r="K1210" s="84">
        <v>0.14000000000000001</v>
      </c>
      <c r="L1210" s="30" t="s">
        <v>36</v>
      </c>
      <c r="M1210" s="160">
        <v>184280</v>
      </c>
      <c r="N1210" s="160">
        <v>158480.79999999999</v>
      </c>
      <c r="O1210" s="30" t="s">
        <v>267</v>
      </c>
    </row>
    <row r="1211" spans="1:15" x14ac:dyDescent="0.3">
      <c r="A1211" s="115" t="s">
        <v>855</v>
      </c>
      <c r="B1211" s="10" t="s">
        <v>258</v>
      </c>
      <c r="C1211" s="32" t="s">
        <v>259</v>
      </c>
      <c r="D1211" s="32" t="s">
        <v>26</v>
      </c>
      <c r="E1211" s="32" t="s">
        <v>33</v>
      </c>
      <c r="F1211" s="32" t="s">
        <v>46</v>
      </c>
      <c r="G1211" s="32" t="s">
        <v>42</v>
      </c>
      <c r="H1211" s="41">
        <v>46046</v>
      </c>
      <c r="I1211" s="81">
        <v>180</v>
      </c>
      <c r="J1211" s="93">
        <v>680</v>
      </c>
      <c r="K1211" s="86">
        <v>0.15</v>
      </c>
      <c r="L1211" s="32" t="s">
        <v>30</v>
      </c>
      <c r="M1211" s="162">
        <v>122400</v>
      </c>
      <c r="N1211" s="162">
        <v>104040</v>
      </c>
      <c r="O1211" s="32" t="s">
        <v>267</v>
      </c>
    </row>
    <row r="1212" spans="1:15" x14ac:dyDescent="0.3">
      <c r="A1212" s="115" t="s">
        <v>856</v>
      </c>
      <c r="B1212" s="11" t="s">
        <v>260</v>
      </c>
      <c r="C1212" s="30" t="s">
        <v>261</v>
      </c>
      <c r="D1212" s="30" t="s">
        <v>39</v>
      </c>
      <c r="E1212" s="30" t="s">
        <v>45</v>
      </c>
      <c r="F1212" s="30" t="s">
        <v>34</v>
      </c>
      <c r="G1212" s="30" t="s">
        <v>53</v>
      </c>
      <c r="H1212" s="39">
        <v>46047</v>
      </c>
      <c r="I1212" s="79">
        <v>188</v>
      </c>
      <c r="J1212" s="91">
        <v>450</v>
      </c>
      <c r="K1212" s="84">
        <v>0.11</v>
      </c>
      <c r="L1212" s="30" t="s">
        <v>30</v>
      </c>
      <c r="M1212" s="160">
        <v>84600</v>
      </c>
      <c r="N1212" s="160">
        <v>75294</v>
      </c>
      <c r="O1212" s="30" t="s">
        <v>265</v>
      </c>
    </row>
    <row r="1213" spans="1:15" x14ac:dyDescent="0.3">
      <c r="A1213" s="115" t="s">
        <v>857</v>
      </c>
      <c r="B1213" s="10" t="s">
        <v>55</v>
      </c>
      <c r="C1213" s="32" t="s">
        <v>249</v>
      </c>
      <c r="D1213" s="32" t="s">
        <v>39</v>
      </c>
      <c r="E1213" s="32" t="s">
        <v>27</v>
      </c>
      <c r="F1213" s="32" t="s">
        <v>34</v>
      </c>
      <c r="G1213" s="32" t="s">
        <v>35</v>
      </c>
      <c r="H1213" s="41">
        <v>46047</v>
      </c>
      <c r="I1213" s="81">
        <v>447</v>
      </c>
      <c r="J1213" s="93">
        <v>650</v>
      </c>
      <c r="K1213" s="86">
        <v>0.15</v>
      </c>
      <c r="L1213" s="32" t="s">
        <v>30</v>
      </c>
      <c r="M1213" s="162">
        <v>290550</v>
      </c>
      <c r="N1213" s="162">
        <v>246967.5</v>
      </c>
      <c r="O1213" s="32" t="s">
        <v>267</v>
      </c>
    </row>
    <row r="1214" spans="1:15" x14ac:dyDescent="0.3">
      <c r="A1214" s="115" t="s">
        <v>858</v>
      </c>
      <c r="B1214" s="11" t="s">
        <v>44</v>
      </c>
      <c r="C1214" s="30" t="s">
        <v>254</v>
      </c>
      <c r="D1214" s="30" t="s">
        <v>39</v>
      </c>
      <c r="E1214" s="30" t="s">
        <v>33</v>
      </c>
      <c r="F1214" s="30" t="s">
        <v>34</v>
      </c>
      <c r="G1214" s="30" t="s">
        <v>47</v>
      </c>
      <c r="H1214" s="39">
        <v>46048</v>
      </c>
      <c r="I1214" s="79">
        <v>277</v>
      </c>
      <c r="J1214" s="91">
        <v>200</v>
      </c>
      <c r="K1214" s="84">
        <v>0</v>
      </c>
      <c r="L1214" s="30" t="s">
        <v>36</v>
      </c>
      <c r="M1214" s="160">
        <v>55400</v>
      </c>
      <c r="N1214" s="160">
        <v>55400</v>
      </c>
      <c r="O1214" s="30" t="s">
        <v>265</v>
      </c>
    </row>
    <row r="1215" spans="1:15" x14ac:dyDescent="0.3">
      <c r="A1215" s="115" t="s">
        <v>859</v>
      </c>
      <c r="B1215" s="10" t="s">
        <v>262</v>
      </c>
      <c r="C1215" s="32" t="s">
        <v>263</v>
      </c>
      <c r="D1215" s="32" t="s">
        <v>50</v>
      </c>
      <c r="E1215" s="32" t="s">
        <v>27</v>
      </c>
      <c r="F1215" s="32" t="s">
        <v>52</v>
      </c>
      <c r="G1215" s="32" t="s">
        <v>35</v>
      </c>
      <c r="H1215" s="41">
        <v>46048</v>
      </c>
      <c r="I1215" s="81">
        <v>332</v>
      </c>
      <c r="J1215" s="93">
        <v>820</v>
      </c>
      <c r="K1215" s="86">
        <v>0.05</v>
      </c>
      <c r="L1215" s="32" t="s">
        <v>36</v>
      </c>
      <c r="M1215" s="162">
        <v>272240</v>
      </c>
      <c r="N1215" s="162">
        <v>258628</v>
      </c>
      <c r="O1215" s="32" t="s">
        <v>267</v>
      </c>
    </row>
    <row r="1216" spans="1:15" x14ac:dyDescent="0.3">
      <c r="A1216" s="115" t="s">
        <v>860</v>
      </c>
      <c r="B1216" s="11" t="s">
        <v>44</v>
      </c>
      <c r="C1216" s="30" t="s">
        <v>254</v>
      </c>
      <c r="D1216" s="30" t="s">
        <v>39</v>
      </c>
      <c r="E1216" s="30" t="s">
        <v>27</v>
      </c>
      <c r="F1216" s="30" t="s">
        <v>52</v>
      </c>
      <c r="G1216" s="30" t="s">
        <v>42</v>
      </c>
      <c r="H1216" s="39">
        <v>46048</v>
      </c>
      <c r="I1216" s="79">
        <v>236</v>
      </c>
      <c r="J1216" s="91">
        <v>200</v>
      </c>
      <c r="K1216" s="84">
        <v>0.1</v>
      </c>
      <c r="L1216" s="30" t="s">
        <v>36</v>
      </c>
      <c r="M1216" s="160">
        <v>47200</v>
      </c>
      <c r="N1216" s="160">
        <v>42480</v>
      </c>
      <c r="O1216" s="30" t="s">
        <v>265</v>
      </c>
    </row>
    <row r="1217" spans="1:15" x14ac:dyDescent="0.3">
      <c r="A1217" s="115" t="s">
        <v>861</v>
      </c>
      <c r="B1217" s="10" t="s">
        <v>258</v>
      </c>
      <c r="C1217" s="32" t="s">
        <v>259</v>
      </c>
      <c r="D1217" s="32" t="s">
        <v>26</v>
      </c>
      <c r="E1217" s="32" t="s">
        <v>40</v>
      </c>
      <c r="F1217" s="32" t="s">
        <v>46</v>
      </c>
      <c r="G1217" s="32" t="s">
        <v>42</v>
      </c>
      <c r="H1217" s="41">
        <v>46049</v>
      </c>
      <c r="I1217" s="81">
        <v>198</v>
      </c>
      <c r="J1217" s="93">
        <v>680</v>
      </c>
      <c r="K1217" s="86">
        <v>0.12</v>
      </c>
      <c r="L1217" s="32" t="s">
        <v>36</v>
      </c>
      <c r="M1217" s="162">
        <v>134640</v>
      </c>
      <c r="N1217" s="162">
        <v>118483.2</v>
      </c>
      <c r="O1217" s="32" t="s">
        <v>267</v>
      </c>
    </row>
    <row r="1218" spans="1:15" x14ac:dyDescent="0.3">
      <c r="A1218" s="115" t="s">
        <v>862</v>
      </c>
      <c r="B1218" s="11" t="s">
        <v>63</v>
      </c>
      <c r="C1218" s="30" t="s">
        <v>253</v>
      </c>
      <c r="D1218" s="30" t="s">
        <v>50</v>
      </c>
      <c r="E1218" s="30" t="s">
        <v>51</v>
      </c>
      <c r="F1218" s="30" t="s">
        <v>34</v>
      </c>
      <c r="G1218" s="30" t="s">
        <v>29</v>
      </c>
      <c r="H1218" s="39">
        <v>46049</v>
      </c>
      <c r="I1218" s="79">
        <v>235</v>
      </c>
      <c r="J1218" s="91">
        <v>750</v>
      </c>
      <c r="K1218" s="84">
        <v>0.12</v>
      </c>
      <c r="L1218" s="30" t="s">
        <v>36</v>
      </c>
      <c r="M1218" s="160">
        <v>176250</v>
      </c>
      <c r="N1218" s="160">
        <v>155100</v>
      </c>
      <c r="O1218" s="30" t="s">
        <v>267</v>
      </c>
    </row>
    <row r="1219" spans="1:15" x14ac:dyDescent="0.3">
      <c r="A1219" s="115" t="s">
        <v>863</v>
      </c>
      <c r="B1219" s="10" t="s">
        <v>25</v>
      </c>
      <c r="C1219" s="32" t="s">
        <v>257</v>
      </c>
      <c r="D1219" s="32" t="s">
        <v>26</v>
      </c>
      <c r="E1219" s="32" t="s">
        <v>27</v>
      </c>
      <c r="F1219" s="32" t="s">
        <v>28</v>
      </c>
      <c r="G1219" s="32" t="s">
        <v>35</v>
      </c>
      <c r="H1219" s="41">
        <v>46049</v>
      </c>
      <c r="I1219" s="81">
        <v>244</v>
      </c>
      <c r="J1219" s="93">
        <v>350</v>
      </c>
      <c r="K1219" s="86">
        <v>0.08</v>
      </c>
      <c r="L1219" s="32" t="s">
        <v>36</v>
      </c>
      <c r="M1219" s="162">
        <v>85400</v>
      </c>
      <c r="N1219" s="162">
        <v>78568</v>
      </c>
      <c r="O1219" s="32" t="s">
        <v>265</v>
      </c>
    </row>
    <row r="1220" spans="1:15" x14ac:dyDescent="0.3">
      <c r="A1220" s="115" t="s">
        <v>864</v>
      </c>
      <c r="B1220" s="11" t="s">
        <v>32</v>
      </c>
      <c r="C1220" s="30" t="s">
        <v>246</v>
      </c>
      <c r="D1220" s="30" t="s">
        <v>26</v>
      </c>
      <c r="E1220" s="30" t="s">
        <v>40</v>
      </c>
      <c r="F1220" s="30" t="s">
        <v>52</v>
      </c>
      <c r="G1220" s="30" t="s">
        <v>42</v>
      </c>
      <c r="H1220" s="39">
        <v>46050</v>
      </c>
      <c r="I1220" s="79">
        <v>226</v>
      </c>
      <c r="J1220" s="91">
        <v>420</v>
      </c>
      <c r="K1220" s="84">
        <v>0.11</v>
      </c>
      <c r="L1220" s="30" t="s">
        <v>36</v>
      </c>
      <c r="M1220" s="160">
        <v>94920</v>
      </c>
      <c r="N1220" s="160">
        <v>84478.8</v>
      </c>
      <c r="O1220" s="30" t="s">
        <v>265</v>
      </c>
    </row>
    <row r="1221" spans="1:15" x14ac:dyDescent="0.3">
      <c r="A1221" s="115" t="s">
        <v>865</v>
      </c>
      <c r="B1221" s="10" t="s">
        <v>58</v>
      </c>
      <c r="C1221" s="32" t="s">
        <v>255</v>
      </c>
      <c r="D1221" s="32" t="s">
        <v>59</v>
      </c>
      <c r="E1221" s="32" t="s">
        <v>27</v>
      </c>
      <c r="F1221" s="32" t="s">
        <v>34</v>
      </c>
      <c r="G1221" s="32" t="s">
        <v>29</v>
      </c>
      <c r="H1221" s="41">
        <v>46050</v>
      </c>
      <c r="I1221" s="81">
        <v>159</v>
      </c>
      <c r="J1221" s="93">
        <v>2800</v>
      </c>
      <c r="K1221" s="86">
        <v>7.0000000000000007E-2</v>
      </c>
      <c r="L1221" s="32" t="s">
        <v>36</v>
      </c>
      <c r="M1221" s="162">
        <v>445200</v>
      </c>
      <c r="N1221" s="162">
        <v>414036</v>
      </c>
      <c r="O1221" s="32" t="s">
        <v>277</v>
      </c>
    </row>
    <row r="1222" spans="1:15" x14ac:dyDescent="0.3">
      <c r="A1222" s="115" t="s">
        <v>866</v>
      </c>
      <c r="B1222" s="11" t="s">
        <v>260</v>
      </c>
      <c r="C1222" s="30" t="s">
        <v>261</v>
      </c>
      <c r="D1222" s="30" t="s">
        <v>39</v>
      </c>
      <c r="E1222" s="30" t="s">
        <v>45</v>
      </c>
      <c r="F1222" s="30" t="s">
        <v>28</v>
      </c>
      <c r="G1222" s="30" t="s">
        <v>56</v>
      </c>
      <c r="H1222" s="39">
        <v>46050</v>
      </c>
      <c r="I1222" s="79">
        <v>290</v>
      </c>
      <c r="J1222" s="91">
        <v>450</v>
      </c>
      <c r="K1222" s="84">
        <v>0</v>
      </c>
      <c r="L1222" s="30" t="s">
        <v>36</v>
      </c>
      <c r="M1222" s="160">
        <v>130500</v>
      </c>
      <c r="N1222" s="160">
        <v>130500</v>
      </c>
      <c r="O1222" s="30" t="s">
        <v>267</v>
      </c>
    </row>
    <row r="1223" spans="1:15" x14ac:dyDescent="0.3">
      <c r="A1223" s="115" t="s">
        <v>867</v>
      </c>
      <c r="B1223" s="10" t="s">
        <v>61</v>
      </c>
      <c r="C1223" s="32" t="s">
        <v>244</v>
      </c>
      <c r="D1223" s="32" t="s">
        <v>26</v>
      </c>
      <c r="E1223" s="32" t="s">
        <v>33</v>
      </c>
      <c r="F1223" s="32" t="s">
        <v>52</v>
      </c>
      <c r="G1223" s="32" t="s">
        <v>29</v>
      </c>
      <c r="H1223" s="41">
        <v>46052</v>
      </c>
      <c r="I1223" s="81">
        <v>91</v>
      </c>
      <c r="J1223" s="93">
        <v>280</v>
      </c>
      <c r="K1223" s="86">
        <v>0</v>
      </c>
      <c r="L1223" s="32" t="s">
        <v>36</v>
      </c>
      <c r="M1223" s="162">
        <v>25480</v>
      </c>
      <c r="N1223" s="162">
        <v>25480</v>
      </c>
      <c r="O1223" s="32" t="s">
        <v>265</v>
      </c>
    </row>
    <row r="1224" spans="1:15" x14ac:dyDescent="0.3">
      <c r="A1224" s="115" t="s">
        <v>868</v>
      </c>
      <c r="B1224" s="11" t="s">
        <v>38</v>
      </c>
      <c r="C1224" s="30" t="s">
        <v>247</v>
      </c>
      <c r="D1224" s="30" t="s">
        <v>39</v>
      </c>
      <c r="E1224" s="30" t="s">
        <v>45</v>
      </c>
      <c r="F1224" s="30" t="s">
        <v>41</v>
      </c>
      <c r="G1224" s="30" t="s">
        <v>35</v>
      </c>
      <c r="H1224" s="39">
        <v>46052</v>
      </c>
      <c r="I1224" s="79">
        <v>205</v>
      </c>
      <c r="J1224" s="91">
        <v>1200</v>
      </c>
      <c r="K1224" s="84">
        <v>0.03</v>
      </c>
      <c r="L1224" s="30" t="s">
        <v>36</v>
      </c>
      <c r="M1224" s="160">
        <v>246000</v>
      </c>
      <c r="N1224" s="160">
        <v>238620</v>
      </c>
      <c r="O1224" s="30" t="s">
        <v>267</v>
      </c>
    </row>
    <row r="1225" spans="1:15" x14ac:dyDescent="0.3">
      <c r="A1225" s="115" t="s">
        <v>869</v>
      </c>
      <c r="B1225" s="10" t="s">
        <v>61</v>
      </c>
      <c r="C1225" s="32" t="s">
        <v>244</v>
      </c>
      <c r="D1225" s="32" t="s">
        <v>26</v>
      </c>
      <c r="E1225" s="32" t="s">
        <v>40</v>
      </c>
      <c r="F1225" s="32" t="s">
        <v>28</v>
      </c>
      <c r="G1225" s="32" t="s">
        <v>42</v>
      </c>
      <c r="H1225" s="41">
        <v>46052</v>
      </c>
      <c r="I1225" s="81">
        <v>103</v>
      </c>
      <c r="J1225" s="93">
        <v>280</v>
      </c>
      <c r="K1225" s="86">
        <v>0.15</v>
      </c>
      <c r="L1225" s="32" t="s">
        <v>36</v>
      </c>
      <c r="M1225" s="162">
        <v>28840</v>
      </c>
      <c r="N1225" s="162">
        <v>24514</v>
      </c>
      <c r="O1225" s="32" t="s">
        <v>265</v>
      </c>
    </row>
    <row r="1226" spans="1:15" x14ac:dyDescent="0.3">
      <c r="A1226" s="115" t="s">
        <v>870</v>
      </c>
      <c r="B1226" s="11" t="s">
        <v>25</v>
      </c>
      <c r="C1226" s="30" t="s">
        <v>257</v>
      </c>
      <c r="D1226" s="30" t="s">
        <v>26</v>
      </c>
      <c r="E1226" s="30" t="s">
        <v>33</v>
      </c>
      <c r="F1226" s="30" t="s">
        <v>34</v>
      </c>
      <c r="G1226" s="30" t="s">
        <v>42</v>
      </c>
      <c r="H1226" s="39">
        <v>46053</v>
      </c>
      <c r="I1226" s="79">
        <v>229</v>
      </c>
      <c r="J1226" s="91">
        <v>350</v>
      </c>
      <c r="K1226" s="84">
        <v>0.12</v>
      </c>
      <c r="L1226" s="30" t="s">
        <v>30</v>
      </c>
      <c r="M1226" s="160">
        <v>80150</v>
      </c>
      <c r="N1226" s="160">
        <v>70532</v>
      </c>
      <c r="O1226" s="30" t="s">
        <v>265</v>
      </c>
    </row>
    <row r="1227" spans="1:15" x14ac:dyDescent="0.3">
      <c r="A1227" s="115" t="s">
        <v>871</v>
      </c>
      <c r="B1227" s="10" t="s">
        <v>25</v>
      </c>
      <c r="C1227" s="32" t="s">
        <v>257</v>
      </c>
      <c r="D1227" s="32" t="s">
        <v>26</v>
      </c>
      <c r="E1227" s="32" t="s">
        <v>27</v>
      </c>
      <c r="F1227" s="32" t="s">
        <v>52</v>
      </c>
      <c r="G1227" s="32" t="s">
        <v>35</v>
      </c>
      <c r="H1227" s="41">
        <v>46053</v>
      </c>
      <c r="I1227" s="81">
        <v>130</v>
      </c>
      <c r="J1227" s="93">
        <v>350</v>
      </c>
      <c r="K1227" s="86">
        <v>0.1</v>
      </c>
      <c r="L1227" s="32" t="s">
        <v>36</v>
      </c>
      <c r="M1227" s="162">
        <v>45500</v>
      </c>
      <c r="N1227" s="162">
        <v>40950</v>
      </c>
      <c r="O1227" s="32" t="s">
        <v>265</v>
      </c>
    </row>
    <row r="1228" spans="1:15" x14ac:dyDescent="0.3">
      <c r="A1228" s="115" t="s">
        <v>872</v>
      </c>
      <c r="B1228" s="11" t="s">
        <v>260</v>
      </c>
      <c r="C1228" s="30" t="s">
        <v>261</v>
      </c>
      <c r="D1228" s="30" t="s">
        <v>39</v>
      </c>
      <c r="E1228" s="30" t="s">
        <v>27</v>
      </c>
      <c r="F1228" s="30" t="s">
        <v>28</v>
      </c>
      <c r="G1228" s="30" t="s">
        <v>42</v>
      </c>
      <c r="H1228" s="39">
        <v>46053</v>
      </c>
      <c r="I1228" s="79">
        <v>89</v>
      </c>
      <c r="J1228" s="91">
        <v>450</v>
      </c>
      <c r="K1228" s="84">
        <v>0.12</v>
      </c>
      <c r="L1228" s="30" t="s">
        <v>36</v>
      </c>
      <c r="M1228" s="160">
        <v>40050</v>
      </c>
      <c r="N1228" s="160">
        <v>35244</v>
      </c>
      <c r="O1228" s="30" t="s">
        <v>265</v>
      </c>
    </row>
    <row r="1229" spans="1:15" x14ac:dyDescent="0.3">
      <c r="A1229" s="115" t="s">
        <v>873</v>
      </c>
      <c r="B1229" s="10" t="s">
        <v>32</v>
      </c>
      <c r="C1229" s="32" t="s">
        <v>246</v>
      </c>
      <c r="D1229" s="32" t="s">
        <v>26</v>
      </c>
      <c r="E1229" s="32" t="s">
        <v>40</v>
      </c>
      <c r="F1229" s="32" t="s">
        <v>46</v>
      </c>
      <c r="G1229" s="32" t="s">
        <v>35</v>
      </c>
      <c r="H1229" s="41">
        <v>46054</v>
      </c>
      <c r="I1229" s="81">
        <v>428</v>
      </c>
      <c r="J1229" s="93">
        <v>420</v>
      </c>
      <c r="K1229" s="86">
        <v>0.15</v>
      </c>
      <c r="L1229" s="32" t="s">
        <v>30</v>
      </c>
      <c r="M1229" s="162">
        <v>179760</v>
      </c>
      <c r="N1229" s="162">
        <v>152796</v>
      </c>
      <c r="O1229" s="32" t="s">
        <v>267</v>
      </c>
    </row>
    <row r="1230" spans="1:15" x14ac:dyDescent="0.3">
      <c r="A1230" s="115" t="s">
        <v>874</v>
      </c>
      <c r="B1230" s="11" t="s">
        <v>262</v>
      </c>
      <c r="C1230" s="30" t="s">
        <v>263</v>
      </c>
      <c r="D1230" s="30" t="s">
        <v>50</v>
      </c>
      <c r="E1230" s="30" t="s">
        <v>27</v>
      </c>
      <c r="F1230" s="30" t="s">
        <v>46</v>
      </c>
      <c r="G1230" s="30" t="s">
        <v>53</v>
      </c>
      <c r="H1230" s="39">
        <v>46054</v>
      </c>
      <c r="I1230" s="79">
        <v>301</v>
      </c>
      <c r="J1230" s="91">
        <v>820</v>
      </c>
      <c r="K1230" s="84">
        <v>0</v>
      </c>
      <c r="L1230" s="30" t="s">
        <v>30</v>
      </c>
      <c r="M1230" s="160">
        <v>246820</v>
      </c>
      <c r="N1230" s="160">
        <v>246820</v>
      </c>
      <c r="O1230" s="30" t="s">
        <v>267</v>
      </c>
    </row>
    <row r="1231" spans="1:15" x14ac:dyDescent="0.3">
      <c r="A1231" s="115" t="s">
        <v>875</v>
      </c>
      <c r="B1231" s="10" t="s">
        <v>61</v>
      </c>
      <c r="C1231" s="32" t="s">
        <v>244</v>
      </c>
      <c r="D1231" s="32" t="s">
        <v>26</v>
      </c>
      <c r="E1231" s="32" t="s">
        <v>40</v>
      </c>
      <c r="F1231" s="32" t="s">
        <v>28</v>
      </c>
      <c r="G1231" s="32" t="s">
        <v>56</v>
      </c>
      <c r="H1231" s="41">
        <v>46054</v>
      </c>
      <c r="I1231" s="81">
        <v>133</v>
      </c>
      <c r="J1231" s="93">
        <v>280</v>
      </c>
      <c r="K1231" s="86">
        <v>7.0000000000000007E-2</v>
      </c>
      <c r="L1231" s="32" t="s">
        <v>36</v>
      </c>
      <c r="M1231" s="162">
        <v>37240</v>
      </c>
      <c r="N1231" s="162">
        <v>34633.199999999997</v>
      </c>
      <c r="O1231" s="32" t="s">
        <v>265</v>
      </c>
    </row>
    <row r="1232" spans="1:15" x14ac:dyDescent="0.3">
      <c r="A1232" s="115" t="s">
        <v>876</v>
      </c>
      <c r="B1232" s="11" t="s">
        <v>25</v>
      </c>
      <c r="C1232" s="30" t="s">
        <v>257</v>
      </c>
      <c r="D1232" s="30" t="s">
        <v>26</v>
      </c>
      <c r="E1232" s="30" t="s">
        <v>45</v>
      </c>
      <c r="F1232" s="30" t="s">
        <v>34</v>
      </c>
      <c r="G1232" s="30" t="s">
        <v>29</v>
      </c>
      <c r="H1232" s="39">
        <v>46055</v>
      </c>
      <c r="I1232" s="79">
        <v>196</v>
      </c>
      <c r="J1232" s="91">
        <v>350</v>
      </c>
      <c r="K1232" s="84">
        <v>0.13</v>
      </c>
      <c r="L1232" s="30" t="s">
        <v>36</v>
      </c>
      <c r="M1232" s="160">
        <v>68600</v>
      </c>
      <c r="N1232" s="160">
        <v>59682</v>
      </c>
      <c r="O1232" s="30" t="s">
        <v>265</v>
      </c>
    </row>
    <row r="1233" spans="1:15" x14ac:dyDescent="0.3">
      <c r="A1233" s="115" t="s">
        <v>877</v>
      </c>
      <c r="B1233" s="10" t="s">
        <v>32</v>
      </c>
      <c r="C1233" s="32" t="s">
        <v>246</v>
      </c>
      <c r="D1233" s="32" t="s">
        <v>26</v>
      </c>
      <c r="E1233" s="32" t="s">
        <v>45</v>
      </c>
      <c r="F1233" s="32" t="s">
        <v>34</v>
      </c>
      <c r="G1233" s="32" t="s">
        <v>56</v>
      </c>
      <c r="H1233" s="41">
        <v>46055</v>
      </c>
      <c r="I1233" s="81">
        <v>64</v>
      </c>
      <c r="J1233" s="93">
        <v>420</v>
      </c>
      <c r="K1233" s="86">
        <v>0.12</v>
      </c>
      <c r="L1233" s="32" t="s">
        <v>36</v>
      </c>
      <c r="M1233" s="162">
        <v>26880</v>
      </c>
      <c r="N1233" s="162">
        <v>23654.400000000001</v>
      </c>
      <c r="O1233" s="32" t="s">
        <v>265</v>
      </c>
    </row>
    <row r="1234" spans="1:15" x14ac:dyDescent="0.3">
      <c r="A1234" s="115" t="s">
        <v>878</v>
      </c>
      <c r="B1234" s="11" t="s">
        <v>262</v>
      </c>
      <c r="C1234" s="30" t="s">
        <v>263</v>
      </c>
      <c r="D1234" s="30" t="s">
        <v>50</v>
      </c>
      <c r="E1234" s="30" t="s">
        <v>33</v>
      </c>
      <c r="F1234" s="30" t="s">
        <v>28</v>
      </c>
      <c r="G1234" s="30" t="s">
        <v>29</v>
      </c>
      <c r="H1234" s="39">
        <v>46055</v>
      </c>
      <c r="I1234" s="79">
        <v>361</v>
      </c>
      <c r="J1234" s="91">
        <v>820</v>
      </c>
      <c r="K1234" s="84">
        <v>0.13</v>
      </c>
      <c r="L1234" s="30" t="s">
        <v>36</v>
      </c>
      <c r="M1234" s="160">
        <v>296020</v>
      </c>
      <c r="N1234" s="160">
        <v>257537.4</v>
      </c>
      <c r="O1234" s="30" t="s">
        <v>267</v>
      </c>
    </row>
    <row r="1235" spans="1:15" x14ac:dyDescent="0.3">
      <c r="A1235" s="115" t="s">
        <v>879</v>
      </c>
      <c r="B1235" s="10" t="s">
        <v>25</v>
      </c>
      <c r="C1235" s="32" t="s">
        <v>257</v>
      </c>
      <c r="D1235" s="32" t="s">
        <v>26</v>
      </c>
      <c r="E1235" s="32" t="s">
        <v>51</v>
      </c>
      <c r="F1235" s="32" t="s">
        <v>34</v>
      </c>
      <c r="G1235" s="32" t="s">
        <v>42</v>
      </c>
      <c r="H1235" s="41">
        <v>46056</v>
      </c>
      <c r="I1235" s="81">
        <v>183</v>
      </c>
      <c r="J1235" s="93">
        <v>350</v>
      </c>
      <c r="K1235" s="86">
        <v>0</v>
      </c>
      <c r="L1235" s="32" t="s">
        <v>30</v>
      </c>
      <c r="M1235" s="162">
        <v>64050</v>
      </c>
      <c r="N1235" s="162">
        <v>64050</v>
      </c>
      <c r="O1235" s="32" t="s">
        <v>265</v>
      </c>
    </row>
    <row r="1236" spans="1:15" x14ac:dyDescent="0.3">
      <c r="A1236" s="115" t="s">
        <v>880</v>
      </c>
      <c r="B1236" s="11" t="s">
        <v>55</v>
      </c>
      <c r="C1236" s="30" t="s">
        <v>249</v>
      </c>
      <c r="D1236" s="30" t="s">
        <v>39</v>
      </c>
      <c r="E1236" s="30" t="s">
        <v>40</v>
      </c>
      <c r="F1236" s="30" t="s">
        <v>52</v>
      </c>
      <c r="G1236" s="30" t="s">
        <v>29</v>
      </c>
      <c r="H1236" s="39">
        <v>46056</v>
      </c>
      <c r="I1236" s="79">
        <v>184</v>
      </c>
      <c r="J1236" s="91">
        <v>650</v>
      </c>
      <c r="K1236" s="84">
        <v>0</v>
      </c>
      <c r="L1236" s="30" t="s">
        <v>36</v>
      </c>
      <c r="M1236" s="160">
        <v>119600</v>
      </c>
      <c r="N1236" s="160">
        <v>119600</v>
      </c>
      <c r="O1236" s="30" t="s">
        <v>267</v>
      </c>
    </row>
    <row r="1237" spans="1:15" x14ac:dyDescent="0.3">
      <c r="A1237" s="115" t="s">
        <v>881</v>
      </c>
      <c r="B1237" s="10" t="s">
        <v>25</v>
      </c>
      <c r="C1237" s="32" t="s">
        <v>257</v>
      </c>
      <c r="D1237" s="32" t="s">
        <v>26</v>
      </c>
      <c r="E1237" s="32" t="s">
        <v>27</v>
      </c>
      <c r="F1237" s="32" t="s">
        <v>34</v>
      </c>
      <c r="G1237" s="32" t="s">
        <v>56</v>
      </c>
      <c r="H1237" s="41">
        <v>46058</v>
      </c>
      <c r="I1237" s="81">
        <v>365</v>
      </c>
      <c r="J1237" s="93">
        <v>350</v>
      </c>
      <c r="K1237" s="86">
        <v>7.0000000000000007E-2</v>
      </c>
      <c r="L1237" s="32" t="s">
        <v>36</v>
      </c>
      <c r="M1237" s="162">
        <v>127750</v>
      </c>
      <c r="N1237" s="162">
        <v>118807.5</v>
      </c>
      <c r="O1237" s="32" t="s">
        <v>267</v>
      </c>
    </row>
    <row r="1238" spans="1:15" x14ac:dyDescent="0.3">
      <c r="A1238" s="115" t="s">
        <v>882</v>
      </c>
      <c r="B1238" s="11" t="s">
        <v>58</v>
      </c>
      <c r="C1238" s="30" t="s">
        <v>255</v>
      </c>
      <c r="D1238" s="30" t="s">
        <v>59</v>
      </c>
      <c r="E1238" s="30" t="s">
        <v>45</v>
      </c>
      <c r="F1238" s="30" t="s">
        <v>52</v>
      </c>
      <c r="G1238" s="30" t="s">
        <v>35</v>
      </c>
      <c r="H1238" s="39">
        <v>46059</v>
      </c>
      <c r="I1238" s="79">
        <v>134</v>
      </c>
      <c r="J1238" s="91">
        <v>2800</v>
      </c>
      <c r="K1238" s="84">
        <v>7.0000000000000007E-2</v>
      </c>
      <c r="L1238" s="30" t="s">
        <v>30</v>
      </c>
      <c r="M1238" s="160">
        <v>375200</v>
      </c>
      <c r="N1238" s="160">
        <v>348936</v>
      </c>
      <c r="O1238" s="30" t="s">
        <v>267</v>
      </c>
    </row>
    <row r="1239" spans="1:15" x14ac:dyDescent="0.3">
      <c r="A1239" s="115" t="s">
        <v>883</v>
      </c>
      <c r="B1239" s="10" t="s">
        <v>25</v>
      </c>
      <c r="C1239" s="32" t="s">
        <v>257</v>
      </c>
      <c r="D1239" s="32" t="s">
        <v>26</v>
      </c>
      <c r="E1239" s="32" t="s">
        <v>27</v>
      </c>
      <c r="F1239" s="32" t="s">
        <v>41</v>
      </c>
      <c r="G1239" s="32" t="s">
        <v>29</v>
      </c>
      <c r="H1239" s="41">
        <v>46059</v>
      </c>
      <c r="I1239" s="81">
        <v>298</v>
      </c>
      <c r="J1239" s="93">
        <v>350</v>
      </c>
      <c r="K1239" s="86">
        <v>0.13</v>
      </c>
      <c r="L1239" s="32" t="s">
        <v>36</v>
      </c>
      <c r="M1239" s="162">
        <v>104300</v>
      </c>
      <c r="N1239" s="162">
        <v>90741</v>
      </c>
      <c r="O1239" s="32" t="s">
        <v>265</v>
      </c>
    </row>
    <row r="1240" spans="1:15" x14ac:dyDescent="0.3">
      <c r="A1240" s="115" t="s">
        <v>884</v>
      </c>
      <c r="B1240" s="11" t="s">
        <v>38</v>
      </c>
      <c r="C1240" s="30" t="s">
        <v>247</v>
      </c>
      <c r="D1240" s="30" t="s">
        <v>39</v>
      </c>
      <c r="E1240" s="30" t="s">
        <v>33</v>
      </c>
      <c r="F1240" s="30" t="s">
        <v>41</v>
      </c>
      <c r="G1240" s="30" t="s">
        <v>29</v>
      </c>
      <c r="H1240" s="39">
        <v>46062</v>
      </c>
      <c r="I1240" s="79">
        <v>171</v>
      </c>
      <c r="J1240" s="91">
        <v>1200</v>
      </c>
      <c r="K1240" s="84">
        <v>7.0000000000000007E-2</v>
      </c>
      <c r="L1240" s="30" t="s">
        <v>36</v>
      </c>
      <c r="M1240" s="160">
        <v>205200</v>
      </c>
      <c r="N1240" s="160">
        <v>190836</v>
      </c>
      <c r="O1240" s="30" t="s">
        <v>267</v>
      </c>
    </row>
    <row r="1241" spans="1:15" x14ac:dyDescent="0.3">
      <c r="A1241" s="115" t="s">
        <v>885</v>
      </c>
      <c r="B1241" s="10" t="s">
        <v>260</v>
      </c>
      <c r="C1241" s="32" t="s">
        <v>261</v>
      </c>
      <c r="D1241" s="32" t="s">
        <v>39</v>
      </c>
      <c r="E1241" s="32" t="s">
        <v>27</v>
      </c>
      <c r="F1241" s="32" t="s">
        <v>28</v>
      </c>
      <c r="G1241" s="32" t="s">
        <v>56</v>
      </c>
      <c r="H1241" s="41">
        <v>46062</v>
      </c>
      <c r="I1241" s="81">
        <v>62</v>
      </c>
      <c r="J1241" s="93">
        <v>450</v>
      </c>
      <c r="K1241" s="86">
        <v>0</v>
      </c>
      <c r="L1241" s="32" t="s">
        <v>36</v>
      </c>
      <c r="M1241" s="162">
        <v>27900</v>
      </c>
      <c r="N1241" s="162">
        <v>27900</v>
      </c>
      <c r="O1241" s="32" t="s">
        <v>265</v>
      </c>
    </row>
    <row r="1242" spans="1:15" x14ac:dyDescent="0.3">
      <c r="A1242" s="115" t="s">
        <v>886</v>
      </c>
      <c r="B1242" s="11" t="s">
        <v>61</v>
      </c>
      <c r="C1242" s="30" t="s">
        <v>244</v>
      </c>
      <c r="D1242" s="30" t="s">
        <v>26</v>
      </c>
      <c r="E1242" s="30" t="s">
        <v>45</v>
      </c>
      <c r="F1242" s="30" t="s">
        <v>52</v>
      </c>
      <c r="G1242" s="30" t="s">
        <v>47</v>
      </c>
      <c r="H1242" s="39">
        <v>46063</v>
      </c>
      <c r="I1242" s="79">
        <v>82</v>
      </c>
      <c r="J1242" s="91">
        <v>280</v>
      </c>
      <c r="K1242" s="84">
        <v>0.05</v>
      </c>
      <c r="L1242" s="30" t="s">
        <v>30</v>
      </c>
      <c r="M1242" s="160">
        <v>22960</v>
      </c>
      <c r="N1242" s="160">
        <v>21812</v>
      </c>
      <c r="O1242" s="30" t="s">
        <v>265</v>
      </c>
    </row>
    <row r="1243" spans="1:15" x14ac:dyDescent="0.3">
      <c r="A1243" s="115" t="s">
        <v>887</v>
      </c>
      <c r="B1243" s="10" t="s">
        <v>61</v>
      </c>
      <c r="C1243" s="32" t="s">
        <v>244</v>
      </c>
      <c r="D1243" s="32" t="s">
        <v>26</v>
      </c>
      <c r="E1243" s="32" t="s">
        <v>33</v>
      </c>
      <c r="F1243" s="32" t="s">
        <v>28</v>
      </c>
      <c r="G1243" s="32" t="s">
        <v>47</v>
      </c>
      <c r="H1243" s="41">
        <v>46063</v>
      </c>
      <c r="I1243" s="81">
        <v>344</v>
      </c>
      <c r="J1243" s="93">
        <v>280</v>
      </c>
      <c r="K1243" s="86">
        <v>0.14000000000000001</v>
      </c>
      <c r="L1243" s="32" t="s">
        <v>30</v>
      </c>
      <c r="M1243" s="162">
        <v>96320</v>
      </c>
      <c r="N1243" s="162">
        <v>82835.199999999997</v>
      </c>
      <c r="O1243" s="32" t="s">
        <v>265</v>
      </c>
    </row>
    <row r="1244" spans="1:15" x14ac:dyDescent="0.3">
      <c r="A1244" s="115" t="s">
        <v>888</v>
      </c>
      <c r="B1244" s="11" t="s">
        <v>63</v>
      </c>
      <c r="C1244" s="30" t="s">
        <v>253</v>
      </c>
      <c r="D1244" s="30" t="s">
        <v>50</v>
      </c>
      <c r="E1244" s="30" t="s">
        <v>45</v>
      </c>
      <c r="F1244" s="30" t="s">
        <v>28</v>
      </c>
      <c r="G1244" s="30" t="s">
        <v>35</v>
      </c>
      <c r="H1244" s="39">
        <v>46064</v>
      </c>
      <c r="I1244" s="79">
        <v>59</v>
      </c>
      <c r="J1244" s="91">
        <v>750</v>
      </c>
      <c r="K1244" s="84">
        <v>0.05</v>
      </c>
      <c r="L1244" s="30" t="s">
        <v>30</v>
      </c>
      <c r="M1244" s="160">
        <v>44250</v>
      </c>
      <c r="N1244" s="160">
        <v>42037.5</v>
      </c>
      <c r="O1244" s="30" t="s">
        <v>265</v>
      </c>
    </row>
    <row r="1245" spans="1:15" x14ac:dyDescent="0.3">
      <c r="A1245" s="115" t="s">
        <v>889</v>
      </c>
      <c r="B1245" s="10" t="s">
        <v>61</v>
      </c>
      <c r="C1245" s="32" t="s">
        <v>244</v>
      </c>
      <c r="D1245" s="32" t="s">
        <v>26</v>
      </c>
      <c r="E1245" s="32" t="s">
        <v>45</v>
      </c>
      <c r="F1245" s="32" t="s">
        <v>46</v>
      </c>
      <c r="G1245" s="32" t="s">
        <v>47</v>
      </c>
      <c r="H1245" s="41">
        <v>46064</v>
      </c>
      <c r="I1245" s="81">
        <v>395</v>
      </c>
      <c r="J1245" s="93">
        <v>280</v>
      </c>
      <c r="K1245" s="86">
        <v>0</v>
      </c>
      <c r="L1245" s="32" t="s">
        <v>36</v>
      </c>
      <c r="M1245" s="162">
        <v>110600</v>
      </c>
      <c r="N1245" s="162">
        <v>110600</v>
      </c>
      <c r="O1245" s="32" t="s">
        <v>267</v>
      </c>
    </row>
    <row r="1246" spans="1:15" x14ac:dyDescent="0.3">
      <c r="A1246" s="115" t="s">
        <v>890</v>
      </c>
      <c r="B1246" s="11" t="s">
        <v>63</v>
      </c>
      <c r="C1246" s="30" t="s">
        <v>253</v>
      </c>
      <c r="D1246" s="30" t="s">
        <v>50</v>
      </c>
      <c r="E1246" s="30" t="s">
        <v>45</v>
      </c>
      <c r="F1246" s="30" t="s">
        <v>34</v>
      </c>
      <c r="G1246" s="30" t="s">
        <v>47</v>
      </c>
      <c r="H1246" s="39">
        <v>46065</v>
      </c>
      <c r="I1246" s="79">
        <v>276</v>
      </c>
      <c r="J1246" s="91">
        <v>750</v>
      </c>
      <c r="K1246" s="84">
        <v>0.05</v>
      </c>
      <c r="L1246" s="30" t="s">
        <v>36</v>
      </c>
      <c r="M1246" s="160">
        <v>207000</v>
      </c>
      <c r="N1246" s="160">
        <v>196650</v>
      </c>
      <c r="O1246" s="30" t="s">
        <v>267</v>
      </c>
    </row>
    <row r="1247" spans="1:15" x14ac:dyDescent="0.3">
      <c r="A1247" s="115" t="s">
        <v>891</v>
      </c>
      <c r="B1247" s="10" t="s">
        <v>49</v>
      </c>
      <c r="C1247" s="32" t="s">
        <v>251</v>
      </c>
      <c r="D1247" s="32" t="s">
        <v>50</v>
      </c>
      <c r="E1247" s="32" t="s">
        <v>33</v>
      </c>
      <c r="F1247" s="32" t="s">
        <v>28</v>
      </c>
      <c r="G1247" s="32" t="s">
        <v>53</v>
      </c>
      <c r="H1247" s="41">
        <v>46065</v>
      </c>
      <c r="I1247" s="81">
        <v>228</v>
      </c>
      <c r="J1247" s="93">
        <v>895</v>
      </c>
      <c r="K1247" s="86">
        <v>7.0000000000000007E-2</v>
      </c>
      <c r="L1247" s="32" t="s">
        <v>36</v>
      </c>
      <c r="M1247" s="162">
        <v>204060</v>
      </c>
      <c r="N1247" s="162">
        <v>189775.8</v>
      </c>
      <c r="O1247" s="32" t="s">
        <v>267</v>
      </c>
    </row>
    <row r="1248" spans="1:15" x14ac:dyDescent="0.3">
      <c r="A1248" s="115" t="s">
        <v>892</v>
      </c>
      <c r="B1248" s="11" t="s">
        <v>16</v>
      </c>
      <c r="C1248" s="30" t="s">
        <v>250</v>
      </c>
      <c r="D1248" s="30" t="s">
        <v>39</v>
      </c>
      <c r="E1248" s="30" t="s">
        <v>33</v>
      </c>
      <c r="F1248" s="30" t="s">
        <v>34</v>
      </c>
      <c r="G1248" s="30" t="s">
        <v>29</v>
      </c>
      <c r="H1248" s="39">
        <v>46065</v>
      </c>
      <c r="I1248" s="79">
        <v>306</v>
      </c>
      <c r="J1248" s="91">
        <v>990</v>
      </c>
      <c r="K1248" s="84">
        <v>0.13</v>
      </c>
      <c r="L1248" s="30" t="s">
        <v>30</v>
      </c>
      <c r="M1248" s="160">
        <v>302940</v>
      </c>
      <c r="N1248" s="160">
        <v>263557.8</v>
      </c>
      <c r="O1248" s="30" t="s">
        <v>267</v>
      </c>
    </row>
    <row r="1249" spans="1:15" x14ac:dyDescent="0.3">
      <c r="A1249" s="115" t="s">
        <v>893</v>
      </c>
      <c r="B1249" s="10" t="s">
        <v>61</v>
      </c>
      <c r="C1249" s="32" t="s">
        <v>244</v>
      </c>
      <c r="D1249" s="32" t="s">
        <v>26</v>
      </c>
      <c r="E1249" s="32" t="s">
        <v>45</v>
      </c>
      <c r="F1249" s="32" t="s">
        <v>28</v>
      </c>
      <c r="G1249" s="32" t="s">
        <v>29</v>
      </c>
      <c r="H1249" s="41">
        <v>46066</v>
      </c>
      <c r="I1249" s="81">
        <v>416</v>
      </c>
      <c r="J1249" s="93">
        <v>280</v>
      </c>
      <c r="K1249" s="86">
        <v>0.03</v>
      </c>
      <c r="L1249" s="32" t="s">
        <v>30</v>
      </c>
      <c r="M1249" s="162">
        <v>116480</v>
      </c>
      <c r="N1249" s="162">
        <v>112985.60000000001</v>
      </c>
      <c r="O1249" s="32" t="s">
        <v>267</v>
      </c>
    </row>
    <row r="1250" spans="1:15" x14ac:dyDescent="0.3">
      <c r="A1250" s="115" t="s">
        <v>894</v>
      </c>
      <c r="B1250" s="11" t="s">
        <v>258</v>
      </c>
      <c r="C1250" s="30" t="s">
        <v>259</v>
      </c>
      <c r="D1250" s="30" t="s">
        <v>26</v>
      </c>
      <c r="E1250" s="30" t="s">
        <v>33</v>
      </c>
      <c r="F1250" s="30" t="s">
        <v>34</v>
      </c>
      <c r="G1250" s="30" t="s">
        <v>53</v>
      </c>
      <c r="H1250" s="39">
        <v>46066</v>
      </c>
      <c r="I1250" s="79">
        <v>167</v>
      </c>
      <c r="J1250" s="91">
        <v>680</v>
      </c>
      <c r="K1250" s="84">
        <v>0</v>
      </c>
      <c r="L1250" s="30" t="s">
        <v>36</v>
      </c>
      <c r="M1250" s="160">
        <v>113560</v>
      </c>
      <c r="N1250" s="160">
        <v>113560</v>
      </c>
      <c r="O1250" s="30" t="s">
        <v>267</v>
      </c>
    </row>
    <row r="1251" spans="1:15" x14ac:dyDescent="0.3">
      <c r="A1251" s="115" t="s">
        <v>895</v>
      </c>
      <c r="B1251" s="10" t="s">
        <v>258</v>
      </c>
      <c r="C1251" s="32" t="s">
        <v>259</v>
      </c>
      <c r="D1251" s="32" t="s">
        <v>26</v>
      </c>
      <c r="E1251" s="32" t="s">
        <v>51</v>
      </c>
      <c r="F1251" s="32" t="s">
        <v>28</v>
      </c>
      <c r="G1251" s="32" t="s">
        <v>47</v>
      </c>
      <c r="H1251" s="41">
        <v>46066</v>
      </c>
      <c r="I1251" s="81">
        <v>153</v>
      </c>
      <c r="J1251" s="93">
        <v>680</v>
      </c>
      <c r="K1251" s="86">
        <v>0.11</v>
      </c>
      <c r="L1251" s="32" t="s">
        <v>36</v>
      </c>
      <c r="M1251" s="162">
        <v>104040</v>
      </c>
      <c r="N1251" s="162">
        <v>92595.6</v>
      </c>
      <c r="O1251" s="32" t="s">
        <v>265</v>
      </c>
    </row>
    <row r="1252" spans="1:15" x14ac:dyDescent="0.3">
      <c r="A1252" s="115" t="s">
        <v>896</v>
      </c>
      <c r="B1252" s="11" t="s">
        <v>32</v>
      </c>
      <c r="C1252" s="30" t="s">
        <v>246</v>
      </c>
      <c r="D1252" s="30" t="s">
        <v>26</v>
      </c>
      <c r="E1252" s="30" t="s">
        <v>45</v>
      </c>
      <c r="F1252" s="30" t="s">
        <v>46</v>
      </c>
      <c r="G1252" s="30" t="s">
        <v>35</v>
      </c>
      <c r="H1252" s="39">
        <v>46067</v>
      </c>
      <c r="I1252" s="79">
        <v>277</v>
      </c>
      <c r="J1252" s="91">
        <v>420</v>
      </c>
      <c r="K1252" s="84">
        <v>0.08</v>
      </c>
      <c r="L1252" s="30" t="s">
        <v>36</v>
      </c>
      <c r="M1252" s="160">
        <v>116340</v>
      </c>
      <c r="N1252" s="160">
        <v>107032.8</v>
      </c>
      <c r="O1252" s="30" t="s">
        <v>267</v>
      </c>
    </row>
    <row r="1253" spans="1:15" x14ac:dyDescent="0.3">
      <c r="A1253" s="115" t="s">
        <v>897</v>
      </c>
      <c r="B1253" s="10" t="s">
        <v>38</v>
      </c>
      <c r="C1253" s="32" t="s">
        <v>247</v>
      </c>
      <c r="D1253" s="32" t="s">
        <v>39</v>
      </c>
      <c r="E1253" s="32" t="s">
        <v>33</v>
      </c>
      <c r="F1253" s="32" t="s">
        <v>28</v>
      </c>
      <c r="G1253" s="32" t="s">
        <v>29</v>
      </c>
      <c r="H1253" s="41">
        <v>46068</v>
      </c>
      <c r="I1253" s="81">
        <v>382</v>
      </c>
      <c r="J1253" s="93">
        <v>1200</v>
      </c>
      <c r="K1253" s="86">
        <v>0.13</v>
      </c>
      <c r="L1253" s="32" t="s">
        <v>36</v>
      </c>
      <c r="M1253" s="162">
        <v>458400</v>
      </c>
      <c r="N1253" s="162">
        <v>398808</v>
      </c>
      <c r="O1253" s="32" t="s">
        <v>277</v>
      </c>
    </row>
    <row r="1254" spans="1:15" x14ac:dyDescent="0.3">
      <c r="A1254" s="115" t="s">
        <v>898</v>
      </c>
      <c r="B1254" s="11" t="s">
        <v>44</v>
      </c>
      <c r="C1254" s="30" t="s">
        <v>254</v>
      </c>
      <c r="D1254" s="30" t="s">
        <v>39</v>
      </c>
      <c r="E1254" s="30" t="s">
        <v>27</v>
      </c>
      <c r="F1254" s="30" t="s">
        <v>28</v>
      </c>
      <c r="G1254" s="30" t="s">
        <v>42</v>
      </c>
      <c r="H1254" s="39">
        <v>46068</v>
      </c>
      <c r="I1254" s="79">
        <v>454</v>
      </c>
      <c r="J1254" s="91">
        <v>200</v>
      </c>
      <c r="K1254" s="84">
        <v>0.1</v>
      </c>
      <c r="L1254" s="30" t="s">
        <v>30</v>
      </c>
      <c r="M1254" s="160">
        <v>90800</v>
      </c>
      <c r="N1254" s="160">
        <v>81720</v>
      </c>
      <c r="O1254" s="30" t="s">
        <v>265</v>
      </c>
    </row>
    <row r="1255" spans="1:15" x14ac:dyDescent="0.3">
      <c r="A1255" s="115" t="s">
        <v>899</v>
      </c>
      <c r="B1255" s="10" t="s">
        <v>25</v>
      </c>
      <c r="C1255" s="32" t="s">
        <v>257</v>
      </c>
      <c r="D1255" s="32" t="s">
        <v>26</v>
      </c>
      <c r="E1255" s="32" t="s">
        <v>40</v>
      </c>
      <c r="F1255" s="32" t="s">
        <v>28</v>
      </c>
      <c r="G1255" s="32" t="s">
        <v>35</v>
      </c>
      <c r="H1255" s="41">
        <v>46068</v>
      </c>
      <c r="I1255" s="81">
        <v>391</v>
      </c>
      <c r="J1255" s="93">
        <v>350</v>
      </c>
      <c r="K1255" s="86">
        <v>0.15</v>
      </c>
      <c r="L1255" s="32" t="s">
        <v>36</v>
      </c>
      <c r="M1255" s="162">
        <v>136850</v>
      </c>
      <c r="N1255" s="162">
        <v>116322.5</v>
      </c>
      <c r="O1255" s="32" t="s">
        <v>267</v>
      </c>
    </row>
    <row r="1256" spans="1:15" x14ac:dyDescent="0.3">
      <c r="A1256" s="115" t="s">
        <v>900</v>
      </c>
      <c r="B1256" s="11" t="s">
        <v>49</v>
      </c>
      <c r="C1256" s="30" t="s">
        <v>251</v>
      </c>
      <c r="D1256" s="30" t="s">
        <v>50</v>
      </c>
      <c r="E1256" s="30" t="s">
        <v>40</v>
      </c>
      <c r="F1256" s="30" t="s">
        <v>28</v>
      </c>
      <c r="G1256" s="30" t="s">
        <v>56</v>
      </c>
      <c r="H1256" s="39">
        <v>46069</v>
      </c>
      <c r="I1256" s="79">
        <v>210</v>
      </c>
      <c r="J1256" s="91">
        <v>895</v>
      </c>
      <c r="K1256" s="84">
        <v>0</v>
      </c>
      <c r="L1256" s="30" t="s">
        <v>36</v>
      </c>
      <c r="M1256" s="160">
        <v>187950</v>
      </c>
      <c r="N1256" s="160">
        <v>187950</v>
      </c>
      <c r="O1256" s="30" t="s">
        <v>267</v>
      </c>
    </row>
    <row r="1257" spans="1:15" x14ac:dyDescent="0.3">
      <c r="A1257" s="115" t="s">
        <v>901</v>
      </c>
      <c r="B1257" s="10" t="s">
        <v>32</v>
      </c>
      <c r="C1257" s="32" t="s">
        <v>246</v>
      </c>
      <c r="D1257" s="32" t="s">
        <v>26</v>
      </c>
      <c r="E1257" s="32" t="s">
        <v>27</v>
      </c>
      <c r="F1257" s="32" t="s">
        <v>41</v>
      </c>
      <c r="G1257" s="32" t="s">
        <v>56</v>
      </c>
      <c r="H1257" s="41">
        <v>46069</v>
      </c>
      <c r="I1257" s="81">
        <v>196</v>
      </c>
      <c r="J1257" s="93">
        <v>420</v>
      </c>
      <c r="K1257" s="86">
        <v>0</v>
      </c>
      <c r="L1257" s="32" t="s">
        <v>30</v>
      </c>
      <c r="M1257" s="162">
        <v>82320</v>
      </c>
      <c r="N1257" s="162">
        <v>82320</v>
      </c>
      <c r="O1257" s="32" t="s">
        <v>265</v>
      </c>
    </row>
    <row r="1258" spans="1:15" x14ac:dyDescent="0.3">
      <c r="A1258" s="115" t="s">
        <v>902</v>
      </c>
      <c r="B1258" s="11" t="s">
        <v>38</v>
      </c>
      <c r="C1258" s="30" t="s">
        <v>247</v>
      </c>
      <c r="D1258" s="30" t="s">
        <v>39</v>
      </c>
      <c r="E1258" s="30" t="s">
        <v>40</v>
      </c>
      <c r="F1258" s="30" t="s">
        <v>28</v>
      </c>
      <c r="G1258" s="30" t="s">
        <v>53</v>
      </c>
      <c r="H1258" s="39">
        <v>46069</v>
      </c>
      <c r="I1258" s="79">
        <v>217</v>
      </c>
      <c r="J1258" s="91">
        <v>1200</v>
      </c>
      <c r="K1258" s="84">
        <v>0.03</v>
      </c>
      <c r="L1258" s="30" t="s">
        <v>36</v>
      </c>
      <c r="M1258" s="160">
        <v>260400</v>
      </c>
      <c r="N1258" s="160">
        <v>252588</v>
      </c>
      <c r="O1258" s="30" t="s">
        <v>267</v>
      </c>
    </row>
    <row r="1259" spans="1:15" x14ac:dyDescent="0.3">
      <c r="A1259" s="115" t="s">
        <v>903</v>
      </c>
      <c r="B1259" s="10" t="s">
        <v>38</v>
      </c>
      <c r="C1259" s="32" t="s">
        <v>247</v>
      </c>
      <c r="D1259" s="32" t="s">
        <v>39</v>
      </c>
      <c r="E1259" s="32" t="s">
        <v>45</v>
      </c>
      <c r="F1259" s="32" t="s">
        <v>46</v>
      </c>
      <c r="G1259" s="32" t="s">
        <v>56</v>
      </c>
      <c r="H1259" s="41">
        <v>46070</v>
      </c>
      <c r="I1259" s="81">
        <v>191</v>
      </c>
      <c r="J1259" s="93">
        <v>1200</v>
      </c>
      <c r="K1259" s="86">
        <v>0</v>
      </c>
      <c r="L1259" s="32" t="s">
        <v>36</v>
      </c>
      <c r="M1259" s="162">
        <v>229200</v>
      </c>
      <c r="N1259" s="162">
        <v>229200</v>
      </c>
      <c r="O1259" s="32" t="s">
        <v>267</v>
      </c>
    </row>
    <row r="1260" spans="1:15" x14ac:dyDescent="0.3">
      <c r="A1260" s="115" t="s">
        <v>904</v>
      </c>
      <c r="B1260" s="11" t="s">
        <v>58</v>
      </c>
      <c r="C1260" s="30" t="s">
        <v>255</v>
      </c>
      <c r="D1260" s="30" t="s">
        <v>59</v>
      </c>
      <c r="E1260" s="30" t="s">
        <v>40</v>
      </c>
      <c r="F1260" s="30" t="s">
        <v>28</v>
      </c>
      <c r="G1260" s="30" t="s">
        <v>35</v>
      </c>
      <c r="H1260" s="39">
        <v>46070</v>
      </c>
      <c r="I1260" s="79">
        <v>65</v>
      </c>
      <c r="J1260" s="91">
        <v>2800</v>
      </c>
      <c r="K1260" s="84">
        <v>0.03</v>
      </c>
      <c r="L1260" s="30" t="s">
        <v>36</v>
      </c>
      <c r="M1260" s="160">
        <v>182000</v>
      </c>
      <c r="N1260" s="160">
        <v>176540</v>
      </c>
      <c r="O1260" s="30" t="s">
        <v>267</v>
      </c>
    </row>
    <row r="1261" spans="1:15" x14ac:dyDescent="0.3">
      <c r="A1261" s="115" t="s">
        <v>905</v>
      </c>
      <c r="B1261" s="10" t="s">
        <v>25</v>
      </c>
      <c r="C1261" s="32" t="s">
        <v>257</v>
      </c>
      <c r="D1261" s="32" t="s">
        <v>26</v>
      </c>
      <c r="E1261" s="32" t="s">
        <v>45</v>
      </c>
      <c r="F1261" s="32" t="s">
        <v>46</v>
      </c>
      <c r="G1261" s="32" t="s">
        <v>29</v>
      </c>
      <c r="H1261" s="41">
        <v>46071</v>
      </c>
      <c r="I1261" s="81">
        <v>420</v>
      </c>
      <c r="J1261" s="93">
        <v>350</v>
      </c>
      <c r="K1261" s="86">
        <v>0.12</v>
      </c>
      <c r="L1261" s="32" t="s">
        <v>36</v>
      </c>
      <c r="M1261" s="162">
        <v>147000</v>
      </c>
      <c r="N1261" s="162">
        <v>129360</v>
      </c>
      <c r="O1261" s="32" t="s">
        <v>267</v>
      </c>
    </row>
    <row r="1262" spans="1:15" x14ac:dyDescent="0.3">
      <c r="A1262" s="115" t="s">
        <v>906</v>
      </c>
      <c r="B1262" s="11" t="s">
        <v>49</v>
      </c>
      <c r="C1262" s="30" t="s">
        <v>251</v>
      </c>
      <c r="D1262" s="30" t="s">
        <v>50</v>
      </c>
      <c r="E1262" s="30" t="s">
        <v>40</v>
      </c>
      <c r="F1262" s="30" t="s">
        <v>34</v>
      </c>
      <c r="G1262" s="30" t="s">
        <v>29</v>
      </c>
      <c r="H1262" s="39">
        <v>46071</v>
      </c>
      <c r="I1262" s="79">
        <v>389</v>
      </c>
      <c r="J1262" s="91">
        <v>895</v>
      </c>
      <c r="K1262" s="84">
        <v>0.15</v>
      </c>
      <c r="L1262" s="30" t="s">
        <v>36</v>
      </c>
      <c r="M1262" s="160">
        <v>348155</v>
      </c>
      <c r="N1262" s="160">
        <v>295931.75</v>
      </c>
      <c r="O1262" s="30" t="s">
        <v>267</v>
      </c>
    </row>
    <row r="1263" spans="1:15" x14ac:dyDescent="0.3">
      <c r="A1263" s="115" t="s">
        <v>907</v>
      </c>
      <c r="B1263" s="10" t="s">
        <v>49</v>
      </c>
      <c r="C1263" s="32" t="s">
        <v>251</v>
      </c>
      <c r="D1263" s="32" t="s">
        <v>50</v>
      </c>
      <c r="E1263" s="32" t="s">
        <v>27</v>
      </c>
      <c r="F1263" s="32" t="s">
        <v>41</v>
      </c>
      <c r="G1263" s="32" t="s">
        <v>53</v>
      </c>
      <c r="H1263" s="41">
        <v>46071</v>
      </c>
      <c r="I1263" s="81">
        <v>81</v>
      </c>
      <c r="J1263" s="93">
        <v>895</v>
      </c>
      <c r="K1263" s="86">
        <v>0.1</v>
      </c>
      <c r="L1263" s="32" t="s">
        <v>30</v>
      </c>
      <c r="M1263" s="162">
        <v>72495</v>
      </c>
      <c r="N1263" s="162">
        <v>65245.5</v>
      </c>
      <c r="O1263" s="32" t="s">
        <v>265</v>
      </c>
    </row>
    <row r="1264" spans="1:15" x14ac:dyDescent="0.3">
      <c r="A1264" s="115" t="s">
        <v>908</v>
      </c>
      <c r="B1264" s="11" t="s">
        <v>32</v>
      </c>
      <c r="C1264" s="30" t="s">
        <v>246</v>
      </c>
      <c r="D1264" s="30" t="s">
        <v>26</v>
      </c>
      <c r="E1264" s="30" t="s">
        <v>40</v>
      </c>
      <c r="F1264" s="30" t="s">
        <v>28</v>
      </c>
      <c r="G1264" s="30" t="s">
        <v>35</v>
      </c>
      <c r="H1264" s="39">
        <v>46072</v>
      </c>
      <c r="I1264" s="79">
        <v>266</v>
      </c>
      <c r="J1264" s="91">
        <v>420</v>
      </c>
      <c r="K1264" s="84">
        <v>0</v>
      </c>
      <c r="L1264" s="30" t="s">
        <v>30</v>
      </c>
      <c r="M1264" s="160">
        <v>111720</v>
      </c>
      <c r="N1264" s="160">
        <v>111720</v>
      </c>
      <c r="O1264" s="30" t="s">
        <v>267</v>
      </c>
    </row>
    <row r="1265" spans="1:15" x14ac:dyDescent="0.3">
      <c r="A1265" s="115" t="s">
        <v>909</v>
      </c>
      <c r="B1265" s="10" t="s">
        <v>63</v>
      </c>
      <c r="C1265" s="32" t="s">
        <v>253</v>
      </c>
      <c r="D1265" s="32" t="s">
        <v>50</v>
      </c>
      <c r="E1265" s="32" t="s">
        <v>45</v>
      </c>
      <c r="F1265" s="32" t="s">
        <v>28</v>
      </c>
      <c r="G1265" s="32" t="s">
        <v>35</v>
      </c>
      <c r="H1265" s="41">
        <v>46073</v>
      </c>
      <c r="I1265" s="81">
        <v>45</v>
      </c>
      <c r="J1265" s="93">
        <v>750</v>
      </c>
      <c r="K1265" s="86">
        <v>0.14000000000000001</v>
      </c>
      <c r="L1265" s="32" t="s">
        <v>36</v>
      </c>
      <c r="M1265" s="162">
        <v>33750</v>
      </c>
      <c r="N1265" s="162">
        <v>29025</v>
      </c>
      <c r="O1265" s="32" t="s">
        <v>265</v>
      </c>
    </row>
    <row r="1266" spans="1:15" x14ac:dyDescent="0.3">
      <c r="A1266" s="115" t="s">
        <v>910</v>
      </c>
      <c r="B1266" s="11" t="s">
        <v>44</v>
      </c>
      <c r="C1266" s="30" t="s">
        <v>254</v>
      </c>
      <c r="D1266" s="30" t="s">
        <v>39</v>
      </c>
      <c r="E1266" s="30" t="s">
        <v>33</v>
      </c>
      <c r="F1266" s="30" t="s">
        <v>41</v>
      </c>
      <c r="G1266" s="30" t="s">
        <v>29</v>
      </c>
      <c r="H1266" s="39">
        <v>46074</v>
      </c>
      <c r="I1266" s="79">
        <v>244</v>
      </c>
      <c r="J1266" s="91">
        <v>200</v>
      </c>
      <c r="K1266" s="84">
        <v>0.1</v>
      </c>
      <c r="L1266" s="30" t="s">
        <v>36</v>
      </c>
      <c r="M1266" s="160">
        <v>48800</v>
      </c>
      <c r="N1266" s="160">
        <v>43920</v>
      </c>
      <c r="O1266" s="30" t="s">
        <v>265</v>
      </c>
    </row>
    <row r="1267" spans="1:15" x14ac:dyDescent="0.3">
      <c r="A1267" s="115" t="s">
        <v>911</v>
      </c>
      <c r="B1267" s="10" t="s">
        <v>25</v>
      </c>
      <c r="C1267" s="32" t="s">
        <v>257</v>
      </c>
      <c r="D1267" s="32" t="s">
        <v>26</v>
      </c>
      <c r="E1267" s="32" t="s">
        <v>27</v>
      </c>
      <c r="F1267" s="32" t="s">
        <v>41</v>
      </c>
      <c r="G1267" s="32" t="s">
        <v>35</v>
      </c>
      <c r="H1267" s="41">
        <v>46074</v>
      </c>
      <c r="I1267" s="81">
        <v>386</v>
      </c>
      <c r="J1267" s="93">
        <v>350</v>
      </c>
      <c r="K1267" s="86">
        <v>0.11</v>
      </c>
      <c r="L1267" s="32" t="s">
        <v>36</v>
      </c>
      <c r="M1267" s="162">
        <v>135100</v>
      </c>
      <c r="N1267" s="162">
        <v>120239</v>
      </c>
      <c r="O1267" s="32" t="s">
        <v>267</v>
      </c>
    </row>
    <row r="1268" spans="1:15" x14ac:dyDescent="0.3">
      <c r="A1268" s="115" t="s">
        <v>912</v>
      </c>
      <c r="B1268" s="11" t="s">
        <v>49</v>
      </c>
      <c r="C1268" s="30" t="s">
        <v>251</v>
      </c>
      <c r="D1268" s="30" t="s">
        <v>50</v>
      </c>
      <c r="E1268" s="30" t="s">
        <v>33</v>
      </c>
      <c r="F1268" s="30" t="s">
        <v>52</v>
      </c>
      <c r="G1268" s="30" t="s">
        <v>56</v>
      </c>
      <c r="H1268" s="39">
        <v>46074</v>
      </c>
      <c r="I1268" s="79">
        <v>153</v>
      </c>
      <c r="J1268" s="91">
        <v>895</v>
      </c>
      <c r="K1268" s="84">
        <v>0.13</v>
      </c>
      <c r="L1268" s="30" t="s">
        <v>30</v>
      </c>
      <c r="M1268" s="160">
        <v>136935</v>
      </c>
      <c r="N1268" s="160">
        <v>119133.45</v>
      </c>
      <c r="O1268" s="30" t="s">
        <v>267</v>
      </c>
    </row>
    <row r="1269" spans="1:15" x14ac:dyDescent="0.3">
      <c r="A1269" s="115" t="s">
        <v>913</v>
      </c>
      <c r="B1269" s="10" t="s">
        <v>58</v>
      </c>
      <c r="C1269" s="32" t="s">
        <v>255</v>
      </c>
      <c r="D1269" s="32" t="s">
        <v>59</v>
      </c>
      <c r="E1269" s="32" t="s">
        <v>45</v>
      </c>
      <c r="F1269" s="32" t="s">
        <v>46</v>
      </c>
      <c r="G1269" s="32" t="s">
        <v>29</v>
      </c>
      <c r="H1269" s="41">
        <v>46075</v>
      </c>
      <c r="I1269" s="81">
        <v>174</v>
      </c>
      <c r="J1269" s="93">
        <v>2800</v>
      </c>
      <c r="K1269" s="86">
        <v>0.08</v>
      </c>
      <c r="L1269" s="32" t="s">
        <v>36</v>
      </c>
      <c r="M1269" s="162">
        <v>487200</v>
      </c>
      <c r="N1269" s="162">
        <v>448224</v>
      </c>
      <c r="O1269" s="32" t="s">
        <v>277</v>
      </c>
    </row>
    <row r="1270" spans="1:15" x14ac:dyDescent="0.3">
      <c r="A1270" s="115" t="s">
        <v>914</v>
      </c>
      <c r="B1270" s="11" t="s">
        <v>262</v>
      </c>
      <c r="C1270" s="30" t="s">
        <v>263</v>
      </c>
      <c r="D1270" s="30" t="s">
        <v>50</v>
      </c>
      <c r="E1270" s="30" t="s">
        <v>51</v>
      </c>
      <c r="F1270" s="30" t="s">
        <v>41</v>
      </c>
      <c r="G1270" s="30" t="s">
        <v>35</v>
      </c>
      <c r="H1270" s="39">
        <v>46075</v>
      </c>
      <c r="I1270" s="79">
        <v>388</v>
      </c>
      <c r="J1270" s="91">
        <v>820</v>
      </c>
      <c r="K1270" s="84">
        <v>0.13</v>
      </c>
      <c r="L1270" s="30" t="s">
        <v>36</v>
      </c>
      <c r="M1270" s="160">
        <v>318160</v>
      </c>
      <c r="N1270" s="160">
        <v>276799.2</v>
      </c>
      <c r="O1270" s="30" t="s">
        <v>267</v>
      </c>
    </row>
    <row r="1271" spans="1:15" x14ac:dyDescent="0.3">
      <c r="A1271" s="115" t="s">
        <v>915</v>
      </c>
      <c r="B1271" s="10" t="s">
        <v>262</v>
      </c>
      <c r="C1271" s="32" t="s">
        <v>263</v>
      </c>
      <c r="D1271" s="32" t="s">
        <v>50</v>
      </c>
      <c r="E1271" s="32" t="s">
        <v>51</v>
      </c>
      <c r="F1271" s="32" t="s">
        <v>46</v>
      </c>
      <c r="G1271" s="32" t="s">
        <v>56</v>
      </c>
      <c r="H1271" s="41">
        <v>46075</v>
      </c>
      <c r="I1271" s="81">
        <v>179</v>
      </c>
      <c r="J1271" s="93">
        <v>820</v>
      </c>
      <c r="K1271" s="86">
        <v>7.0000000000000007E-2</v>
      </c>
      <c r="L1271" s="32" t="s">
        <v>36</v>
      </c>
      <c r="M1271" s="162">
        <v>146780</v>
      </c>
      <c r="N1271" s="162">
        <v>136505.4</v>
      </c>
      <c r="O1271" s="32" t="s">
        <v>267</v>
      </c>
    </row>
    <row r="1272" spans="1:15" x14ac:dyDescent="0.3">
      <c r="A1272" s="115" t="s">
        <v>916</v>
      </c>
      <c r="B1272" s="11" t="s">
        <v>44</v>
      </c>
      <c r="C1272" s="30" t="s">
        <v>254</v>
      </c>
      <c r="D1272" s="30" t="s">
        <v>39</v>
      </c>
      <c r="E1272" s="30" t="s">
        <v>33</v>
      </c>
      <c r="F1272" s="30" t="s">
        <v>34</v>
      </c>
      <c r="G1272" s="30" t="s">
        <v>29</v>
      </c>
      <c r="H1272" s="39">
        <v>46077</v>
      </c>
      <c r="I1272" s="79">
        <v>246</v>
      </c>
      <c r="J1272" s="91">
        <v>200</v>
      </c>
      <c r="K1272" s="84">
        <v>0.1</v>
      </c>
      <c r="L1272" s="30" t="s">
        <v>30</v>
      </c>
      <c r="M1272" s="160">
        <v>49200</v>
      </c>
      <c r="N1272" s="160">
        <v>44280</v>
      </c>
      <c r="O1272" s="30" t="s">
        <v>265</v>
      </c>
    </row>
    <row r="1273" spans="1:15" x14ac:dyDescent="0.3">
      <c r="A1273" s="115" t="s">
        <v>917</v>
      </c>
      <c r="B1273" s="10" t="s">
        <v>55</v>
      </c>
      <c r="C1273" s="32" t="s">
        <v>249</v>
      </c>
      <c r="D1273" s="32" t="s">
        <v>39</v>
      </c>
      <c r="E1273" s="32" t="s">
        <v>27</v>
      </c>
      <c r="F1273" s="32" t="s">
        <v>46</v>
      </c>
      <c r="G1273" s="32" t="s">
        <v>56</v>
      </c>
      <c r="H1273" s="41">
        <v>46077</v>
      </c>
      <c r="I1273" s="81">
        <v>371</v>
      </c>
      <c r="J1273" s="93">
        <v>650</v>
      </c>
      <c r="K1273" s="86">
        <v>0.11</v>
      </c>
      <c r="L1273" s="32" t="s">
        <v>30</v>
      </c>
      <c r="M1273" s="162">
        <v>241150</v>
      </c>
      <c r="N1273" s="162">
        <v>214623.5</v>
      </c>
      <c r="O1273" s="32" t="s">
        <v>267</v>
      </c>
    </row>
    <row r="1274" spans="1:15" x14ac:dyDescent="0.3">
      <c r="A1274" s="115" t="s">
        <v>918</v>
      </c>
      <c r="B1274" s="11" t="s">
        <v>32</v>
      </c>
      <c r="C1274" s="30" t="s">
        <v>246</v>
      </c>
      <c r="D1274" s="30" t="s">
        <v>26</v>
      </c>
      <c r="E1274" s="30" t="s">
        <v>33</v>
      </c>
      <c r="F1274" s="30" t="s">
        <v>28</v>
      </c>
      <c r="G1274" s="30" t="s">
        <v>56</v>
      </c>
      <c r="H1274" s="39">
        <v>46077</v>
      </c>
      <c r="I1274" s="79">
        <v>407</v>
      </c>
      <c r="J1274" s="91">
        <v>420</v>
      </c>
      <c r="K1274" s="84">
        <v>0.14000000000000001</v>
      </c>
      <c r="L1274" s="30" t="s">
        <v>36</v>
      </c>
      <c r="M1274" s="160">
        <v>170940</v>
      </c>
      <c r="N1274" s="160">
        <v>147008.4</v>
      </c>
      <c r="O1274" s="30" t="s">
        <v>267</v>
      </c>
    </row>
    <row r="1275" spans="1:15" x14ac:dyDescent="0.3">
      <c r="A1275" s="115" t="s">
        <v>919</v>
      </c>
      <c r="B1275" s="10" t="s">
        <v>55</v>
      </c>
      <c r="C1275" s="32" t="s">
        <v>249</v>
      </c>
      <c r="D1275" s="32" t="s">
        <v>39</v>
      </c>
      <c r="E1275" s="32" t="s">
        <v>27</v>
      </c>
      <c r="F1275" s="32" t="s">
        <v>46</v>
      </c>
      <c r="G1275" s="32" t="s">
        <v>47</v>
      </c>
      <c r="H1275" s="41">
        <v>46078</v>
      </c>
      <c r="I1275" s="81">
        <v>148</v>
      </c>
      <c r="J1275" s="93">
        <v>650</v>
      </c>
      <c r="K1275" s="86">
        <v>0.1</v>
      </c>
      <c r="L1275" s="32" t="s">
        <v>30</v>
      </c>
      <c r="M1275" s="162">
        <v>96200</v>
      </c>
      <c r="N1275" s="162">
        <v>86580</v>
      </c>
      <c r="O1275" s="32" t="s">
        <v>265</v>
      </c>
    </row>
    <row r="1276" spans="1:15" x14ac:dyDescent="0.3">
      <c r="A1276" s="115" t="s">
        <v>920</v>
      </c>
      <c r="B1276" s="11" t="s">
        <v>258</v>
      </c>
      <c r="C1276" s="30" t="s">
        <v>259</v>
      </c>
      <c r="D1276" s="30" t="s">
        <v>26</v>
      </c>
      <c r="E1276" s="30" t="s">
        <v>33</v>
      </c>
      <c r="F1276" s="30" t="s">
        <v>52</v>
      </c>
      <c r="G1276" s="30" t="s">
        <v>29</v>
      </c>
      <c r="H1276" s="39">
        <v>46079</v>
      </c>
      <c r="I1276" s="79">
        <v>220</v>
      </c>
      <c r="J1276" s="91">
        <v>680</v>
      </c>
      <c r="K1276" s="84">
        <v>0.05</v>
      </c>
      <c r="L1276" s="30" t="s">
        <v>30</v>
      </c>
      <c r="M1276" s="160">
        <v>149600</v>
      </c>
      <c r="N1276" s="160">
        <v>142120</v>
      </c>
      <c r="O1276" s="30" t="s">
        <v>267</v>
      </c>
    </row>
    <row r="1277" spans="1:15" x14ac:dyDescent="0.3">
      <c r="A1277" s="115" t="s">
        <v>921</v>
      </c>
      <c r="B1277" s="10" t="s">
        <v>63</v>
      </c>
      <c r="C1277" s="32" t="s">
        <v>253</v>
      </c>
      <c r="D1277" s="32" t="s">
        <v>50</v>
      </c>
      <c r="E1277" s="32" t="s">
        <v>33</v>
      </c>
      <c r="F1277" s="32" t="s">
        <v>34</v>
      </c>
      <c r="G1277" s="32" t="s">
        <v>47</v>
      </c>
      <c r="H1277" s="41">
        <v>46079</v>
      </c>
      <c r="I1277" s="81">
        <v>206</v>
      </c>
      <c r="J1277" s="93">
        <v>750</v>
      </c>
      <c r="K1277" s="86">
        <v>0.13</v>
      </c>
      <c r="L1277" s="32" t="s">
        <v>36</v>
      </c>
      <c r="M1277" s="162">
        <v>154500</v>
      </c>
      <c r="N1277" s="162">
        <v>134415</v>
      </c>
      <c r="O1277" s="32" t="s">
        <v>267</v>
      </c>
    </row>
    <row r="1278" spans="1:15" x14ac:dyDescent="0.3">
      <c r="A1278" s="115" t="s">
        <v>922</v>
      </c>
      <c r="B1278" s="11" t="s">
        <v>58</v>
      </c>
      <c r="C1278" s="30" t="s">
        <v>255</v>
      </c>
      <c r="D1278" s="30" t="s">
        <v>59</v>
      </c>
      <c r="E1278" s="30" t="s">
        <v>33</v>
      </c>
      <c r="F1278" s="30" t="s">
        <v>52</v>
      </c>
      <c r="G1278" s="30" t="s">
        <v>53</v>
      </c>
      <c r="H1278" s="39">
        <v>46081</v>
      </c>
      <c r="I1278" s="79">
        <v>180</v>
      </c>
      <c r="J1278" s="91">
        <v>2800</v>
      </c>
      <c r="K1278" s="84">
        <v>0.13</v>
      </c>
      <c r="L1278" s="30" t="s">
        <v>36</v>
      </c>
      <c r="M1278" s="160">
        <v>504000</v>
      </c>
      <c r="N1278" s="160">
        <v>438480</v>
      </c>
      <c r="O1278" s="30" t="s">
        <v>277</v>
      </c>
    </row>
    <row r="1279" spans="1:15" x14ac:dyDescent="0.3">
      <c r="A1279" s="115" t="s">
        <v>923</v>
      </c>
      <c r="B1279" s="10" t="s">
        <v>260</v>
      </c>
      <c r="C1279" s="32" t="s">
        <v>261</v>
      </c>
      <c r="D1279" s="32" t="s">
        <v>39</v>
      </c>
      <c r="E1279" s="32" t="s">
        <v>51</v>
      </c>
      <c r="F1279" s="32" t="s">
        <v>52</v>
      </c>
      <c r="G1279" s="32" t="s">
        <v>35</v>
      </c>
      <c r="H1279" s="41">
        <v>46081</v>
      </c>
      <c r="I1279" s="81">
        <v>98</v>
      </c>
      <c r="J1279" s="93">
        <v>450</v>
      </c>
      <c r="K1279" s="86">
        <v>0.13</v>
      </c>
      <c r="L1279" s="32" t="s">
        <v>36</v>
      </c>
      <c r="M1279" s="162">
        <v>44100</v>
      </c>
      <c r="N1279" s="162">
        <v>38367</v>
      </c>
      <c r="O1279" s="32" t="s">
        <v>265</v>
      </c>
    </row>
    <row r="1280" spans="1:15" x14ac:dyDescent="0.3">
      <c r="A1280" s="115" t="s">
        <v>924</v>
      </c>
      <c r="B1280" s="11" t="s">
        <v>258</v>
      </c>
      <c r="C1280" s="30" t="s">
        <v>259</v>
      </c>
      <c r="D1280" s="30" t="s">
        <v>26</v>
      </c>
      <c r="E1280" s="30" t="s">
        <v>33</v>
      </c>
      <c r="F1280" s="30" t="s">
        <v>41</v>
      </c>
      <c r="G1280" s="30" t="s">
        <v>42</v>
      </c>
      <c r="H1280" s="39">
        <v>46083</v>
      </c>
      <c r="I1280" s="79">
        <v>291</v>
      </c>
      <c r="J1280" s="91">
        <v>680</v>
      </c>
      <c r="K1280" s="84">
        <v>7.0000000000000007E-2</v>
      </c>
      <c r="L1280" s="30" t="s">
        <v>30</v>
      </c>
      <c r="M1280" s="160">
        <v>197880</v>
      </c>
      <c r="N1280" s="160">
        <v>184028.4</v>
      </c>
      <c r="O1280" s="30" t="s">
        <v>267</v>
      </c>
    </row>
    <row r="1281" spans="1:15" x14ac:dyDescent="0.3">
      <c r="A1281" s="115" t="s">
        <v>925</v>
      </c>
      <c r="B1281" s="10" t="s">
        <v>38</v>
      </c>
      <c r="C1281" s="32" t="s">
        <v>247</v>
      </c>
      <c r="D1281" s="32" t="s">
        <v>39</v>
      </c>
      <c r="E1281" s="32" t="s">
        <v>45</v>
      </c>
      <c r="F1281" s="32" t="s">
        <v>41</v>
      </c>
      <c r="G1281" s="32" t="s">
        <v>56</v>
      </c>
      <c r="H1281" s="41">
        <v>46085</v>
      </c>
      <c r="I1281" s="81">
        <v>223</v>
      </c>
      <c r="J1281" s="93">
        <v>1200</v>
      </c>
      <c r="K1281" s="86">
        <v>0.15</v>
      </c>
      <c r="L1281" s="32" t="s">
        <v>36</v>
      </c>
      <c r="M1281" s="162">
        <v>267600</v>
      </c>
      <c r="N1281" s="162">
        <v>227460</v>
      </c>
      <c r="O1281" s="32" t="s">
        <v>267</v>
      </c>
    </row>
    <row r="1282" spans="1:15" x14ac:dyDescent="0.3">
      <c r="A1282" s="115" t="s">
        <v>926</v>
      </c>
      <c r="B1282" s="11" t="s">
        <v>38</v>
      </c>
      <c r="C1282" s="30" t="s">
        <v>247</v>
      </c>
      <c r="D1282" s="30" t="s">
        <v>39</v>
      </c>
      <c r="E1282" s="30" t="s">
        <v>51</v>
      </c>
      <c r="F1282" s="30" t="s">
        <v>52</v>
      </c>
      <c r="G1282" s="30" t="s">
        <v>56</v>
      </c>
      <c r="H1282" s="39">
        <v>46085</v>
      </c>
      <c r="I1282" s="79">
        <v>333</v>
      </c>
      <c r="J1282" s="91">
        <v>1200</v>
      </c>
      <c r="K1282" s="84">
        <v>0.08</v>
      </c>
      <c r="L1282" s="30" t="s">
        <v>36</v>
      </c>
      <c r="M1282" s="160">
        <v>399600</v>
      </c>
      <c r="N1282" s="160">
        <v>367632</v>
      </c>
      <c r="O1282" s="30" t="s">
        <v>277</v>
      </c>
    </row>
    <row r="1283" spans="1:15" x14ac:dyDescent="0.3">
      <c r="A1283" s="115" t="s">
        <v>927</v>
      </c>
      <c r="B1283" s="10" t="s">
        <v>63</v>
      </c>
      <c r="C1283" s="32" t="s">
        <v>253</v>
      </c>
      <c r="D1283" s="32" t="s">
        <v>50</v>
      </c>
      <c r="E1283" s="32" t="s">
        <v>27</v>
      </c>
      <c r="F1283" s="32" t="s">
        <v>34</v>
      </c>
      <c r="G1283" s="32" t="s">
        <v>35</v>
      </c>
      <c r="H1283" s="41">
        <v>46085</v>
      </c>
      <c r="I1283" s="81">
        <v>66</v>
      </c>
      <c r="J1283" s="93">
        <v>750</v>
      </c>
      <c r="K1283" s="86">
        <v>0.14000000000000001</v>
      </c>
      <c r="L1283" s="32" t="s">
        <v>30</v>
      </c>
      <c r="M1283" s="162">
        <v>49500</v>
      </c>
      <c r="N1283" s="162">
        <v>42570</v>
      </c>
      <c r="O1283" s="32" t="s">
        <v>265</v>
      </c>
    </row>
    <row r="1284" spans="1:15" x14ac:dyDescent="0.3">
      <c r="A1284" s="115" t="s">
        <v>928</v>
      </c>
      <c r="B1284" s="11" t="s">
        <v>61</v>
      </c>
      <c r="C1284" s="30" t="s">
        <v>244</v>
      </c>
      <c r="D1284" s="30" t="s">
        <v>26</v>
      </c>
      <c r="E1284" s="30" t="s">
        <v>40</v>
      </c>
      <c r="F1284" s="30" t="s">
        <v>41</v>
      </c>
      <c r="G1284" s="30" t="s">
        <v>35</v>
      </c>
      <c r="H1284" s="39">
        <v>46086</v>
      </c>
      <c r="I1284" s="79">
        <v>259</v>
      </c>
      <c r="J1284" s="91">
        <v>280</v>
      </c>
      <c r="K1284" s="84">
        <v>0.05</v>
      </c>
      <c r="L1284" s="30" t="s">
        <v>36</v>
      </c>
      <c r="M1284" s="160">
        <v>72520</v>
      </c>
      <c r="N1284" s="160">
        <v>68894</v>
      </c>
      <c r="O1284" s="30" t="s">
        <v>265</v>
      </c>
    </row>
    <row r="1285" spans="1:15" x14ac:dyDescent="0.3">
      <c r="A1285" s="115" t="s">
        <v>929</v>
      </c>
      <c r="B1285" s="10" t="s">
        <v>61</v>
      </c>
      <c r="C1285" s="32" t="s">
        <v>244</v>
      </c>
      <c r="D1285" s="32" t="s">
        <v>26</v>
      </c>
      <c r="E1285" s="32" t="s">
        <v>33</v>
      </c>
      <c r="F1285" s="32" t="s">
        <v>34</v>
      </c>
      <c r="G1285" s="32" t="s">
        <v>42</v>
      </c>
      <c r="H1285" s="41">
        <v>46086</v>
      </c>
      <c r="I1285" s="81">
        <v>480</v>
      </c>
      <c r="J1285" s="93">
        <v>280</v>
      </c>
      <c r="K1285" s="86">
        <v>0.14000000000000001</v>
      </c>
      <c r="L1285" s="32" t="s">
        <v>30</v>
      </c>
      <c r="M1285" s="162">
        <v>134400</v>
      </c>
      <c r="N1285" s="162">
        <v>115584</v>
      </c>
      <c r="O1285" s="32" t="s">
        <v>267</v>
      </c>
    </row>
    <row r="1286" spans="1:15" x14ac:dyDescent="0.3">
      <c r="A1286" s="115" t="s">
        <v>930</v>
      </c>
      <c r="B1286" s="11" t="s">
        <v>61</v>
      </c>
      <c r="C1286" s="30" t="s">
        <v>244</v>
      </c>
      <c r="D1286" s="30" t="s">
        <v>26</v>
      </c>
      <c r="E1286" s="30" t="s">
        <v>33</v>
      </c>
      <c r="F1286" s="30" t="s">
        <v>28</v>
      </c>
      <c r="G1286" s="30" t="s">
        <v>42</v>
      </c>
      <c r="H1286" s="39">
        <v>46086</v>
      </c>
      <c r="I1286" s="79">
        <v>346</v>
      </c>
      <c r="J1286" s="91">
        <v>280</v>
      </c>
      <c r="K1286" s="84">
        <v>0.11</v>
      </c>
      <c r="L1286" s="30" t="s">
        <v>30</v>
      </c>
      <c r="M1286" s="160">
        <v>96880</v>
      </c>
      <c r="N1286" s="160">
        <v>86223.2</v>
      </c>
      <c r="O1286" s="30" t="s">
        <v>265</v>
      </c>
    </row>
    <row r="1287" spans="1:15" x14ac:dyDescent="0.3">
      <c r="A1287" s="115" t="s">
        <v>931</v>
      </c>
      <c r="B1287" s="10" t="s">
        <v>258</v>
      </c>
      <c r="C1287" s="32" t="s">
        <v>259</v>
      </c>
      <c r="D1287" s="32" t="s">
        <v>26</v>
      </c>
      <c r="E1287" s="32" t="s">
        <v>33</v>
      </c>
      <c r="F1287" s="32" t="s">
        <v>34</v>
      </c>
      <c r="G1287" s="32" t="s">
        <v>53</v>
      </c>
      <c r="H1287" s="41">
        <v>46087</v>
      </c>
      <c r="I1287" s="81">
        <v>181</v>
      </c>
      <c r="J1287" s="93">
        <v>680</v>
      </c>
      <c r="K1287" s="86">
        <v>0.13</v>
      </c>
      <c r="L1287" s="32" t="s">
        <v>30</v>
      </c>
      <c r="M1287" s="162">
        <v>123080</v>
      </c>
      <c r="N1287" s="162">
        <v>107079.6</v>
      </c>
      <c r="O1287" s="32" t="s">
        <v>267</v>
      </c>
    </row>
    <row r="1288" spans="1:15" x14ac:dyDescent="0.3">
      <c r="A1288" s="115" t="s">
        <v>932</v>
      </c>
      <c r="B1288" s="11" t="s">
        <v>16</v>
      </c>
      <c r="C1288" s="30" t="s">
        <v>250</v>
      </c>
      <c r="D1288" s="30" t="s">
        <v>39</v>
      </c>
      <c r="E1288" s="30" t="s">
        <v>33</v>
      </c>
      <c r="F1288" s="30" t="s">
        <v>52</v>
      </c>
      <c r="G1288" s="30" t="s">
        <v>56</v>
      </c>
      <c r="H1288" s="39">
        <v>46087</v>
      </c>
      <c r="I1288" s="79">
        <v>119</v>
      </c>
      <c r="J1288" s="91">
        <v>990</v>
      </c>
      <c r="K1288" s="84">
        <v>0.13</v>
      </c>
      <c r="L1288" s="30" t="s">
        <v>36</v>
      </c>
      <c r="M1288" s="160">
        <v>117810</v>
      </c>
      <c r="N1288" s="160">
        <v>102494.7</v>
      </c>
      <c r="O1288" s="30" t="s">
        <v>267</v>
      </c>
    </row>
    <row r="1289" spans="1:15" x14ac:dyDescent="0.3">
      <c r="A1289" s="115" t="s">
        <v>933</v>
      </c>
      <c r="B1289" s="10" t="s">
        <v>55</v>
      </c>
      <c r="C1289" s="32" t="s">
        <v>249</v>
      </c>
      <c r="D1289" s="32" t="s">
        <v>39</v>
      </c>
      <c r="E1289" s="32" t="s">
        <v>33</v>
      </c>
      <c r="F1289" s="32" t="s">
        <v>34</v>
      </c>
      <c r="G1289" s="32" t="s">
        <v>29</v>
      </c>
      <c r="H1289" s="41">
        <v>46087</v>
      </c>
      <c r="I1289" s="81">
        <v>229</v>
      </c>
      <c r="J1289" s="93">
        <v>650</v>
      </c>
      <c r="K1289" s="86">
        <v>0.03</v>
      </c>
      <c r="L1289" s="32" t="s">
        <v>36</v>
      </c>
      <c r="M1289" s="162">
        <v>148850</v>
      </c>
      <c r="N1289" s="162">
        <v>144384.5</v>
      </c>
      <c r="O1289" s="32" t="s">
        <v>267</v>
      </c>
    </row>
    <row r="1290" spans="1:15" x14ac:dyDescent="0.3">
      <c r="A1290" s="115" t="s">
        <v>934</v>
      </c>
      <c r="B1290" s="11" t="s">
        <v>16</v>
      </c>
      <c r="C1290" s="30" t="s">
        <v>250</v>
      </c>
      <c r="D1290" s="30" t="s">
        <v>39</v>
      </c>
      <c r="E1290" s="30" t="s">
        <v>40</v>
      </c>
      <c r="F1290" s="30" t="s">
        <v>28</v>
      </c>
      <c r="G1290" s="30" t="s">
        <v>42</v>
      </c>
      <c r="H1290" s="39">
        <v>46088</v>
      </c>
      <c r="I1290" s="79">
        <v>330</v>
      </c>
      <c r="J1290" s="91">
        <v>990</v>
      </c>
      <c r="K1290" s="84">
        <v>0.08</v>
      </c>
      <c r="L1290" s="30" t="s">
        <v>36</v>
      </c>
      <c r="M1290" s="160">
        <v>326700</v>
      </c>
      <c r="N1290" s="160">
        <v>300564</v>
      </c>
      <c r="O1290" s="30" t="s">
        <v>267</v>
      </c>
    </row>
    <row r="1291" spans="1:15" x14ac:dyDescent="0.3">
      <c r="A1291" s="115" t="s">
        <v>935</v>
      </c>
      <c r="B1291" s="10" t="s">
        <v>262</v>
      </c>
      <c r="C1291" s="32" t="s">
        <v>263</v>
      </c>
      <c r="D1291" s="32" t="s">
        <v>50</v>
      </c>
      <c r="E1291" s="32" t="s">
        <v>27</v>
      </c>
      <c r="F1291" s="32" t="s">
        <v>34</v>
      </c>
      <c r="G1291" s="32" t="s">
        <v>29</v>
      </c>
      <c r="H1291" s="41">
        <v>46088</v>
      </c>
      <c r="I1291" s="81">
        <v>190</v>
      </c>
      <c r="J1291" s="93">
        <v>820</v>
      </c>
      <c r="K1291" s="86">
        <v>0.12</v>
      </c>
      <c r="L1291" s="32" t="s">
        <v>30</v>
      </c>
      <c r="M1291" s="162">
        <v>155800</v>
      </c>
      <c r="N1291" s="162">
        <v>137104</v>
      </c>
      <c r="O1291" s="32" t="s">
        <v>267</v>
      </c>
    </row>
    <row r="1292" spans="1:15" x14ac:dyDescent="0.3">
      <c r="A1292" s="115" t="s">
        <v>936</v>
      </c>
      <c r="B1292" s="11" t="s">
        <v>258</v>
      </c>
      <c r="C1292" s="30" t="s">
        <v>259</v>
      </c>
      <c r="D1292" s="30" t="s">
        <v>26</v>
      </c>
      <c r="E1292" s="30" t="s">
        <v>27</v>
      </c>
      <c r="F1292" s="30" t="s">
        <v>34</v>
      </c>
      <c r="G1292" s="30" t="s">
        <v>29</v>
      </c>
      <c r="H1292" s="39">
        <v>46088</v>
      </c>
      <c r="I1292" s="79">
        <v>311</v>
      </c>
      <c r="J1292" s="91">
        <v>680</v>
      </c>
      <c r="K1292" s="84">
        <v>0.15</v>
      </c>
      <c r="L1292" s="30" t="s">
        <v>36</v>
      </c>
      <c r="M1292" s="160">
        <v>211480</v>
      </c>
      <c r="N1292" s="160">
        <v>179758</v>
      </c>
      <c r="O1292" s="30" t="s">
        <v>267</v>
      </c>
    </row>
    <row r="1293" spans="1:15" x14ac:dyDescent="0.3">
      <c r="A1293" s="115" t="s">
        <v>937</v>
      </c>
      <c r="B1293" s="10" t="s">
        <v>38</v>
      </c>
      <c r="C1293" s="32" t="s">
        <v>247</v>
      </c>
      <c r="D1293" s="32" t="s">
        <v>39</v>
      </c>
      <c r="E1293" s="32" t="s">
        <v>51</v>
      </c>
      <c r="F1293" s="32" t="s">
        <v>34</v>
      </c>
      <c r="G1293" s="32" t="s">
        <v>35</v>
      </c>
      <c r="H1293" s="41">
        <v>46089</v>
      </c>
      <c r="I1293" s="81">
        <v>244</v>
      </c>
      <c r="J1293" s="93">
        <v>1200</v>
      </c>
      <c r="K1293" s="86">
        <v>0</v>
      </c>
      <c r="L1293" s="32" t="s">
        <v>30</v>
      </c>
      <c r="M1293" s="162">
        <v>292800</v>
      </c>
      <c r="N1293" s="162">
        <v>292800</v>
      </c>
      <c r="O1293" s="32" t="s">
        <v>267</v>
      </c>
    </row>
    <row r="1294" spans="1:15" x14ac:dyDescent="0.3">
      <c r="A1294" s="115" t="s">
        <v>938</v>
      </c>
      <c r="B1294" s="11" t="s">
        <v>44</v>
      </c>
      <c r="C1294" s="30" t="s">
        <v>254</v>
      </c>
      <c r="D1294" s="30" t="s">
        <v>39</v>
      </c>
      <c r="E1294" s="30" t="s">
        <v>45</v>
      </c>
      <c r="F1294" s="30" t="s">
        <v>52</v>
      </c>
      <c r="G1294" s="30" t="s">
        <v>35</v>
      </c>
      <c r="H1294" s="39">
        <v>46089</v>
      </c>
      <c r="I1294" s="79">
        <v>302</v>
      </c>
      <c r="J1294" s="91">
        <v>200</v>
      </c>
      <c r="K1294" s="84">
        <v>0.13</v>
      </c>
      <c r="L1294" s="30" t="s">
        <v>30</v>
      </c>
      <c r="M1294" s="160">
        <v>60400</v>
      </c>
      <c r="N1294" s="160">
        <v>52548</v>
      </c>
      <c r="O1294" s="30" t="s">
        <v>265</v>
      </c>
    </row>
    <row r="1295" spans="1:15" x14ac:dyDescent="0.3">
      <c r="A1295" s="115" t="s">
        <v>939</v>
      </c>
      <c r="B1295" s="10" t="s">
        <v>260</v>
      </c>
      <c r="C1295" s="32" t="s">
        <v>261</v>
      </c>
      <c r="D1295" s="32" t="s">
        <v>39</v>
      </c>
      <c r="E1295" s="32" t="s">
        <v>45</v>
      </c>
      <c r="F1295" s="32" t="s">
        <v>52</v>
      </c>
      <c r="G1295" s="32" t="s">
        <v>53</v>
      </c>
      <c r="H1295" s="41">
        <v>46089</v>
      </c>
      <c r="I1295" s="81">
        <v>379</v>
      </c>
      <c r="J1295" s="93">
        <v>450</v>
      </c>
      <c r="K1295" s="86">
        <v>0</v>
      </c>
      <c r="L1295" s="32" t="s">
        <v>36</v>
      </c>
      <c r="M1295" s="162">
        <v>170550</v>
      </c>
      <c r="N1295" s="162">
        <v>170550</v>
      </c>
      <c r="O1295" s="32" t="s">
        <v>267</v>
      </c>
    </row>
    <row r="1296" spans="1:15" x14ac:dyDescent="0.3">
      <c r="A1296" s="115" t="s">
        <v>940</v>
      </c>
      <c r="B1296" s="11" t="s">
        <v>262</v>
      </c>
      <c r="C1296" s="30" t="s">
        <v>263</v>
      </c>
      <c r="D1296" s="30" t="s">
        <v>50</v>
      </c>
      <c r="E1296" s="30" t="s">
        <v>33</v>
      </c>
      <c r="F1296" s="30" t="s">
        <v>52</v>
      </c>
      <c r="G1296" s="30" t="s">
        <v>47</v>
      </c>
      <c r="H1296" s="39">
        <v>46091</v>
      </c>
      <c r="I1296" s="79">
        <v>349</v>
      </c>
      <c r="J1296" s="91">
        <v>820</v>
      </c>
      <c r="K1296" s="84">
        <v>0.1</v>
      </c>
      <c r="L1296" s="30" t="s">
        <v>30</v>
      </c>
      <c r="M1296" s="160">
        <v>286180</v>
      </c>
      <c r="N1296" s="160">
        <v>257562</v>
      </c>
      <c r="O1296" s="30" t="s">
        <v>267</v>
      </c>
    </row>
    <row r="1297" spans="1:15" x14ac:dyDescent="0.3">
      <c r="A1297" s="115" t="s">
        <v>941</v>
      </c>
      <c r="B1297" s="10" t="s">
        <v>63</v>
      </c>
      <c r="C1297" s="32" t="s">
        <v>253</v>
      </c>
      <c r="D1297" s="32" t="s">
        <v>50</v>
      </c>
      <c r="E1297" s="32" t="s">
        <v>45</v>
      </c>
      <c r="F1297" s="32" t="s">
        <v>28</v>
      </c>
      <c r="G1297" s="32" t="s">
        <v>56</v>
      </c>
      <c r="H1297" s="41">
        <v>46092</v>
      </c>
      <c r="I1297" s="81">
        <v>145</v>
      </c>
      <c r="J1297" s="93">
        <v>750</v>
      </c>
      <c r="K1297" s="86">
        <v>0.13</v>
      </c>
      <c r="L1297" s="32" t="s">
        <v>36</v>
      </c>
      <c r="M1297" s="162">
        <v>108750</v>
      </c>
      <c r="N1297" s="162">
        <v>94612.5</v>
      </c>
      <c r="O1297" s="32" t="s">
        <v>265</v>
      </c>
    </row>
    <row r="1298" spans="1:15" x14ac:dyDescent="0.3">
      <c r="A1298" s="115" t="s">
        <v>942</v>
      </c>
      <c r="B1298" s="11" t="s">
        <v>25</v>
      </c>
      <c r="C1298" s="30" t="s">
        <v>257</v>
      </c>
      <c r="D1298" s="30" t="s">
        <v>26</v>
      </c>
      <c r="E1298" s="30" t="s">
        <v>27</v>
      </c>
      <c r="F1298" s="30" t="s">
        <v>28</v>
      </c>
      <c r="G1298" s="30" t="s">
        <v>42</v>
      </c>
      <c r="H1298" s="39">
        <v>46092</v>
      </c>
      <c r="I1298" s="79">
        <v>316</v>
      </c>
      <c r="J1298" s="91">
        <v>350</v>
      </c>
      <c r="K1298" s="84">
        <v>0.14000000000000001</v>
      </c>
      <c r="L1298" s="30" t="s">
        <v>30</v>
      </c>
      <c r="M1298" s="160">
        <v>110600</v>
      </c>
      <c r="N1298" s="160">
        <v>95116</v>
      </c>
      <c r="O1298" s="30" t="s">
        <v>265</v>
      </c>
    </row>
    <row r="1299" spans="1:15" x14ac:dyDescent="0.3">
      <c r="A1299" s="115" t="s">
        <v>943</v>
      </c>
      <c r="B1299" s="10" t="s">
        <v>61</v>
      </c>
      <c r="C1299" s="32" t="s">
        <v>244</v>
      </c>
      <c r="D1299" s="32" t="s">
        <v>26</v>
      </c>
      <c r="E1299" s="32" t="s">
        <v>51</v>
      </c>
      <c r="F1299" s="32" t="s">
        <v>34</v>
      </c>
      <c r="G1299" s="32" t="s">
        <v>42</v>
      </c>
      <c r="H1299" s="41">
        <v>46092</v>
      </c>
      <c r="I1299" s="81">
        <v>443</v>
      </c>
      <c r="J1299" s="93">
        <v>280</v>
      </c>
      <c r="K1299" s="86">
        <v>0.1</v>
      </c>
      <c r="L1299" s="32" t="s">
        <v>30</v>
      </c>
      <c r="M1299" s="162">
        <v>124040</v>
      </c>
      <c r="N1299" s="162">
        <v>111636</v>
      </c>
      <c r="O1299" s="32" t="s">
        <v>267</v>
      </c>
    </row>
    <row r="1300" spans="1:15" x14ac:dyDescent="0.3">
      <c r="A1300" s="115" t="s">
        <v>944</v>
      </c>
      <c r="B1300" s="11" t="s">
        <v>25</v>
      </c>
      <c r="C1300" s="30" t="s">
        <v>257</v>
      </c>
      <c r="D1300" s="30" t="s">
        <v>26</v>
      </c>
      <c r="E1300" s="30" t="s">
        <v>27</v>
      </c>
      <c r="F1300" s="30" t="s">
        <v>34</v>
      </c>
      <c r="G1300" s="30" t="s">
        <v>47</v>
      </c>
      <c r="H1300" s="39">
        <v>46094</v>
      </c>
      <c r="I1300" s="79">
        <v>157</v>
      </c>
      <c r="J1300" s="91">
        <v>350</v>
      </c>
      <c r="K1300" s="84">
        <v>0.03</v>
      </c>
      <c r="L1300" s="30" t="s">
        <v>30</v>
      </c>
      <c r="M1300" s="160">
        <v>54950</v>
      </c>
      <c r="N1300" s="160">
        <v>53301.5</v>
      </c>
      <c r="O1300" s="30" t="s">
        <v>265</v>
      </c>
    </row>
    <row r="1301" spans="1:15" x14ac:dyDescent="0.3">
      <c r="A1301" s="115" t="s">
        <v>945</v>
      </c>
      <c r="B1301" s="10" t="s">
        <v>44</v>
      </c>
      <c r="C1301" s="32" t="s">
        <v>254</v>
      </c>
      <c r="D1301" s="32" t="s">
        <v>39</v>
      </c>
      <c r="E1301" s="32" t="s">
        <v>40</v>
      </c>
      <c r="F1301" s="32" t="s">
        <v>52</v>
      </c>
      <c r="G1301" s="32" t="s">
        <v>56</v>
      </c>
      <c r="H1301" s="41">
        <v>46094</v>
      </c>
      <c r="I1301" s="81">
        <v>454</v>
      </c>
      <c r="J1301" s="93">
        <v>200</v>
      </c>
      <c r="K1301" s="86">
        <v>0</v>
      </c>
      <c r="L1301" s="32" t="s">
        <v>30</v>
      </c>
      <c r="M1301" s="162">
        <v>90800</v>
      </c>
      <c r="N1301" s="162">
        <v>90800</v>
      </c>
      <c r="O1301" s="32" t="s">
        <v>265</v>
      </c>
    </row>
    <row r="1302" spans="1:15" x14ac:dyDescent="0.3">
      <c r="A1302" s="115" t="s">
        <v>946</v>
      </c>
      <c r="B1302" s="11" t="s">
        <v>38</v>
      </c>
      <c r="C1302" s="30" t="s">
        <v>247</v>
      </c>
      <c r="D1302" s="30" t="s">
        <v>39</v>
      </c>
      <c r="E1302" s="30" t="s">
        <v>40</v>
      </c>
      <c r="F1302" s="30" t="s">
        <v>28</v>
      </c>
      <c r="G1302" s="30" t="s">
        <v>56</v>
      </c>
      <c r="H1302" s="39">
        <v>46095</v>
      </c>
      <c r="I1302" s="79">
        <v>195</v>
      </c>
      <c r="J1302" s="91">
        <v>1200</v>
      </c>
      <c r="K1302" s="84">
        <v>0.11</v>
      </c>
      <c r="L1302" s="30" t="s">
        <v>30</v>
      </c>
      <c r="M1302" s="160">
        <v>234000</v>
      </c>
      <c r="N1302" s="160">
        <v>208260</v>
      </c>
      <c r="O1302" s="30" t="s">
        <v>267</v>
      </c>
    </row>
    <row r="1303" spans="1:15" x14ac:dyDescent="0.3">
      <c r="A1303" s="115" t="s">
        <v>947</v>
      </c>
      <c r="B1303" s="10" t="s">
        <v>32</v>
      </c>
      <c r="C1303" s="32" t="s">
        <v>246</v>
      </c>
      <c r="D1303" s="32" t="s">
        <v>26</v>
      </c>
      <c r="E1303" s="32" t="s">
        <v>40</v>
      </c>
      <c r="F1303" s="32" t="s">
        <v>41</v>
      </c>
      <c r="G1303" s="32" t="s">
        <v>35</v>
      </c>
      <c r="H1303" s="41">
        <v>46095</v>
      </c>
      <c r="I1303" s="81">
        <v>96</v>
      </c>
      <c r="J1303" s="93">
        <v>420</v>
      </c>
      <c r="K1303" s="86">
        <v>0</v>
      </c>
      <c r="L1303" s="32" t="s">
        <v>30</v>
      </c>
      <c r="M1303" s="162">
        <v>40320</v>
      </c>
      <c r="N1303" s="162">
        <v>40320</v>
      </c>
      <c r="O1303" s="32" t="s">
        <v>265</v>
      </c>
    </row>
    <row r="1304" spans="1:15" x14ac:dyDescent="0.3">
      <c r="A1304" s="115" t="s">
        <v>948</v>
      </c>
      <c r="B1304" s="11" t="s">
        <v>25</v>
      </c>
      <c r="C1304" s="30" t="s">
        <v>257</v>
      </c>
      <c r="D1304" s="30" t="s">
        <v>26</v>
      </c>
      <c r="E1304" s="30" t="s">
        <v>27</v>
      </c>
      <c r="F1304" s="30" t="s">
        <v>28</v>
      </c>
      <c r="G1304" s="30" t="s">
        <v>47</v>
      </c>
      <c r="H1304" s="39">
        <v>46095</v>
      </c>
      <c r="I1304" s="79">
        <v>73</v>
      </c>
      <c r="J1304" s="91">
        <v>350</v>
      </c>
      <c r="K1304" s="84">
        <v>0.08</v>
      </c>
      <c r="L1304" s="30" t="s">
        <v>30</v>
      </c>
      <c r="M1304" s="160">
        <v>25550</v>
      </c>
      <c r="N1304" s="160">
        <v>23506</v>
      </c>
      <c r="O1304" s="30" t="s">
        <v>265</v>
      </c>
    </row>
    <row r="1305" spans="1:15" x14ac:dyDescent="0.3">
      <c r="A1305" s="115" t="s">
        <v>949</v>
      </c>
      <c r="B1305" s="10" t="s">
        <v>16</v>
      </c>
      <c r="C1305" s="32" t="s">
        <v>250</v>
      </c>
      <c r="D1305" s="32" t="s">
        <v>39</v>
      </c>
      <c r="E1305" s="32" t="s">
        <v>45</v>
      </c>
      <c r="F1305" s="32" t="s">
        <v>34</v>
      </c>
      <c r="G1305" s="32" t="s">
        <v>47</v>
      </c>
      <c r="H1305" s="41">
        <v>46097</v>
      </c>
      <c r="I1305" s="81">
        <v>270</v>
      </c>
      <c r="J1305" s="93">
        <v>990</v>
      </c>
      <c r="K1305" s="86">
        <v>0.13</v>
      </c>
      <c r="L1305" s="32" t="s">
        <v>36</v>
      </c>
      <c r="M1305" s="162">
        <v>267300</v>
      </c>
      <c r="N1305" s="162">
        <v>232551</v>
      </c>
      <c r="O1305" s="32" t="s">
        <v>267</v>
      </c>
    </row>
    <row r="1306" spans="1:15" x14ac:dyDescent="0.3">
      <c r="A1306" s="115" t="s">
        <v>950</v>
      </c>
      <c r="B1306" s="11" t="s">
        <v>49</v>
      </c>
      <c r="C1306" s="30" t="s">
        <v>251</v>
      </c>
      <c r="D1306" s="30" t="s">
        <v>50</v>
      </c>
      <c r="E1306" s="30" t="s">
        <v>33</v>
      </c>
      <c r="F1306" s="30" t="s">
        <v>34</v>
      </c>
      <c r="G1306" s="30" t="s">
        <v>47</v>
      </c>
      <c r="H1306" s="39">
        <v>46097</v>
      </c>
      <c r="I1306" s="79">
        <v>268</v>
      </c>
      <c r="J1306" s="91">
        <v>895</v>
      </c>
      <c r="K1306" s="84">
        <v>0.1</v>
      </c>
      <c r="L1306" s="30" t="s">
        <v>36</v>
      </c>
      <c r="M1306" s="160">
        <v>239860</v>
      </c>
      <c r="N1306" s="160">
        <v>215874</v>
      </c>
      <c r="O1306" s="30" t="s">
        <v>267</v>
      </c>
    </row>
    <row r="1307" spans="1:15" x14ac:dyDescent="0.3">
      <c r="A1307" s="115" t="s">
        <v>951</v>
      </c>
      <c r="B1307" s="10" t="s">
        <v>38</v>
      </c>
      <c r="C1307" s="32" t="s">
        <v>247</v>
      </c>
      <c r="D1307" s="32" t="s">
        <v>39</v>
      </c>
      <c r="E1307" s="32" t="s">
        <v>40</v>
      </c>
      <c r="F1307" s="32" t="s">
        <v>46</v>
      </c>
      <c r="G1307" s="32" t="s">
        <v>35</v>
      </c>
      <c r="H1307" s="41">
        <v>46097</v>
      </c>
      <c r="I1307" s="81">
        <v>175</v>
      </c>
      <c r="J1307" s="93">
        <v>1200</v>
      </c>
      <c r="K1307" s="86">
        <v>0.14000000000000001</v>
      </c>
      <c r="L1307" s="32" t="s">
        <v>30</v>
      </c>
      <c r="M1307" s="162">
        <v>210000</v>
      </c>
      <c r="N1307" s="162">
        <v>180600</v>
      </c>
      <c r="O1307" s="32" t="s">
        <v>267</v>
      </c>
    </row>
    <row r="1308" spans="1:15" x14ac:dyDescent="0.3">
      <c r="A1308" s="115" t="s">
        <v>952</v>
      </c>
      <c r="B1308" s="11" t="s">
        <v>44</v>
      </c>
      <c r="C1308" s="30" t="s">
        <v>254</v>
      </c>
      <c r="D1308" s="30" t="s">
        <v>39</v>
      </c>
      <c r="E1308" s="30" t="s">
        <v>33</v>
      </c>
      <c r="F1308" s="30" t="s">
        <v>34</v>
      </c>
      <c r="G1308" s="30" t="s">
        <v>35</v>
      </c>
      <c r="H1308" s="39">
        <v>46098</v>
      </c>
      <c r="I1308" s="79">
        <v>409</v>
      </c>
      <c r="J1308" s="91">
        <v>200</v>
      </c>
      <c r="K1308" s="84">
        <v>0.03</v>
      </c>
      <c r="L1308" s="30" t="s">
        <v>36</v>
      </c>
      <c r="M1308" s="160">
        <v>81800</v>
      </c>
      <c r="N1308" s="160">
        <v>79346</v>
      </c>
      <c r="O1308" s="30" t="s">
        <v>265</v>
      </c>
    </row>
    <row r="1309" spans="1:15" x14ac:dyDescent="0.3">
      <c r="A1309" s="115" t="s">
        <v>953</v>
      </c>
      <c r="B1309" s="10" t="s">
        <v>16</v>
      </c>
      <c r="C1309" s="32" t="s">
        <v>250</v>
      </c>
      <c r="D1309" s="32" t="s">
        <v>39</v>
      </c>
      <c r="E1309" s="32" t="s">
        <v>27</v>
      </c>
      <c r="F1309" s="32" t="s">
        <v>28</v>
      </c>
      <c r="G1309" s="32" t="s">
        <v>56</v>
      </c>
      <c r="H1309" s="41">
        <v>46099</v>
      </c>
      <c r="I1309" s="81">
        <v>384</v>
      </c>
      <c r="J1309" s="93">
        <v>990</v>
      </c>
      <c r="K1309" s="86">
        <v>0.05</v>
      </c>
      <c r="L1309" s="32" t="s">
        <v>36</v>
      </c>
      <c r="M1309" s="162">
        <v>380160</v>
      </c>
      <c r="N1309" s="162">
        <v>361152</v>
      </c>
      <c r="O1309" s="32" t="s">
        <v>277</v>
      </c>
    </row>
    <row r="1310" spans="1:15" x14ac:dyDescent="0.3">
      <c r="A1310" s="115" t="s">
        <v>954</v>
      </c>
      <c r="B1310" s="11" t="s">
        <v>44</v>
      </c>
      <c r="C1310" s="30" t="s">
        <v>254</v>
      </c>
      <c r="D1310" s="30" t="s">
        <v>39</v>
      </c>
      <c r="E1310" s="30" t="s">
        <v>27</v>
      </c>
      <c r="F1310" s="30" t="s">
        <v>28</v>
      </c>
      <c r="G1310" s="30" t="s">
        <v>42</v>
      </c>
      <c r="H1310" s="39">
        <v>46101</v>
      </c>
      <c r="I1310" s="79">
        <v>92</v>
      </c>
      <c r="J1310" s="91">
        <v>200</v>
      </c>
      <c r="K1310" s="84">
        <v>0.08</v>
      </c>
      <c r="L1310" s="30" t="s">
        <v>30</v>
      </c>
      <c r="M1310" s="160">
        <v>18400</v>
      </c>
      <c r="N1310" s="160">
        <v>16928</v>
      </c>
      <c r="O1310" s="30" t="s">
        <v>265</v>
      </c>
    </row>
    <row r="1311" spans="1:15" x14ac:dyDescent="0.3">
      <c r="A1311" s="115" t="s">
        <v>955</v>
      </c>
      <c r="B1311" s="10" t="s">
        <v>260</v>
      </c>
      <c r="C1311" s="32" t="s">
        <v>261</v>
      </c>
      <c r="D1311" s="32" t="s">
        <v>39</v>
      </c>
      <c r="E1311" s="32" t="s">
        <v>45</v>
      </c>
      <c r="F1311" s="32" t="s">
        <v>41</v>
      </c>
      <c r="G1311" s="32" t="s">
        <v>53</v>
      </c>
      <c r="H1311" s="41">
        <v>46101</v>
      </c>
      <c r="I1311" s="81">
        <v>214</v>
      </c>
      <c r="J1311" s="93">
        <v>450</v>
      </c>
      <c r="K1311" s="86">
        <v>0</v>
      </c>
      <c r="L1311" s="32" t="s">
        <v>30</v>
      </c>
      <c r="M1311" s="162">
        <v>96300</v>
      </c>
      <c r="N1311" s="162">
        <v>96300</v>
      </c>
      <c r="O1311" s="32" t="s">
        <v>265</v>
      </c>
    </row>
    <row r="1312" spans="1:15" x14ac:dyDescent="0.3">
      <c r="A1312" s="115" t="s">
        <v>956</v>
      </c>
      <c r="B1312" s="11" t="s">
        <v>63</v>
      </c>
      <c r="C1312" s="30" t="s">
        <v>253</v>
      </c>
      <c r="D1312" s="30" t="s">
        <v>50</v>
      </c>
      <c r="E1312" s="30" t="s">
        <v>51</v>
      </c>
      <c r="F1312" s="30" t="s">
        <v>41</v>
      </c>
      <c r="G1312" s="30" t="s">
        <v>56</v>
      </c>
      <c r="H1312" s="39">
        <v>46102</v>
      </c>
      <c r="I1312" s="79">
        <v>323</v>
      </c>
      <c r="J1312" s="91">
        <v>750</v>
      </c>
      <c r="K1312" s="84">
        <v>0</v>
      </c>
      <c r="L1312" s="30" t="s">
        <v>36</v>
      </c>
      <c r="M1312" s="160">
        <v>242250</v>
      </c>
      <c r="N1312" s="160">
        <v>242250</v>
      </c>
      <c r="O1312" s="30" t="s">
        <v>267</v>
      </c>
    </row>
    <row r="1313" spans="1:15" x14ac:dyDescent="0.3">
      <c r="A1313" s="115" t="s">
        <v>957</v>
      </c>
      <c r="B1313" s="10" t="s">
        <v>44</v>
      </c>
      <c r="C1313" s="32" t="s">
        <v>254</v>
      </c>
      <c r="D1313" s="32" t="s">
        <v>39</v>
      </c>
      <c r="E1313" s="32" t="s">
        <v>27</v>
      </c>
      <c r="F1313" s="32" t="s">
        <v>52</v>
      </c>
      <c r="G1313" s="32" t="s">
        <v>42</v>
      </c>
      <c r="H1313" s="41">
        <v>46102</v>
      </c>
      <c r="I1313" s="81">
        <v>282</v>
      </c>
      <c r="J1313" s="93">
        <v>200</v>
      </c>
      <c r="K1313" s="86">
        <v>0.03</v>
      </c>
      <c r="L1313" s="32" t="s">
        <v>30</v>
      </c>
      <c r="M1313" s="162">
        <v>56400</v>
      </c>
      <c r="N1313" s="162">
        <v>54708</v>
      </c>
      <c r="O1313" s="32" t="s">
        <v>265</v>
      </c>
    </row>
    <row r="1314" spans="1:15" x14ac:dyDescent="0.3">
      <c r="A1314" s="115" t="s">
        <v>958</v>
      </c>
      <c r="B1314" s="11" t="s">
        <v>49</v>
      </c>
      <c r="C1314" s="30" t="s">
        <v>251</v>
      </c>
      <c r="D1314" s="30" t="s">
        <v>50</v>
      </c>
      <c r="E1314" s="30" t="s">
        <v>40</v>
      </c>
      <c r="F1314" s="30" t="s">
        <v>28</v>
      </c>
      <c r="G1314" s="30" t="s">
        <v>42</v>
      </c>
      <c r="H1314" s="39">
        <v>46102</v>
      </c>
      <c r="I1314" s="79">
        <v>119</v>
      </c>
      <c r="J1314" s="91">
        <v>895</v>
      </c>
      <c r="K1314" s="84">
        <v>0.15</v>
      </c>
      <c r="L1314" s="30" t="s">
        <v>36</v>
      </c>
      <c r="M1314" s="160">
        <v>106505</v>
      </c>
      <c r="N1314" s="160">
        <v>90529.25</v>
      </c>
      <c r="O1314" s="30" t="s">
        <v>265</v>
      </c>
    </row>
    <row r="1315" spans="1:15" x14ac:dyDescent="0.3">
      <c r="A1315" s="115" t="s">
        <v>959</v>
      </c>
      <c r="B1315" s="10" t="s">
        <v>258</v>
      </c>
      <c r="C1315" s="32" t="s">
        <v>259</v>
      </c>
      <c r="D1315" s="32" t="s">
        <v>26</v>
      </c>
      <c r="E1315" s="32" t="s">
        <v>51</v>
      </c>
      <c r="F1315" s="32" t="s">
        <v>52</v>
      </c>
      <c r="G1315" s="32" t="s">
        <v>56</v>
      </c>
      <c r="H1315" s="41">
        <v>46103</v>
      </c>
      <c r="I1315" s="81">
        <v>432</v>
      </c>
      <c r="J1315" s="93">
        <v>680</v>
      </c>
      <c r="K1315" s="86">
        <v>0.12</v>
      </c>
      <c r="L1315" s="32" t="s">
        <v>30</v>
      </c>
      <c r="M1315" s="162">
        <v>293760</v>
      </c>
      <c r="N1315" s="162">
        <v>258508.79999999999</v>
      </c>
      <c r="O1315" s="32" t="s">
        <v>267</v>
      </c>
    </row>
    <row r="1316" spans="1:15" x14ac:dyDescent="0.3">
      <c r="A1316" s="115" t="s">
        <v>960</v>
      </c>
      <c r="B1316" s="11" t="s">
        <v>55</v>
      </c>
      <c r="C1316" s="30" t="s">
        <v>249</v>
      </c>
      <c r="D1316" s="30" t="s">
        <v>39</v>
      </c>
      <c r="E1316" s="30" t="s">
        <v>33</v>
      </c>
      <c r="F1316" s="30" t="s">
        <v>52</v>
      </c>
      <c r="G1316" s="30" t="s">
        <v>35</v>
      </c>
      <c r="H1316" s="39">
        <v>46103</v>
      </c>
      <c r="I1316" s="79">
        <v>267</v>
      </c>
      <c r="J1316" s="91">
        <v>650</v>
      </c>
      <c r="K1316" s="84">
        <v>0.12</v>
      </c>
      <c r="L1316" s="30" t="s">
        <v>30</v>
      </c>
      <c r="M1316" s="160">
        <v>173550</v>
      </c>
      <c r="N1316" s="160">
        <v>152724</v>
      </c>
      <c r="O1316" s="30" t="s">
        <v>267</v>
      </c>
    </row>
    <row r="1317" spans="1:15" x14ac:dyDescent="0.3">
      <c r="A1317" s="115" t="s">
        <v>961</v>
      </c>
      <c r="B1317" s="10" t="s">
        <v>258</v>
      </c>
      <c r="C1317" s="32" t="s">
        <v>259</v>
      </c>
      <c r="D1317" s="32" t="s">
        <v>26</v>
      </c>
      <c r="E1317" s="32" t="s">
        <v>40</v>
      </c>
      <c r="F1317" s="32" t="s">
        <v>34</v>
      </c>
      <c r="G1317" s="32" t="s">
        <v>29</v>
      </c>
      <c r="H1317" s="41">
        <v>46103</v>
      </c>
      <c r="I1317" s="81">
        <v>116</v>
      </c>
      <c r="J1317" s="93">
        <v>680</v>
      </c>
      <c r="K1317" s="86">
        <v>0.15</v>
      </c>
      <c r="L1317" s="32" t="s">
        <v>30</v>
      </c>
      <c r="M1317" s="162">
        <v>78880</v>
      </c>
      <c r="N1317" s="162">
        <v>67048</v>
      </c>
      <c r="O1317" s="32" t="s">
        <v>265</v>
      </c>
    </row>
    <row r="1318" spans="1:15" x14ac:dyDescent="0.3">
      <c r="A1318" s="115" t="s">
        <v>962</v>
      </c>
      <c r="B1318" s="11" t="s">
        <v>44</v>
      </c>
      <c r="C1318" s="30" t="s">
        <v>254</v>
      </c>
      <c r="D1318" s="30" t="s">
        <v>39</v>
      </c>
      <c r="E1318" s="30" t="s">
        <v>40</v>
      </c>
      <c r="F1318" s="30" t="s">
        <v>34</v>
      </c>
      <c r="G1318" s="30" t="s">
        <v>29</v>
      </c>
      <c r="H1318" s="39">
        <v>46104</v>
      </c>
      <c r="I1318" s="79">
        <v>446</v>
      </c>
      <c r="J1318" s="91">
        <v>200</v>
      </c>
      <c r="K1318" s="84">
        <v>0.1</v>
      </c>
      <c r="L1318" s="30" t="s">
        <v>30</v>
      </c>
      <c r="M1318" s="160">
        <v>89200</v>
      </c>
      <c r="N1318" s="160">
        <v>80280</v>
      </c>
      <c r="O1318" s="30" t="s">
        <v>265</v>
      </c>
    </row>
    <row r="1319" spans="1:15" x14ac:dyDescent="0.3">
      <c r="A1319" s="115" t="s">
        <v>963</v>
      </c>
      <c r="B1319" s="10" t="s">
        <v>61</v>
      </c>
      <c r="C1319" s="32" t="s">
        <v>244</v>
      </c>
      <c r="D1319" s="32" t="s">
        <v>26</v>
      </c>
      <c r="E1319" s="32" t="s">
        <v>51</v>
      </c>
      <c r="F1319" s="32" t="s">
        <v>52</v>
      </c>
      <c r="G1319" s="32" t="s">
        <v>35</v>
      </c>
      <c r="H1319" s="41">
        <v>46104</v>
      </c>
      <c r="I1319" s="81">
        <v>248</v>
      </c>
      <c r="J1319" s="93">
        <v>280</v>
      </c>
      <c r="K1319" s="86">
        <v>7.0000000000000007E-2</v>
      </c>
      <c r="L1319" s="32" t="s">
        <v>36</v>
      </c>
      <c r="M1319" s="162">
        <v>69440</v>
      </c>
      <c r="N1319" s="162">
        <v>64579.199999999997</v>
      </c>
      <c r="O1319" s="32" t="s">
        <v>265</v>
      </c>
    </row>
    <row r="1320" spans="1:15" x14ac:dyDescent="0.3">
      <c r="A1320" s="115" t="s">
        <v>964</v>
      </c>
      <c r="B1320" s="11" t="s">
        <v>32</v>
      </c>
      <c r="C1320" s="30" t="s">
        <v>246</v>
      </c>
      <c r="D1320" s="30" t="s">
        <v>26</v>
      </c>
      <c r="E1320" s="30" t="s">
        <v>40</v>
      </c>
      <c r="F1320" s="30" t="s">
        <v>28</v>
      </c>
      <c r="G1320" s="30" t="s">
        <v>35</v>
      </c>
      <c r="H1320" s="39">
        <v>46105</v>
      </c>
      <c r="I1320" s="79">
        <v>222</v>
      </c>
      <c r="J1320" s="91">
        <v>420</v>
      </c>
      <c r="K1320" s="84">
        <v>0.12</v>
      </c>
      <c r="L1320" s="30" t="s">
        <v>36</v>
      </c>
      <c r="M1320" s="160">
        <v>93240</v>
      </c>
      <c r="N1320" s="160">
        <v>82051.199999999997</v>
      </c>
      <c r="O1320" s="30" t="s">
        <v>265</v>
      </c>
    </row>
    <row r="1321" spans="1:15" x14ac:dyDescent="0.3">
      <c r="A1321" s="115" t="s">
        <v>965</v>
      </c>
      <c r="B1321" s="10" t="s">
        <v>58</v>
      </c>
      <c r="C1321" s="32" t="s">
        <v>255</v>
      </c>
      <c r="D1321" s="32" t="s">
        <v>59</v>
      </c>
      <c r="E1321" s="32" t="s">
        <v>27</v>
      </c>
      <c r="F1321" s="32" t="s">
        <v>41</v>
      </c>
      <c r="G1321" s="32" t="s">
        <v>29</v>
      </c>
      <c r="H1321" s="41">
        <v>46105</v>
      </c>
      <c r="I1321" s="81">
        <v>181</v>
      </c>
      <c r="J1321" s="93">
        <v>2800</v>
      </c>
      <c r="K1321" s="86">
        <v>0.11</v>
      </c>
      <c r="L1321" s="32" t="s">
        <v>36</v>
      </c>
      <c r="M1321" s="162">
        <v>506800</v>
      </c>
      <c r="N1321" s="162">
        <v>451052</v>
      </c>
      <c r="O1321" s="32" t="s">
        <v>277</v>
      </c>
    </row>
    <row r="1322" spans="1:15" x14ac:dyDescent="0.3">
      <c r="A1322" s="115" t="s">
        <v>966</v>
      </c>
      <c r="B1322" s="11" t="s">
        <v>55</v>
      </c>
      <c r="C1322" s="30" t="s">
        <v>249</v>
      </c>
      <c r="D1322" s="30" t="s">
        <v>39</v>
      </c>
      <c r="E1322" s="30" t="s">
        <v>45</v>
      </c>
      <c r="F1322" s="30" t="s">
        <v>46</v>
      </c>
      <c r="G1322" s="30" t="s">
        <v>29</v>
      </c>
      <c r="H1322" s="39">
        <v>46105</v>
      </c>
      <c r="I1322" s="79">
        <v>163</v>
      </c>
      <c r="J1322" s="91">
        <v>650</v>
      </c>
      <c r="K1322" s="84">
        <v>0.15</v>
      </c>
      <c r="L1322" s="30" t="s">
        <v>36</v>
      </c>
      <c r="M1322" s="160">
        <v>105950</v>
      </c>
      <c r="N1322" s="160">
        <v>90057.5</v>
      </c>
      <c r="O1322" s="30" t="s">
        <v>265</v>
      </c>
    </row>
    <row r="1323" spans="1:15" x14ac:dyDescent="0.3">
      <c r="A1323" s="115" t="s">
        <v>967</v>
      </c>
      <c r="B1323" s="10" t="s">
        <v>38</v>
      </c>
      <c r="C1323" s="32" t="s">
        <v>247</v>
      </c>
      <c r="D1323" s="32" t="s">
        <v>39</v>
      </c>
      <c r="E1323" s="32" t="s">
        <v>27</v>
      </c>
      <c r="F1323" s="32" t="s">
        <v>46</v>
      </c>
      <c r="G1323" s="32" t="s">
        <v>42</v>
      </c>
      <c r="H1323" s="41">
        <v>46106</v>
      </c>
      <c r="I1323" s="81">
        <v>372</v>
      </c>
      <c r="J1323" s="93">
        <v>1200</v>
      </c>
      <c r="K1323" s="86">
        <v>0</v>
      </c>
      <c r="L1323" s="32" t="s">
        <v>36</v>
      </c>
      <c r="M1323" s="162">
        <v>446400</v>
      </c>
      <c r="N1323" s="162">
        <v>446400</v>
      </c>
      <c r="O1323" s="32" t="s">
        <v>277</v>
      </c>
    </row>
    <row r="1324" spans="1:15" x14ac:dyDescent="0.3">
      <c r="A1324" s="115" t="s">
        <v>968</v>
      </c>
      <c r="B1324" s="11" t="s">
        <v>38</v>
      </c>
      <c r="C1324" s="30" t="s">
        <v>247</v>
      </c>
      <c r="D1324" s="30" t="s">
        <v>39</v>
      </c>
      <c r="E1324" s="30" t="s">
        <v>40</v>
      </c>
      <c r="F1324" s="30" t="s">
        <v>28</v>
      </c>
      <c r="G1324" s="30" t="s">
        <v>56</v>
      </c>
      <c r="H1324" s="39">
        <v>46106</v>
      </c>
      <c r="I1324" s="79">
        <v>206</v>
      </c>
      <c r="J1324" s="91">
        <v>1200</v>
      </c>
      <c r="K1324" s="84">
        <v>0.1</v>
      </c>
      <c r="L1324" s="30" t="s">
        <v>36</v>
      </c>
      <c r="M1324" s="160">
        <v>247200</v>
      </c>
      <c r="N1324" s="160">
        <v>222480</v>
      </c>
      <c r="O1324" s="30" t="s">
        <v>267</v>
      </c>
    </row>
    <row r="1325" spans="1:15" x14ac:dyDescent="0.3">
      <c r="A1325" s="115" t="s">
        <v>969</v>
      </c>
      <c r="B1325" s="10" t="s">
        <v>58</v>
      </c>
      <c r="C1325" s="32" t="s">
        <v>255</v>
      </c>
      <c r="D1325" s="32" t="s">
        <v>59</v>
      </c>
      <c r="E1325" s="32" t="s">
        <v>33</v>
      </c>
      <c r="F1325" s="32" t="s">
        <v>46</v>
      </c>
      <c r="G1325" s="32" t="s">
        <v>47</v>
      </c>
      <c r="H1325" s="41">
        <v>46106</v>
      </c>
      <c r="I1325" s="81">
        <v>117</v>
      </c>
      <c r="J1325" s="93">
        <v>2800</v>
      </c>
      <c r="K1325" s="86">
        <v>0.13</v>
      </c>
      <c r="L1325" s="32" t="s">
        <v>36</v>
      </c>
      <c r="M1325" s="162">
        <v>327600</v>
      </c>
      <c r="N1325" s="162">
        <v>285012</v>
      </c>
      <c r="O1325" s="32" t="s">
        <v>267</v>
      </c>
    </row>
    <row r="1326" spans="1:15" x14ac:dyDescent="0.3">
      <c r="A1326" s="115" t="s">
        <v>970</v>
      </c>
      <c r="B1326" s="11" t="s">
        <v>63</v>
      </c>
      <c r="C1326" s="30" t="s">
        <v>253</v>
      </c>
      <c r="D1326" s="30" t="s">
        <v>50</v>
      </c>
      <c r="E1326" s="30" t="s">
        <v>45</v>
      </c>
      <c r="F1326" s="30" t="s">
        <v>46</v>
      </c>
      <c r="G1326" s="30" t="s">
        <v>29</v>
      </c>
      <c r="H1326" s="39">
        <v>46108</v>
      </c>
      <c r="I1326" s="79">
        <v>239</v>
      </c>
      <c r="J1326" s="91">
        <v>750</v>
      </c>
      <c r="K1326" s="84">
        <v>0.05</v>
      </c>
      <c r="L1326" s="30" t="s">
        <v>30</v>
      </c>
      <c r="M1326" s="160">
        <v>179250</v>
      </c>
      <c r="N1326" s="160">
        <v>170287.5</v>
      </c>
      <c r="O1326" s="30" t="s">
        <v>267</v>
      </c>
    </row>
    <row r="1327" spans="1:15" x14ac:dyDescent="0.3">
      <c r="A1327" s="115" t="s">
        <v>971</v>
      </c>
      <c r="B1327" s="10" t="s">
        <v>38</v>
      </c>
      <c r="C1327" s="32" t="s">
        <v>247</v>
      </c>
      <c r="D1327" s="32" t="s">
        <v>39</v>
      </c>
      <c r="E1327" s="32" t="s">
        <v>45</v>
      </c>
      <c r="F1327" s="32" t="s">
        <v>52</v>
      </c>
      <c r="G1327" s="32" t="s">
        <v>35</v>
      </c>
      <c r="H1327" s="41">
        <v>46108</v>
      </c>
      <c r="I1327" s="81">
        <v>86</v>
      </c>
      <c r="J1327" s="93">
        <v>1200</v>
      </c>
      <c r="K1327" s="86">
        <v>0</v>
      </c>
      <c r="L1327" s="32" t="s">
        <v>36</v>
      </c>
      <c r="M1327" s="162">
        <v>103200</v>
      </c>
      <c r="N1327" s="162">
        <v>103200</v>
      </c>
      <c r="O1327" s="32" t="s">
        <v>267</v>
      </c>
    </row>
    <row r="1328" spans="1:15" x14ac:dyDescent="0.3">
      <c r="A1328" s="115" t="s">
        <v>972</v>
      </c>
      <c r="B1328" s="11" t="s">
        <v>262</v>
      </c>
      <c r="C1328" s="30" t="s">
        <v>263</v>
      </c>
      <c r="D1328" s="30" t="s">
        <v>50</v>
      </c>
      <c r="E1328" s="30" t="s">
        <v>45</v>
      </c>
      <c r="F1328" s="30" t="s">
        <v>34</v>
      </c>
      <c r="G1328" s="30" t="s">
        <v>29</v>
      </c>
      <c r="H1328" s="39">
        <v>46108</v>
      </c>
      <c r="I1328" s="79">
        <v>256</v>
      </c>
      <c r="J1328" s="91">
        <v>820</v>
      </c>
      <c r="K1328" s="84">
        <v>0.13</v>
      </c>
      <c r="L1328" s="30" t="s">
        <v>30</v>
      </c>
      <c r="M1328" s="160">
        <v>209920</v>
      </c>
      <c r="N1328" s="160">
        <v>182630.39999999999</v>
      </c>
      <c r="O1328" s="30" t="s">
        <v>267</v>
      </c>
    </row>
    <row r="1329" spans="1:15" x14ac:dyDescent="0.3">
      <c r="A1329" s="115" t="s">
        <v>973</v>
      </c>
      <c r="B1329" s="10" t="s">
        <v>260</v>
      </c>
      <c r="C1329" s="32" t="s">
        <v>261</v>
      </c>
      <c r="D1329" s="32" t="s">
        <v>39</v>
      </c>
      <c r="E1329" s="32" t="s">
        <v>51</v>
      </c>
      <c r="F1329" s="32" t="s">
        <v>34</v>
      </c>
      <c r="G1329" s="32" t="s">
        <v>53</v>
      </c>
      <c r="H1329" s="41">
        <v>46110</v>
      </c>
      <c r="I1329" s="81">
        <v>251</v>
      </c>
      <c r="J1329" s="93">
        <v>450</v>
      </c>
      <c r="K1329" s="86">
        <v>0.11</v>
      </c>
      <c r="L1329" s="32" t="s">
        <v>36</v>
      </c>
      <c r="M1329" s="162">
        <v>112950</v>
      </c>
      <c r="N1329" s="162">
        <v>100525.5</v>
      </c>
      <c r="O1329" s="32" t="s">
        <v>267</v>
      </c>
    </row>
    <row r="1330" spans="1:15" x14ac:dyDescent="0.3">
      <c r="A1330" s="115" t="s">
        <v>974</v>
      </c>
      <c r="B1330" s="11" t="s">
        <v>58</v>
      </c>
      <c r="C1330" s="30" t="s">
        <v>255</v>
      </c>
      <c r="D1330" s="30" t="s">
        <v>59</v>
      </c>
      <c r="E1330" s="30" t="s">
        <v>51</v>
      </c>
      <c r="F1330" s="30" t="s">
        <v>28</v>
      </c>
      <c r="G1330" s="30" t="s">
        <v>56</v>
      </c>
      <c r="H1330" s="39">
        <v>46110</v>
      </c>
      <c r="I1330" s="79">
        <v>366</v>
      </c>
      <c r="J1330" s="91">
        <v>2800</v>
      </c>
      <c r="K1330" s="84">
        <v>0.12</v>
      </c>
      <c r="L1330" s="30" t="s">
        <v>36</v>
      </c>
      <c r="M1330" s="160">
        <v>1024800</v>
      </c>
      <c r="N1330" s="160">
        <v>901824</v>
      </c>
      <c r="O1330" s="30" t="s">
        <v>277</v>
      </c>
    </row>
    <row r="1331" spans="1:15" x14ac:dyDescent="0.3">
      <c r="A1331" s="115" t="s">
        <v>975</v>
      </c>
      <c r="B1331" s="10" t="s">
        <v>258</v>
      </c>
      <c r="C1331" s="32" t="s">
        <v>259</v>
      </c>
      <c r="D1331" s="32" t="s">
        <v>26</v>
      </c>
      <c r="E1331" s="32" t="s">
        <v>40</v>
      </c>
      <c r="F1331" s="32" t="s">
        <v>46</v>
      </c>
      <c r="G1331" s="32" t="s">
        <v>53</v>
      </c>
      <c r="H1331" s="41">
        <v>46110</v>
      </c>
      <c r="I1331" s="81">
        <v>341</v>
      </c>
      <c r="J1331" s="93">
        <v>680</v>
      </c>
      <c r="K1331" s="86">
        <v>0.12</v>
      </c>
      <c r="L1331" s="32" t="s">
        <v>36</v>
      </c>
      <c r="M1331" s="162">
        <v>231880</v>
      </c>
      <c r="N1331" s="162">
        <v>204054.39999999999</v>
      </c>
      <c r="O1331" s="32" t="s">
        <v>267</v>
      </c>
    </row>
    <row r="1332" spans="1:15" x14ac:dyDescent="0.3">
      <c r="A1332" s="115" t="s">
        <v>976</v>
      </c>
      <c r="B1332" s="11" t="s">
        <v>16</v>
      </c>
      <c r="C1332" s="30" t="s">
        <v>250</v>
      </c>
      <c r="D1332" s="30" t="s">
        <v>39</v>
      </c>
      <c r="E1332" s="30" t="s">
        <v>33</v>
      </c>
      <c r="F1332" s="30" t="s">
        <v>46</v>
      </c>
      <c r="G1332" s="30" t="s">
        <v>47</v>
      </c>
      <c r="H1332" s="39">
        <v>46114</v>
      </c>
      <c r="I1332" s="79">
        <v>118</v>
      </c>
      <c r="J1332" s="91">
        <v>990</v>
      </c>
      <c r="K1332" s="84">
        <v>0.13</v>
      </c>
      <c r="L1332" s="30" t="s">
        <v>36</v>
      </c>
      <c r="M1332" s="160">
        <v>116820</v>
      </c>
      <c r="N1332" s="160">
        <v>101633.4</v>
      </c>
      <c r="O1332" s="30" t="s">
        <v>267</v>
      </c>
    </row>
    <row r="1333" spans="1:15" x14ac:dyDescent="0.3">
      <c r="A1333" s="115" t="s">
        <v>977</v>
      </c>
      <c r="B1333" s="10" t="s">
        <v>16</v>
      </c>
      <c r="C1333" s="32" t="s">
        <v>250</v>
      </c>
      <c r="D1333" s="32" t="s">
        <v>39</v>
      </c>
      <c r="E1333" s="32" t="s">
        <v>33</v>
      </c>
      <c r="F1333" s="32" t="s">
        <v>46</v>
      </c>
      <c r="G1333" s="32" t="s">
        <v>47</v>
      </c>
      <c r="H1333" s="41">
        <v>46114</v>
      </c>
      <c r="I1333" s="81">
        <v>42</v>
      </c>
      <c r="J1333" s="93">
        <v>990</v>
      </c>
      <c r="K1333" s="86">
        <v>0.14000000000000001</v>
      </c>
      <c r="L1333" s="32" t="s">
        <v>30</v>
      </c>
      <c r="M1333" s="162">
        <v>41580</v>
      </c>
      <c r="N1333" s="162">
        <v>35758.800000000003</v>
      </c>
      <c r="O1333" s="32" t="s">
        <v>265</v>
      </c>
    </row>
    <row r="1334" spans="1:15" x14ac:dyDescent="0.3">
      <c r="A1334" s="115" t="s">
        <v>978</v>
      </c>
      <c r="B1334" s="11" t="s">
        <v>260</v>
      </c>
      <c r="C1334" s="30" t="s">
        <v>261</v>
      </c>
      <c r="D1334" s="30" t="s">
        <v>39</v>
      </c>
      <c r="E1334" s="30" t="s">
        <v>45</v>
      </c>
      <c r="F1334" s="30" t="s">
        <v>46</v>
      </c>
      <c r="G1334" s="30" t="s">
        <v>53</v>
      </c>
      <c r="H1334" s="39">
        <v>46114</v>
      </c>
      <c r="I1334" s="79">
        <v>373</v>
      </c>
      <c r="J1334" s="91">
        <v>450</v>
      </c>
      <c r="K1334" s="84">
        <v>0</v>
      </c>
      <c r="L1334" s="30" t="s">
        <v>30</v>
      </c>
      <c r="M1334" s="160">
        <v>167850</v>
      </c>
      <c r="N1334" s="160">
        <v>167850</v>
      </c>
      <c r="O1334" s="30" t="s">
        <v>267</v>
      </c>
    </row>
    <row r="1335" spans="1:15" x14ac:dyDescent="0.3">
      <c r="A1335" s="115" t="s">
        <v>979</v>
      </c>
      <c r="B1335" s="10" t="s">
        <v>258</v>
      </c>
      <c r="C1335" s="32" t="s">
        <v>259</v>
      </c>
      <c r="D1335" s="32" t="s">
        <v>26</v>
      </c>
      <c r="E1335" s="32" t="s">
        <v>45</v>
      </c>
      <c r="F1335" s="32" t="s">
        <v>46</v>
      </c>
      <c r="G1335" s="32" t="s">
        <v>53</v>
      </c>
      <c r="H1335" s="41">
        <v>46115</v>
      </c>
      <c r="I1335" s="81">
        <v>288</v>
      </c>
      <c r="J1335" s="93">
        <v>680</v>
      </c>
      <c r="K1335" s="86">
        <v>0.03</v>
      </c>
      <c r="L1335" s="32" t="s">
        <v>36</v>
      </c>
      <c r="M1335" s="162">
        <v>195840</v>
      </c>
      <c r="N1335" s="162">
        <v>189964.79999999999</v>
      </c>
      <c r="O1335" s="32" t="s">
        <v>267</v>
      </c>
    </row>
    <row r="1336" spans="1:15" x14ac:dyDescent="0.3">
      <c r="A1336" s="115" t="s">
        <v>980</v>
      </c>
      <c r="B1336" s="11" t="s">
        <v>63</v>
      </c>
      <c r="C1336" s="30" t="s">
        <v>253</v>
      </c>
      <c r="D1336" s="30" t="s">
        <v>50</v>
      </c>
      <c r="E1336" s="30" t="s">
        <v>51</v>
      </c>
      <c r="F1336" s="30" t="s">
        <v>46</v>
      </c>
      <c r="G1336" s="30" t="s">
        <v>53</v>
      </c>
      <c r="H1336" s="39">
        <v>46115</v>
      </c>
      <c r="I1336" s="79">
        <v>41</v>
      </c>
      <c r="J1336" s="91">
        <v>750</v>
      </c>
      <c r="K1336" s="84">
        <v>0</v>
      </c>
      <c r="L1336" s="30" t="s">
        <v>30</v>
      </c>
      <c r="M1336" s="160">
        <v>30750</v>
      </c>
      <c r="N1336" s="160">
        <v>30750</v>
      </c>
      <c r="O1336" s="30" t="s">
        <v>265</v>
      </c>
    </row>
    <row r="1337" spans="1:15" x14ac:dyDescent="0.3">
      <c r="A1337" s="115" t="s">
        <v>981</v>
      </c>
      <c r="B1337" s="10" t="s">
        <v>258</v>
      </c>
      <c r="C1337" s="32" t="s">
        <v>259</v>
      </c>
      <c r="D1337" s="32" t="s">
        <v>26</v>
      </c>
      <c r="E1337" s="32" t="s">
        <v>33</v>
      </c>
      <c r="F1337" s="32" t="s">
        <v>46</v>
      </c>
      <c r="G1337" s="32" t="s">
        <v>35</v>
      </c>
      <c r="H1337" s="41">
        <v>46115</v>
      </c>
      <c r="I1337" s="81">
        <v>427</v>
      </c>
      <c r="J1337" s="93">
        <v>680</v>
      </c>
      <c r="K1337" s="86">
        <v>0.12</v>
      </c>
      <c r="L1337" s="32" t="s">
        <v>36</v>
      </c>
      <c r="M1337" s="162">
        <v>290360</v>
      </c>
      <c r="N1337" s="162">
        <v>255516.79999999999</v>
      </c>
      <c r="O1337" s="32" t="s">
        <v>267</v>
      </c>
    </row>
    <row r="1338" spans="1:15" x14ac:dyDescent="0.3">
      <c r="A1338" s="115" t="s">
        <v>982</v>
      </c>
      <c r="B1338" s="11" t="s">
        <v>16</v>
      </c>
      <c r="C1338" s="30" t="s">
        <v>250</v>
      </c>
      <c r="D1338" s="30" t="s">
        <v>39</v>
      </c>
      <c r="E1338" s="30" t="s">
        <v>27</v>
      </c>
      <c r="F1338" s="30" t="s">
        <v>52</v>
      </c>
      <c r="G1338" s="30" t="s">
        <v>56</v>
      </c>
      <c r="H1338" s="39">
        <v>46116</v>
      </c>
      <c r="I1338" s="79">
        <v>338</v>
      </c>
      <c r="J1338" s="91">
        <v>990</v>
      </c>
      <c r="K1338" s="84">
        <v>0.11</v>
      </c>
      <c r="L1338" s="30" t="s">
        <v>36</v>
      </c>
      <c r="M1338" s="160">
        <v>334620</v>
      </c>
      <c r="N1338" s="160">
        <v>297811.8</v>
      </c>
      <c r="O1338" s="30" t="s">
        <v>267</v>
      </c>
    </row>
    <row r="1339" spans="1:15" x14ac:dyDescent="0.3">
      <c r="A1339" s="115" t="s">
        <v>983</v>
      </c>
      <c r="B1339" s="10" t="s">
        <v>58</v>
      </c>
      <c r="C1339" s="32" t="s">
        <v>255</v>
      </c>
      <c r="D1339" s="32" t="s">
        <v>59</v>
      </c>
      <c r="E1339" s="32" t="s">
        <v>40</v>
      </c>
      <c r="F1339" s="32" t="s">
        <v>34</v>
      </c>
      <c r="G1339" s="32" t="s">
        <v>29</v>
      </c>
      <c r="H1339" s="41">
        <v>46116</v>
      </c>
      <c r="I1339" s="81">
        <v>204</v>
      </c>
      <c r="J1339" s="93">
        <v>2800</v>
      </c>
      <c r="K1339" s="86">
        <v>0.12</v>
      </c>
      <c r="L1339" s="32" t="s">
        <v>30</v>
      </c>
      <c r="M1339" s="162">
        <v>571200</v>
      </c>
      <c r="N1339" s="162">
        <v>502656</v>
      </c>
      <c r="O1339" s="32" t="s">
        <v>277</v>
      </c>
    </row>
    <row r="1340" spans="1:15" x14ac:dyDescent="0.3">
      <c r="A1340" s="115" t="s">
        <v>984</v>
      </c>
      <c r="B1340" s="11" t="s">
        <v>258</v>
      </c>
      <c r="C1340" s="30" t="s">
        <v>259</v>
      </c>
      <c r="D1340" s="30" t="s">
        <v>26</v>
      </c>
      <c r="E1340" s="30" t="s">
        <v>27</v>
      </c>
      <c r="F1340" s="30" t="s">
        <v>46</v>
      </c>
      <c r="G1340" s="30" t="s">
        <v>42</v>
      </c>
      <c r="H1340" s="39">
        <v>46116</v>
      </c>
      <c r="I1340" s="79">
        <v>391</v>
      </c>
      <c r="J1340" s="91">
        <v>680</v>
      </c>
      <c r="K1340" s="84">
        <v>0.13</v>
      </c>
      <c r="L1340" s="30" t="s">
        <v>36</v>
      </c>
      <c r="M1340" s="160">
        <v>265880</v>
      </c>
      <c r="N1340" s="160">
        <v>231315.6</v>
      </c>
      <c r="O1340" s="30" t="s">
        <v>267</v>
      </c>
    </row>
    <row r="1341" spans="1:15" x14ac:dyDescent="0.3">
      <c r="A1341" s="115" t="s">
        <v>985</v>
      </c>
      <c r="B1341" s="10" t="s">
        <v>25</v>
      </c>
      <c r="C1341" s="32" t="s">
        <v>257</v>
      </c>
      <c r="D1341" s="32" t="s">
        <v>26</v>
      </c>
      <c r="E1341" s="32" t="s">
        <v>51</v>
      </c>
      <c r="F1341" s="32" t="s">
        <v>52</v>
      </c>
      <c r="G1341" s="32" t="s">
        <v>42</v>
      </c>
      <c r="H1341" s="41">
        <v>46117</v>
      </c>
      <c r="I1341" s="81">
        <v>97</v>
      </c>
      <c r="J1341" s="93">
        <v>350</v>
      </c>
      <c r="K1341" s="86">
        <v>0</v>
      </c>
      <c r="L1341" s="32" t="s">
        <v>30</v>
      </c>
      <c r="M1341" s="162">
        <v>33950</v>
      </c>
      <c r="N1341" s="162">
        <v>33950</v>
      </c>
      <c r="O1341" s="32" t="s">
        <v>265</v>
      </c>
    </row>
    <row r="1342" spans="1:15" x14ac:dyDescent="0.3">
      <c r="A1342" s="115" t="s">
        <v>986</v>
      </c>
      <c r="B1342" s="11" t="s">
        <v>258</v>
      </c>
      <c r="C1342" s="30" t="s">
        <v>259</v>
      </c>
      <c r="D1342" s="30" t="s">
        <v>26</v>
      </c>
      <c r="E1342" s="30" t="s">
        <v>40</v>
      </c>
      <c r="F1342" s="30" t="s">
        <v>52</v>
      </c>
      <c r="G1342" s="30" t="s">
        <v>56</v>
      </c>
      <c r="H1342" s="39">
        <v>46117</v>
      </c>
      <c r="I1342" s="79">
        <v>362</v>
      </c>
      <c r="J1342" s="91">
        <v>680</v>
      </c>
      <c r="K1342" s="84">
        <v>0.08</v>
      </c>
      <c r="L1342" s="30" t="s">
        <v>36</v>
      </c>
      <c r="M1342" s="160">
        <v>246160</v>
      </c>
      <c r="N1342" s="160">
        <v>226467.20000000001</v>
      </c>
      <c r="O1342" s="30" t="s">
        <v>267</v>
      </c>
    </row>
    <row r="1343" spans="1:15" x14ac:dyDescent="0.3">
      <c r="A1343" s="115" t="s">
        <v>987</v>
      </c>
      <c r="B1343" s="10" t="s">
        <v>32</v>
      </c>
      <c r="C1343" s="32" t="s">
        <v>246</v>
      </c>
      <c r="D1343" s="32" t="s">
        <v>26</v>
      </c>
      <c r="E1343" s="32" t="s">
        <v>51</v>
      </c>
      <c r="F1343" s="32" t="s">
        <v>41</v>
      </c>
      <c r="G1343" s="32" t="s">
        <v>56</v>
      </c>
      <c r="H1343" s="41">
        <v>46117</v>
      </c>
      <c r="I1343" s="81">
        <v>253</v>
      </c>
      <c r="J1343" s="93">
        <v>420</v>
      </c>
      <c r="K1343" s="86">
        <v>0.15</v>
      </c>
      <c r="L1343" s="32" t="s">
        <v>30</v>
      </c>
      <c r="M1343" s="162">
        <v>106260</v>
      </c>
      <c r="N1343" s="162">
        <v>90321</v>
      </c>
      <c r="O1343" s="32" t="s">
        <v>265</v>
      </c>
    </row>
    <row r="1344" spans="1:15" x14ac:dyDescent="0.3">
      <c r="A1344" s="115" t="s">
        <v>988</v>
      </c>
      <c r="B1344" s="11" t="s">
        <v>44</v>
      </c>
      <c r="C1344" s="30" t="s">
        <v>254</v>
      </c>
      <c r="D1344" s="30" t="s">
        <v>39</v>
      </c>
      <c r="E1344" s="30" t="s">
        <v>27</v>
      </c>
      <c r="F1344" s="30" t="s">
        <v>28</v>
      </c>
      <c r="G1344" s="30" t="s">
        <v>42</v>
      </c>
      <c r="H1344" s="39">
        <v>46118</v>
      </c>
      <c r="I1344" s="79">
        <v>419</v>
      </c>
      <c r="J1344" s="91">
        <v>200</v>
      </c>
      <c r="K1344" s="84">
        <v>0.03</v>
      </c>
      <c r="L1344" s="30" t="s">
        <v>36</v>
      </c>
      <c r="M1344" s="160">
        <v>83800</v>
      </c>
      <c r="N1344" s="160">
        <v>81286</v>
      </c>
      <c r="O1344" s="30" t="s">
        <v>265</v>
      </c>
    </row>
    <row r="1345" spans="1:15" x14ac:dyDescent="0.3">
      <c r="A1345" s="115" t="s">
        <v>989</v>
      </c>
      <c r="B1345" s="10" t="s">
        <v>38</v>
      </c>
      <c r="C1345" s="32" t="s">
        <v>247</v>
      </c>
      <c r="D1345" s="32" t="s">
        <v>39</v>
      </c>
      <c r="E1345" s="32" t="s">
        <v>51</v>
      </c>
      <c r="F1345" s="32" t="s">
        <v>34</v>
      </c>
      <c r="G1345" s="32" t="s">
        <v>35</v>
      </c>
      <c r="H1345" s="41">
        <v>46119</v>
      </c>
      <c r="I1345" s="81">
        <v>129</v>
      </c>
      <c r="J1345" s="93">
        <v>1200</v>
      </c>
      <c r="K1345" s="86">
        <v>0</v>
      </c>
      <c r="L1345" s="32" t="s">
        <v>30</v>
      </c>
      <c r="M1345" s="162">
        <v>154800</v>
      </c>
      <c r="N1345" s="162">
        <v>154800</v>
      </c>
      <c r="O1345" s="32" t="s">
        <v>267</v>
      </c>
    </row>
    <row r="1346" spans="1:15" x14ac:dyDescent="0.3">
      <c r="A1346" s="115" t="s">
        <v>990</v>
      </c>
      <c r="B1346" s="11" t="s">
        <v>262</v>
      </c>
      <c r="C1346" s="30" t="s">
        <v>263</v>
      </c>
      <c r="D1346" s="30" t="s">
        <v>50</v>
      </c>
      <c r="E1346" s="30" t="s">
        <v>51</v>
      </c>
      <c r="F1346" s="30" t="s">
        <v>34</v>
      </c>
      <c r="G1346" s="30" t="s">
        <v>35</v>
      </c>
      <c r="H1346" s="39">
        <v>46119</v>
      </c>
      <c r="I1346" s="79">
        <v>255</v>
      </c>
      <c r="J1346" s="91">
        <v>820</v>
      </c>
      <c r="K1346" s="84">
        <v>0.03</v>
      </c>
      <c r="L1346" s="30" t="s">
        <v>30</v>
      </c>
      <c r="M1346" s="160">
        <v>209100</v>
      </c>
      <c r="N1346" s="160">
        <v>202827</v>
      </c>
      <c r="O1346" s="30" t="s">
        <v>267</v>
      </c>
    </row>
    <row r="1347" spans="1:15" x14ac:dyDescent="0.3">
      <c r="A1347" s="115" t="s">
        <v>991</v>
      </c>
      <c r="B1347" s="10" t="s">
        <v>25</v>
      </c>
      <c r="C1347" s="32" t="s">
        <v>257</v>
      </c>
      <c r="D1347" s="32" t="s">
        <v>26</v>
      </c>
      <c r="E1347" s="32" t="s">
        <v>40</v>
      </c>
      <c r="F1347" s="32" t="s">
        <v>41</v>
      </c>
      <c r="G1347" s="32" t="s">
        <v>53</v>
      </c>
      <c r="H1347" s="41">
        <v>46119</v>
      </c>
      <c r="I1347" s="81">
        <v>411</v>
      </c>
      <c r="J1347" s="93">
        <v>350</v>
      </c>
      <c r="K1347" s="86">
        <v>0.05</v>
      </c>
      <c r="L1347" s="32" t="s">
        <v>30</v>
      </c>
      <c r="M1347" s="162">
        <v>143850</v>
      </c>
      <c r="N1347" s="162">
        <v>136657.5</v>
      </c>
      <c r="O1347" s="32" t="s">
        <v>267</v>
      </c>
    </row>
    <row r="1348" spans="1:15" x14ac:dyDescent="0.3">
      <c r="A1348" s="115" t="s">
        <v>992</v>
      </c>
      <c r="B1348" s="11" t="s">
        <v>63</v>
      </c>
      <c r="C1348" s="30" t="s">
        <v>253</v>
      </c>
      <c r="D1348" s="30" t="s">
        <v>50</v>
      </c>
      <c r="E1348" s="30" t="s">
        <v>27</v>
      </c>
      <c r="F1348" s="30" t="s">
        <v>46</v>
      </c>
      <c r="G1348" s="30" t="s">
        <v>35</v>
      </c>
      <c r="H1348" s="39">
        <v>46120</v>
      </c>
      <c r="I1348" s="79">
        <v>139</v>
      </c>
      <c r="J1348" s="91">
        <v>750</v>
      </c>
      <c r="K1348" s="84">
        <v>0</v>
      </c>
      <c r="L1348" s="30" t="s">
        <v>36</v>
      </c>
      <c r="M1348" s="160">
        <v>104250</v>
      </c>
      <c r="N1348" s="160">
        <v>104250</v>
      </c>
      <c r="O1348" s="30" t="s">
        <v>267</v>
      </c>
    </row>
    <row r="1349" spans="1:15" x14ac:dyDescent="0.3">
      <c r="A1349" s="115" t="s">
        <v>993</v>
      </c>
      <c r="B1349" s="10" t="s">
        <v>262</v>
      </c>
      <c r="C1349" s="32" t="s">
        <v>263</v>
      </c>
      <c r="D1349" s="32" t="s">
        <v>50</v>
      </c>
      <c r="E1349" s="32" t="s">
        <v>51</v>
      </c>
      <c r="F1349" s="32" t="s">
        <v>34</v>
      </c>
      <c r="G1349" s="32" t="s">
        <v>42</v>
      </c>
      <c r="H1349" s="41">
        <v>46120</v>
      </c>
      <c r="I1349" s="81">
        <v>257</v>
      </c>
      <c r="J1349" s="93">
        <v>820</v>
      </c>
      <c r="K1349" s="86">
        <v>0</v>
      </c>
      <c r="L1349" s="32" t="s">
        <v>30</v>
      </c>
      <c r="M1349" s="162">
        <v>210740</v>
      </c>
      <c r="N1349" s="162">
        <v>210740</v>
      </c>
      <c r="O1349" s="32" t="s">
        <v>267</v>
      </c>
    </row>
    <row r="1350" spans="1:15" x14ac:dyDescent="0.3">
      <c r="A1350" s="115" t="s">
        <v>994</v>
      </c>
      <c r="B1350" s="11" t="s">
        <v>44</v>
      </c>
      <c r="C1350" s="30" t="s">
        <v>254</v>
      </c>
      <c r="D1350" s="30" t="s">
        <v>39</v>
      </c>
      <c r="E1350" s="30" t="s">
        <v>45</v>
      </c>
      <c r="F1350" s="30" t="s">
        <v>46</v>
      </c>
      <c r="G1350" s="30" t="s">
        <v>35</v>
      </c>
      <c r="H1350" s="39">
        <v>46120</v>
      </c>
      <c r="I1350" s="79">
        <v>373</v>
      </c>
      <c r="J1350" s="91">
        <v>200</v>
      </c>
      <c r="K1350" s="84">
        <v>0.03</v>
      </c>
      <c r="L1350" s="30" t="s">
        <v>30</v>
      </c>
      <c r="M1350" s="160">
        <v>74600</v>
      </c>
      <c r="N1350" s="160">
        <v>72362</v>
      </c>
      <c r="O1350" s="30" t="s">
        <v>265</v>
      </c>
    </row>
    <row r="1351" spans="1:15" x14ac:dyDescent="0.3">
      <c r="A1351" s="115" t="s">
        <v>995</v>
      </c>
      <c r="B1351" s="10" t="s">
        <v>61</v>
      </c>
      <c r="C1351" s="32" t="s">
        <v>244</v>
      </c>
      <c r="D1351" s="32" t="s">
        <v>26</v>
      </c>
      <c r="E1351" s="32" t="s">
        <v>40</v>
      </c>
      <c r="F1351" s="32" t="s">
        <v>46</v>
      </c>
      <c r="G1351" s="32" t="s">
        <v>56</v>
      </c>
      <c r="H1351" s="41">
        <v>46122</v>
      </c>
      <c r="I1351" s="81">
        <v>474</v>
      </c>
      <c r="J1351" s="93">
        <v>280</v>
      </c>
      <c r="K1351" s="86">
        <v>0</v>
      </c>
      <c r="L1351" s="32" t="s">
        <v>30</v>
      </c>
      <c r="M1351" s="162">
        <v>132720</v>
      </c>
      <c r="N1351" s="162">
        <v>132720</v>
      </c>
      <c r="O1351" s="32" t="s">
        <v>267</v>
      </c>
    </row>
    <row r="1352" spans="1:15" x14ac:dyDescent="0.3">
      <c r="A1352" s="115" t="s">
        <v>996</v>
      </c>
      <c r="B1352" s="11" t="s">
        <v>61</v>
      </c>
      <c r="C1352" s="30" t="s">
        <v>244</v>
      </c>
      <c r="D1352" s="30" t="s">
        <v>26</v>
      </c>
      <c r="E1352" s="30" t="s">
        <v>27</v>
      </c>
      <c r="F1352" s="30" t="s">
        <v>52</v>
      </c>
      <c r="G1352" s="30" t="s">
        <v>29</v>
      </c>
      <c r="H1352" s="39">
        <v>46123</v>
      </c>
      <c r="I1352" s="79">
        <v>352</v>
      </c>
      <c r="J1352" s="91">
        <v>280</v>
      </c>
      <c r="K1352" s="84">
        <v>0.13</v>
      </c>
      <c r="L1352" s="30" t="s">
        <v>36</v>
      </c>
      <c r="M1352" s="160">
        <v>98560</v>
      </c>
      <c r="N1352" s="160">
        <v>85747.199999999997</v>
      </c>
      <c r="O1352" s="30" t="s">
        <v>265</v>
      </c>
    </row>
    <row r="1353" spans="1:15" x14ac:dyDescent="0.3">
      <c r="A1353" s="115" t="s">
        <v>997</v>
      </c>
      <c r="B1353" s="10" t="s">
        <v>58</v>
      </c>
      <c r="C1353" s="32" t="s">
        <v>255</v>
      </c>
      <c r="D1353" s="32" t="s">
        <v>59</v>
      </c>
      <c r="E1353" s="32" t="s">
        <v>33</v>
      </c>
      <c r="F1353" s="32" t="s">
        <v>46</v>
      </c>
      <c r="G1353" s="32" t="s">
        <v>47</v>
      </c>
      <c r="H1353" s="41">
        <v>46123</v>
      </c>
      <c r="I1353" s="81">
        <v>270</v>
      </c>
      <c r="J1353" s="93">
        <v>2800</v>
      </c>
      <c r="K1353" s="86">
        <v>0.08</v>
      </c>
      <c r="L1353" s="32" t="s">
        <v>36</v>
      </c>
      <c r="M1353" s="162">
        <v>756000</v>
      </c>
      <c r="N1353" s="162">
        <v>695520</v>
      </c>
      <c r="O1353" s="32" t="s">
        <v>277</v>
      </c>
    </row>
    <row r="1354" spans="1:15" x14ac:dyDescent="0.3">
      <c r="A1354" s="115" t="s">
        <v>998</v>
      </c>
      <c r="B1354" s="11" t="s">
        <v>260</v>
      </c>
      <c r="C1354" s="30" t="s">
        <v>261</v>
      </c>
      <c r="D1354" s="30" t="s">
        <v>39</v>
      </c>
      <c r="E1354" s="30" t="s">
        <v>40</v>
      </c>
      <c r="F1354" s="30" t="s">
        <v>52</v>
      </c>
      <c r="G1354" s="30" t="s">
        <v>35</v>
      </c>
      <c r="H1354" s="39">
        <v>46123</v>
      </c>
      <c r="I1354" s="79">
        <v>284</v>
      </c>
      <c r="J1354" s="91">
        <v>450</v>
      </c>
      <c r="K1354" s="84">
        <v>7.0000000000000007E-2</v>
      </c>
      <c r="L1354" s="30" t="s">
        <v>36</v>
      </c>
      <c r="M1354" s="160">
        <v>127800</v>
      </c>
      <c r="N1354" s="160">
        <v>118854</v>
      </c>
      <c r="O1354" s="30" t="s">
        <v>267</v>
      </c>
    </row>
    <row r="1355" spans="1:15" x14ac:dyDescent="0.3">
      <c r="A1355" s="115" t="s">
        <v>999</v>
      </c>
      <c r="B1355" s="10" t="s">
        <v>44</v>
      </c>
      <c r="C1355" s="32" t="s">
        <v>254</v>
      </c>
      <c r="D1355" s="32" t="s">
        <v>39</v>
      </c>
      <c r="E1355" s="32" t="s">
        <v>27</v>
      </c>
      <c r="F1355" s="32" t="s">
        <v>46</v>
      </c>
      <c r="G1355" s="32" t="s">
        <v>47</v>
      </c>
      <c r="H1355" s="41">
        <v>46124</v>
      </c>
      <c r="I1355" s="81">
        <v>492</v>
      </c>
      <c r="J1355" s="93">
        <v>200</v>
      </c>
      <c r="K1355" s="86">
        <v>0.11</v>
      </c>
      <c r="L1355" s="32" t="s">
        <v>36</v>
      </c>
      <c r="M1355" s="162">
        <v>98400</v>
      </c>
      <c r="N1355" s="162">
        <v>87576</v>
      </c>
      <c r="O1355" s="32" t="s">
        <v>265</v>
      </c>
    </row>
    <row r="1356" spans="1:15" x14ac:dyDescent="0.3">
      <c r="A1356" s="115" t="s">
        <v>1000</v>
      </c>
      <c r="B1356" s="11" t="s">
        <v>63</v>
      </c>
      <c r="C1356" s="30" t="s">
        <v>253</v>
      </c>
      <c r="D1356" s="30" t="s">
        <v>50</v>
      </c>
      <c r="E1356" s="30" t="s">
        <v>27</v>
      </c>
      <c r="F1356" s="30" t="s">
        <v>28</v>
      </c>
      <c r="G1356" s="30" t="s">
        <v>42</v>
      </c>
      <c r="H1356" s="39">
        <v>46124</v>
      </c>
      <c r="I1356" s="79">
        <v>40</v>
      </c>
      <c r="J1356" s="91">
        <v>750</v>
      </c>
      <c r="K1356" s="84">
        <v>0</v>
      </c>
      <c r="L1356" s="30" t="s">
        <v>36</v>
      </c>
      <c r="M1356" s="160">
        <v>30000</v>
      </c>
      <c r="N1356" s="160">
        <v>30000</v>
      </c>
      <c r="O1356" s="30" t="s">
        <v>265</v>
      </c>
    </row>
    <row r="1357" spans="1:15" x14ac:dyDescent="0.3">
      <c r="A1357" s="115" t="s">
        <v>1001</v>
      </c>
      <c r="B1357" s="10" t="s">
        <v>49</v>
      </c>
      <c r="C1357" s="32" t="s">
        <v>251</v>
      </c>
      <c r="D1357" s="32" t="s">
        <v>50</v>
      </c>
      <c r="E1357" s="32" t="s">
        <v>45</v>
      </c>
      <c r="F1357" s="32" t="s">
        <v>46</v>
      </c>
      <c r="G1357" s="32" t="s">
        <v>29</v>
      </c>
      <c r="H1357" s="41">
        <v>46124</v>
      </c>
      <c r="I1357" s="81">
        <v>393</v>
      </c>
      <c r="J1357" s="93">
        <v>895</v>
      </c>
      <c r="K1357" s="86">
        <v>0.12</v>
      </c>
      <c r="L1357" s="32" t="s">
        <v>30</v>
      </c>
      <c r="M1357" s="162">
        <v>351735</v>
      </c>
      <c r="N1357" s="162">
        <v>309526.8</v>
      </c>
      <c r="O1357" s="32" t="s">
        <v>267</v>
      </c>
    </row>
    <row r="1358" spans="1:15" x14ac:dyDescent="0.3">
      <c r="A1358" s="115" t="s">
        <v>1002</v>
      </c>
      <c r="B1358" s="11" t="s">
        <v>38</v>
      </c>
      <c r="C1358" s="30" t="s">
        <v>247</v>
      </c>
      <c r="D1358" s="30" t="s">
        <v>39</v>
      </c>
      <c r="E1358" s="30" t="s">
        <v>33</v>
      </c>
      <c r="F1358" s="30" t="s">
        <v>28</v>
      </c>
      <c r="G1358" s="30" t="s">
        <v>56</v>
      </c>
      <c r="H1358" s="39">
        <v>46125</v>
      </c>
      <c r="I1358" s="79">
        <v>253</v>
      </c>
      <c r="J1358" s="91">
        <v>1200</v>
      </c>
      <c r="K1358" s="84">
        <v>0.03</v>
      </c>
      <c r="L1358" s="30" t="s">
        <v>30</v>
      </c>
      <c r="M1358" s="160">
        <v>303600</v>
      </c>
      <c r="N1358" s="160">
        <v>294492</v>
      </c>
      <c r="O1358" s="30" t="s">
        <v>267</v>
      </c>
    </row>
    <row r="1359" spans="1:15" x14ac:dyDescent="0.3">
      <c r="A1359" s="115" t="s">
        <v>1003</v>
      </c>
      <c r="B1359" s="10" t="s">
        <v>58</v>
      </c>
      <c r="C1359" s="32" t="s">
        <v>255</v>
      </c>
      <c r="D1359" s="32" t="s">
        <v>59</v>
      </c>
      <c r="E1359" s="32" t="s">
        <v>40</v>
      </c>
      <c r="F1359" s="32" t="s">
        <v>28</v>
      </c>
      <c r="G1359" s="32" t="s">
        <v>29</v>
      </c>
      <c r="H1359" s="41">
        <v>46126</v>
      </c>
      <c r="I1359" s="81">
        <v>227</v>
      </c>
      <c r="J1359" s="93">
        <v>2800</v>
      </c>
      <c r="K1359" s="86">
        <v>0.15</v>
      </c>
      <c r="L1359" s="32" t="s">
        <v>36</v>
      </c>
      <c r="M1359" s="162">
        <v>635600</v>
      </c>
      <c r="N1359" s="162">
        <v>540260</v>
      </c>
      <c r="O1359" s="32" t="s">
        <v>277</v>
      </c>
    </row>
    <row r="1360" spans="1:15" x14ac:dyDescent="0.3">
      <c r="A1360" s="115" t="s">
        <v>1004</v>
      </c>
      <c r="B1360" s="11" t="s">
        <v>58</v>
      </c>
      <c r="C1360" s="30" t="s">
        <v>255</v>
      </c>
      <c r="D1360" s="30" t="s">
        <v>59</v>
      </c>
      <c r="E1360" s="30" t="s">
        <v>33</v>
      </c>
      <c r="F1360" s="30" t="s">
        <v>28</v>
      </c>
      <c r="G1360" s="30" t="s">
        <v>53</v>
      </c>
      <c r="H1360" s="39">
        <v>46126</v>
      </c>
      <c r="I1360" s="79">
        <v>212</v>
      </c>
      <c r="J1360" s="91">
        <v>2800</v>
      </c>
      <c r="K1360" s="84">
        <v>0.08</v>
      </c>
      <c r="L1360" s="30" t="s">
        <v>36</v>
      </c>
      <c r="M1360" s="160">
        <v>593600</v>
      </c>
      <c r="N1360" s="160">
        <v>546112</v>
      </c>
      <c r="O1360" s="30" t="s">
        <v>277</v>
      </c>
    </row>
    <row r="1361" spans="1:15" x14ac:dyDescent="0.3">
      <c r="A1361" s="115" t="s">
        <v>1005</v>
      </c>
      <c r="B1361" s="10" t="s">
        <v>25</v>
      </c>
      <c r="C1361" s="32" t="s">
        <v>257</v>
      </c>
      <c r="D1361" s="32" t="s">
        <v>26</v>
      </c>
      <c r="E1361" s="32" t="s">
        <v>51</v>
      </c>
      <c r="F1361" s="32" t="s">
        <v>52</v>
      </c>
      <c r="G1361" s="32" t="s">
        <v>56</v>
      </c>
      <c r="H1361" s="41">
        <v>46126</v>
      </c>
      <c r="I1361" s="81">
        <v>331</v>
      </c>
      <c r="J1361" s="93">
        <v>350</v>
      </c>
      <c r="K1361" s="86">
        <v>0.08</v>
      </c>
      <c r="L1361" s="32" t="s">
        <v>36</v>
      </c>
      <c r="M1361" s="162">
        <v>115850</v>
      </c>
      <c r="N1361" s="162">
        <v>106582</v>
      </c>
      <c r="O1361" s="32" t="s">
        <v>267</v>
      </c>
    </row>
    <row r="1362" spans="1:15" x14ac:dyDescent="0.3">
      <c r="A1362" s="115" t="s">
        <v>1006</v>
      </c>
      <c r="B1362" s="11" t="s">
        <v>49</v>
      </c>
      <c r="C1362" s="30" t="s">
        <v>251</v>
      </c>
      <c r="D1362" s="30" t="s">
        <v>50</v>
      </c>
      <c r="E1362" s="30" t="s">
        <v>27</v>
      </c>
      <c r="F1362" s="30" t="s">
        <v>34</v>
      </c>
      <c r="G1362" s="30" t="s">
        <v>42</v>
      </c>
      <c r="H1362" s="39">
        <v>46127</v>
      </c>
      <c r="I1362" s="79">
        <v>277</v>
      </c>
      <c r="J1362" s="91">
        <v>895</v>
      </c>
      <c r="K1362" s="84">
        <v>7.0000000000000007E-2</v>
      </c>
      <c r="L1362" s="30" t="s">
        <v>30</v>
      </c>
      <c r="M1362" s="160">
        <v>247915</v>
      </c>
      <c r="N1362" s="160">
        <v>230560.95</v>
      </c>
      <c r="O1362" s="30" t="s">
        <v>267</v>
      </c>
    </row>
    <row r="1363" spans="1:15" x14ac:dyDescent="0.3">
      <c r="A1363" s="115" t="s">
        <v>1007</v>
      </c>
      <c r="B1363" s="10" t="s">
        <v>63</v>
      </c>
      <c r="C1363" s="32" t="s">
        <v>253</v>
      </c>
      <c r="D1363" s="32" t="s">
        <v>50</v>
      </c>
      <c r="E1363" s="32" t="s">
        <v>33</v>
      </c>
      <c r="F1363" s="32" t="s">
        <v>52</v>
      </c>
      <c r="G1363" s="32" t="s">
        <v>56</v>
      </c>
      <c r="H1363" s="41">
        <v>46127</v>
      </c>
      <c r="I1363" s="81">
        <v>263</v>
      </c>
      <c r="J1363" s="93">
        <v>750</v>
      </c>
      <c r="K1363" s="86">
        <v>7.0000000000000007E-2</v>
      </c>
      <c r="L1363" s="32" t="s">
        <v>36</v>
      </c>
      <c r="M1363" s="162">
        <v>197250</v>
      </c>
      <c r="N1363" s="162">
        <v>183442.5</v>
      </c>
      <c r="O1363" s="32" t="s">
        <v>267</v>
      </c>
    </row>
    <row r="1364" spans="1:15" x14ac:dyDescent="0.3">
      <c r="A1364" s="115" t="s">
        <v>1008</v>
      </c>
      <c r="B1364" s="11" t="s">
        <v>32</v>
      </c>
      <c r="C1364" s="30" t="s">
        <v>246</v>
      </c>
      <c r="D1364" s="30" t="s">
        <v>26</v>
      </c>
      <c r="E1364" s="30" t="s">
        <v>33</v>
      </c>
      <c r="F1364" s="30" t="s">
        <v>46</v>
      </c>
      <c r="G1364" s="30" t="s">
        <v>47</v>
      </c>
      <c r="H1364" s="39">
        <v>46128</v>
      </c>
      <c r="I1364" s="79">
        <v>93</v>
      </c>
      <c r="J1364" s="91">
        <v>420</v>
      </c>
      <c r="K1364" s="84">
        <v>0.13</v>
      </c>
      <c r="L1364" s="30" t="s">
        <v>36</v>
      </c>
      <c r="M1364" s="160">
        <v>39060</v>
      </c>
      <c r="N1364" s="160">
        <v>33982.199999999997</v>
      </c>
      <c r="O1364" s="30" t="s">
        <v>265</v>
      </c>
    </row>
    <row r="1365" spans="1:15" x14ac:dyDescent="0.3">
      <c r="A1365" s="115" t="s">
        <v>1009</v>
      </c>
      <c r="B1365" s="10" t="s">
        <v>32</v>
      </c>
      <c r="C1365" s="32" t="s">
        <v>246</v>
      </c>
      <c r="D1365" s="32" t="s">
        <v>26</v>
      </c>
      <c r="E1365" s="32" t="s">
        <v>40</v>
      </c>
      <c r="F1365" s="32" t="s">
        <v>28</v>
      </c>
      <c r="G1365" s="32" t="s">
        <v>35</v>
      </c>
      <c r="H1365" s="41">
        <v>46129</v>
      </c>
      <c r="I1365" s="81">
        <v>156</v>
      </c>
      <c r="J1365" s="93">
        <v>420</v>
      </c>
      <c r="K1365" s="86">
        <v>0</v>
      </c>
      <c r="L1365" s="32" t="s">
        <v>36</v>
      </c>
      <c r="M1365" s="162">
        <v>65520</v>
      </c>
      <c r="N1365" s="162">
        <v>65520</v>
      </c>
      <c r="O1365" s="32" t="s">
        <v>265</v>
      </c>
    </row>
    <row r="1366" spans="1:15" x14ac:dyDescent="0.3">
      <c r="A1366" s="115" t="s">
        <v>1010</v>
      </c>
      <c r="B1366" s="11" t="s">
        <v>16</v>
      </c>
      <c r="C1366" s="30" t="s">
        <v>250</v>
      </c>
      <c r="D1366" s="30" t="s">
        <v>39</v>
      </c>
      <c r="E1366" s="30" t="s">
        <v>33</v>
      </c>
      <c r="F1366" s="30" t="s">
        <v>46</v>
      </c>
      <c r="G1366" s="30" t="s">
        <v>42</v>
      </c>
      <c r="H1366" s="39">
        <v>46129</v>
      </c>
      <c r="I1366" s="79">
        <v>213</v>
      </c>
      <c r="J1366" s="91">
        <v>990</v>
      </c>
      <c r="K1366" s="84">
        <v>0</v>
      </c>
      <c r="L1366" s="30" t="s">
        <v>30</v>
      </c>
      <c r="M1366" s="160">
        <v>210870</v>
      </c>
      <c r="N1366" s="160">
        <v>210870</v>
      </c>
      <c r="O1366" s="30" t="s">
        <v>267</v>
      </c>
    </row>
    <row r="1367" spans="1:15" x14ac:dyDescent="0.3">
      <c r="A1367" s="115" t="s">
        <v>1011</v>
      </c>
      <c r="B1367" s="10" t="s">
        <v>44</v>
      </c>
      <c r="C1367" s="32" t="s">
        <v>254</v>
      </c>
      <c r="D1367" s="32" t="s">
        <v>39</v>
      </c>
      <c r="E1367" s="32" t="s">
        <v>27</v>
      </c>
      <c r="F1367" s="32" t="s">
        <v>28</v>
      </c>
      <c r="G1367" s="32" t="s">
        <v>56</v>
      </c>
      <c r="H1367" s="41">
        <v>46130</v>
      </c>
      <c r="I1367" s="81">
        <v>95</v>
      </c>
      <c r="J1367" s="93">
        <v>200</v>
      </c>
      <c r="K1367" s="86">
        <v>0</v>
      </c>
      <c r="L1367" s="32" t="s">
        <v>36</v>
      </c>
      <c r="M1367" s="162">
        <v>19000</v>
      </c>
      <c r="N1367" s="162">
        <v>19000</v>
      </c>
      <c r="O1367" s="32" t="s">
        <v>265</v>
      </c>
    </row>
    <row r="1368" spans="1:15" x14ac:dyDescent="0.3">
      <c r="A1368" s="115" t="s">
        <v>1012</v>
      </c>
      <c r="B1368" s="11" t="s">
        <v>25</v>
      </c>
      <c r="C1368" s="30" t="s">
        <v>257</v>
      </c>
      <c r="D1368" s="30" t="s">
        <v>26</v>
      </c>
      <c r="E1368" s="30" t="s">
        <v>45</v>
      </c>
      <c r="F1368" s="30" t="s">
        <v>41</v>
      </c>
      <c r="G1368" s="30" t="s">
        <v>42</v>
      </c>
      <c r="H1368" s="39">
        <v>46130</v>
      </c>
      <c r="I1368" s="79">
        <v>252</v>
      </c>
      <c r="J1368" s="91">
        <v>350</v>
      </c>
      <c r="K1368" s="84">
        <v>7.0000000000000007E-2</v>
      </c>
      <c r="L1368" s="30" t="s">
        <v>30</v>
      </c>
      <c r="M1368" s="160">
        <v>88200</v>
      </c>
      <c r="N1368" s="160">
        <v>82026</v>
      </c>
      <c r="O1368" s="30" t="s">
        <v>265</v>
      </c>
    </row>
    <row r="1369" spans="1:15" x14ac:dyDescent="0.3">
      <c r="A1369" s="115" t="s">
        <v>1013</v>
      </c>
      <c r="B1369" s="10" t="s">
        <v>55</v>
      </c>
      <c r="C1369" s="32" t="s">
        <v>249</v>
      </c>
      <c r="D1369" s="32" t="s">
        <v>39</v>
      </c>
      <c r="E1369" s="32" t="s">
        <v>45</v>
      </c>
      <c r="F1369" s="32" t="s">
        <v>41</v>
      </c>
      <c r="G1369" s="32" t="s">
        <v>42</v>
      </c>
      <c r="H1369" s="41">
        <v>46130</v>
      </c>
      <c r="I1369" s="81">
        <v>287</v>
      </c>
      <c r="J1369" s="93">
        <v>650</v>
      </c>
      <c r="K1369" s="86">
        <v>0.11</v>
      </c>
      <c r="L1369" s="32" t="s">
        <v>30</v>
      </c>
      <c r="M1369" s="162">
        <v>186550</v>
      </c>
      <c r="N1369" s="162">
        <v>166029.5</v>
      </c>
      <c r="O1369" s="32" t="s">
        <v>267</v>
      </c>
    </row>
    <row r="1370" spans="1:15" x14ac:dyDescent="0.3">
      <c r="A1370" s="115" t="s">
        <v>1014</v>
      </c>
      <c r="B1370" s="11" t="s">
        <v>61</v>
      </c>
      <c r="C1370" s="30" t="s">
        <v>244</v>
      </c>
      <c r="D1370" s="30" t="s">
        <v>26</v>
      </c>
      <c r="E1370" s="30" t="s">
        <v>40</v>
      </c>
      <c r="F1370" s="30" t="s">
        <v>46</v>
      </c>
      <c r="G1370" s="30" t="s">
        <v>53</v>
      </c>
      <c r="H1370" s="39">
        <v>46131</v>
      </c>
      <c r="I1370" s="79">
        <v>401</v>
      </c>
      <c r="J1370" s="91">
        <v>280</v>
      </c>
      <c r="K1370" s="84">
        <v>0</v>
      </c>
      <c r="L1370" s="30" t="s">
        <v>30</v>
      </c>
      <c r="M1370" s="160">
        <v>112280</v>
      </c>
      <c r="N1370" s="160">
        <v>112280</v>
      </c>
      <c r="O1370" s="30" t="s">
        <v>267</v>
      </c>
    </row>
    <row r="1371" spans="1:15" x14ac:dyDescent="0.3">
      <c r="A1371" s="115" t="s">
        <v>1015</v>
      </c>
      <c r="B1371" s="10" t="s">
        <v>32</v>
      </c>
      <c r="C1371" s="32" t="s">
        <v>246</v>
      </c>
      <c r="D1371" s="32" t="s">
        <v>26</v>
      </c>
      <c r="E1371" s="32" t="s">
        <v>40</v>
      </c>
      <c r="F1371" s="32" t="s">
        <v>28</v>
      </c>
      <c r="G1371" s="32" t="s">
        <v>53</v>
      </c>
      <c r="H1371" s="41">
        <v>46131</v>
      </c>
      <c r="I1371" s="81">
        <v>213</v>
      </c>
      <c r="J1371" s="93">
        <v>420</v>
      </c>
      <c r="K1371" s="86">
        <v>0</v>
      </c>
      <c r="L1371" s="32" t="s">
        <v>30</v>
      </c>
      <c r="M1371" s="162">
        <v>89460</v>
      </c>
      <c r="N1371" s="162">
        <v>89460</v>
      </c>
      <c r="O1371" s="32" t="s">
        <v>265</v>
      </c>
    </row>
    <row r="1372" spans="1:15" x14ac:dyDescent="0.3">
      <c r="A1372" s="115" t="s">
        <v>1016</v>
      </c>
      <c r="B1372" s="11" t="s">
        <v>61</v>
      </c>
      <c r="C1372" s="30" t="s">
        <v>244</v>
      </c>
      <c r="D1372" s="30" t="s">
        <v>26</v>
      </c>
      <c r="E1372" s="30" t="s">
        <v>27</v>
      </c>
      <c r="F1372" s="30" t="s">
        <v>41</v>
      </c>
      <c r="G1372" s="30" t="s">
        <v>56</v>
      </c>
      <c r="H1372" s="39">
        <v>46131</v>
      </c>
      <c r="I1372" s="79">
        <v>170</v>
      </c>
      <c r="J1372" s="91">
        <v>280</v>
      </c>
      <c r="K1372" s="84">
        <v>0</v>
      </c>
      <c r="L1372" s="30" t="s">
        <v>36</v>
      </c>
      <c r="M1372" s="160">
        <v>47600</v>
      </c>
      <c r="N1372" s="160">
        <v>47600</v>
      </c>
      <c r="O1372" s="30" t="s">
        <v>265</v>
      </c>
    </row>
    <row r="1373" spans="1:15" x14ac:dyDescent="0.3">
      <c r="A1373" s="115" t="s">
        <v>1017</v>
      </c>
      <c r="B1373" s="10" t="s">
        <v>262</v>
      </c>
      <c r="C1373" s="32" t="s">
        <v>263</v>
      </c>
      <c r="D1373" s="32" t="s">
        <v>50</v>
      </c>
      <c r="E1373" s="32" t="s">
        <v>33</v>
      </c>
      <c r="F1373" s="32" t="s">
        <v>46</v>
      </c>
      <c r="G1373" s="32" t="s">
        <v>56</v>
      </c>
      <c r="H1373" s="41">
        <v>46133</v>
      </c>
      <c r="I1373" s="81">
        <v>182</v>
      </c>
      <c r="J1373" s="93">
        <v>820</v>
      </c>
      <c r="K1373" s="86">
        <v>0.13</v>
      </c>
      <c r="L1373" s="32" t="s">
        <v>30</v>
      </c>
      <c r="M1373" s="162">
        <v>149240</v>
      </c>
      <c r="N1373" s="162">
        <v>129838.8</v>
      </c>
      <c r="O1373" s="32" t="s">
        <v>267</v>
      </c>
    </row>
    <row r="1374" spans="1:15" x14ac:dyDescent="0.3">
      <c r="A1374" s="115" t="s">
        <v>1018</v>
      </c>
      <c r="B1374" s="11" t="s">
        <v>32</v>
      </c>
      <c r="C1374" s="30" t="s">
        <v>246</v>
      </c>
      <c r="D1374" s="30" t="s">
        <v>26</v>
      </c>
      <c r="E1374" s="30" t="s">
        <v>33</v>
      </c>
      <c r="F1374" s="30" t="s">
        <v>34</v>
      </c>
      <c r="G1374" s="30" t="s">
        <v>47</v>
      </c>
      <c r="H1374" s="39">
        <v>46133</v>
      </c>
      <c r="I1374" s="79">
        <v>347</v>
      </c>
      <c r="J1374" s="91">
        <v>420</v>
      </c>
      <c r="K1374" s="84">
        <v>0.08</v>
      </c>
      <c r="L1374" s="30" t="s">
        <v>36</v>
      </c>
      <c r="M1374" s="160">
        <v>145740</v>
      </c>
      <c r="N1374" s="160">
        <v>134080.79999999999</v>
      </c>
      <c r="O1374" s="30" t="s">
        <v>267</v>
      </c>
    </row>
    <row r="1375" spans="1:15" x14ac:dyDescent="0.3">
      <c r="A1375" s="115" t="s">
        <v>1019</v>
      </c>
      <c r="B1375" s="10" t="s">
        <v>44</v>
      </c>
      <c r="C1375" s="32" t="s">
        <v>254</v>
      </c>
      <c r="D1375" s="32" t="s">
        <v>39</v>
      </c>
      <c r="E1375" s="32" t="s">
        <v>40</v>
      </c>
      <c r="F1375" s="32" t="s">
        <v>52</v>
      </c>
      <c r="G1375" s="32" t="s">
        <v>53</v>
      </c>
      <c r="H1375" s="41">
        <v>46133</v>
      </c>
      <c r="I1375" s="81">
        <v>232</v>
      </c>
      <c r="J1375" s="93">
        <v>200</v>
      </c>
      <c r="K1375" s="86">
        <v>0</v>
      </c>
      <c r="L1375" s="32" t="s">
        <v>36</v>
      </c>
      <c r="M1375" s="162">
        <v>46400</v>
      </c>
      <c r="N1375" s="162">
        <v>46400</v>
      </c>
      <c r="O1375" s="32" t="s">
        <v>265</v>
      </c>
    </row>
    <row r="1376" spans="1:15" x14ac:dyDescent="0.3">
      <c r="A1376" s="115" t="s">
        <v>1020</v>
      </c>
      <c r="B1376" s="11" t="s">
        <v>63</v>
      </c>
      <c r="C1376" s="30" t="s">
        <v>253</v>
      </c>
      <c r="D1376" s="30" t="s">
        <v>50</v>
      </c>
      <c r="E1376" s="30" t="s">
        <v>51</v>
      </c>
      <c r="F1376" s="30" t="s">
        <v>41</v>
      </c>
      <c r="G1376" s="30" t="s">
        <v>35</v>
      </c>
      <c r="H1376" s="39">
        <v>46134</v>
      </c>
      <c r="I1376" s="79">
        <v>41</v>
      </c>
      <c r="J1376" s="91">
        <v>750</v>
      </c>
      <c r="K1376" s="84">
        <v>0</v>
      </c>
      <c r="L1376" s="30" t="s">
        <v>30</v>
      </c>
      <c r="M1376" s="160">
        <v>30750</v>
      </c>
      <c r="N1376" s="160">
        <v>30750</v>
      </c>
      <c r="O1376" s="30" t="s">
        <v>265</v>
      </c>
    </row>
    <row r="1377" spans="1:15" x14ac:dyDescent="0.3">
      <c r="A1377" s="115" t="s">
        <v>1021</v>
      </c>
      <c r="B1377" s="10" t="s">
        <v>49</v>
      </c>
      <c r="C1377" s="32" t="s">
        <v>251</v>
      </c>
      <c r="D1377" s="32" t="s">
        <v>50</v>
      </c>
      <c r="E1377" s="32" t="s">
        <v>33</v>
      </c>
      <c r="F1377" s="32" t="s">
        <v>41</v>
      </c>
      <c r="G1377" s="32" t="s">
        <v>42</v>
      </c>
      <c r="H1377" s="41">
        <v>46134</v>
      </c>
      <c r="I1377" s="81">
        <v>320</v>
      </c>
      <c r="J1377" s="93">
        <v>895</v>
      </c>
      <c r="K1377" s="86">
        <v>0.08</v>
      </c>
      <c r="L1377" s="32" t="s">
        <v>36</v>
      </c>
      <c r="M1377" s="162">
        <v>286400</v>
      </c>
      <c r="N1377" s="162">
        <v>263488</v>
      </c>
      <c r="O1377" s="32" t="s">
        <v>267</v>
      </c>
    </row>
    <row r="1378" spans="1:15" x14ac:dyDescent="0.3">
      <c r="A1378" s="115" t="s">
        <v>1022</v>
      </c>
      <c r="B1378" s="11" t="s">
        <v>63</v>
      </c>
      <c r="C1378" s="30" t="s">
        <v>253</v>
      </c>
      <c r="D1378" s="30" t="s">
        <v>50</v>
      </c>
      <c r="E1378" s="30" t="s">
        <v>40</v>
      </c>
      <c r="F1378" s="30" t="s">
        <v>34</v>
      </c>
      <c r="G1378" s="30" t="s">
        <v>56</v>
      </c>
      <c r="H1378" s="39">
        <v>46136</v>
      </c>
      <c r="I1378" s="79">
        <v>43</v>
      </c>
      <c r="J1378" s="91">
        <v>750</v>
      </c>
      <c r="K1378" s="84">
        <v>0.05</v>
      </c>
      <c r="L1378" s="30" t="s">
        <v>36</v>
      </c>
      <c r="M1378" s="160">
        <v>32250</v>
      </c>
      <c r="N1378" s="160">
        <v>30637.5</v>
      </c>
      <c r="O1378" s="30" t="s">
        <v>265</v>
      </c>
    </row>
    <row r="1379" spans="1:15" x14ac:dyDescent="0.3">
      <c r="A1379" s="115" t="s">
        <v>1023</v>
      </c>
      <c r="B1379" s="10" t="s">
        <v>260</v>
      </c>
      <c r="C1379" s="32" t="s">
        <v>261</v>
      </c>
      <c r="D1379" s="32" t="s">
        <v>39</v>
      </c>
      <c r="E1379" s="32" t="s">
        <v>27</v>
      </c>
      <c r="F1379" s="32" t="s">
        <v>28</v>
      </c>
      <c r="G1379" s="32" t="s">
        <v>53</v>
      </c>
      <c r="H1379" s="41">
        <v>46136</v>
      </c>
      <c r="I1379" s="81">
        <v>88</v>
      </c>
      <c r="J1379" s="93">
        <v>450</v>
      </c>
      <c r="K1379" s="86">
        <v>0.03</v>
      </c>
      <c r="L1379" s="32" t="s">
        <v>36</v>
      </c>
      <c r="M1379" s="162">
        <v>39600</v>
      </c>
      <c r="N1379" s="162">
        <v>38412</v>
      </c>
      <c r="O1379" s="32" t="s">
        <v>265</v>
      </c>
    </row>
    <row r="1380" spans="1:15" x14ac:dyDescent="0.3">
      <c r="A1380" s="115" t="s">
        <v>1024</v>
      </c>
      <c r="B1380" s="11" t="s">
        <v>262</v>
      </c>
      <c r="C1380" s="30" t="s">
        <v>263</v>
      </c>
      <c r="D1380" s="30" t="s">
        <v>50</v>
      </c>
      <c r="E1380" s="30" t="s">
        <v>40</v>
      </c>
      <c r="F1380" s="30" t="s">
        <v>41</v>
      </c>
      <c r="G1380" s="30" t="s">
        <v>47</v>
      </c>
      <c r="H1380" s="39">
        <v>46137</v>
      </c>
      <c r="I1380" s="79">
        <v>263</v>
      </c>
      <c r="J1380" s="91">
        <v>820</v>
      </c>
      <c r="K1380" s="84">
        <v>7.0000000000000007E-2</v>
      </c>
      <c r="L1380" s="30" t="s">
        <v>36</v>
      </c>
      <c r="M1380" s="160">
        <v>215660</v>
      </c>
      <c r="N1380" s="160">
        <v>200563.8</v>
      </c>
      <c r="O1380" s="30" t="s">
        <v>267</v>
      </c>
    </row>
    <row r="1381" spans="1:15" x14ac:dyDescent="0.3">
      <c r="A1381" s="115" t="s">
        <v>1025</v>
      </c>
      <c r="B1381" s="10" t="s">
        <v>49</v>
      </c>
      <c r="C1381" s="32" t="s">
        <v>251</v>
      </c>
      <c r="D1381" s="32" t="s">
        <v>50</v>
      </c>
      <c r="E1381" s="32" t="s">
        <v>45</v>
      </c>
      <c r="F1381" s="32" t="s">
        <v>28</v>
      </c>
      <c r="G1381" s="32" t="s">
        <v>42</v>
      </c>
      <c r="H1381" s="41">
        <v>46137</v>
      </c>
      <c r="I1381" s="81">
        <v>128</v>
      </c>
      <c r="J1381" s="93">
        <v>895</v>
      </c>
      <c r="K1381" s="86">
        <v>0.13</v>
      </c>
      <c r="L1381" s="32" t="s">
        <v>36</v>
      </c>
      <c r="M1381" s="162">
        <v>114560</v>
      </c>
      <c r="N1381" s="162">
        <v>99667.199999999997</v>
      </c>
      <c r="O1381" s="32" t="s">
        <v>265</v>
      </c>
    </row>
    <row r="1382" spans="1:15" x14ac:dyDescent="0.3">
      <c r="A1382" s="115" t="s">
        <v>1026</v>
      </c>
      <c r="B1382" s="11" t="s">
        <v>260</v>
      </c>
      <c r="C1382" s="30" t="s">
        <v>261</v>
      </c>
      <c r="D1382" s="30" t="s">
        <v>39</v>
      </c>
      <c r="E1382" s="30" t="s">
        <v>33</v>
      </c>
      <c r="F1382" s="30" t="s">
        <v>34</v>
      </c>
      <c r="G1382" s="30" t="s">
        <v>56</v>
      </c>
      <c r="H1382" s="39">
        <v>46137</v>
      </c>
      <c r="I1382" s="79">
        <v>316</v>
      </c>
      <c r="J1382" s="91">
        <v>450</v>
      </c>
      <c r="K1382" s="84">
        <v>0.14000000000000001</v>
      </c>
      <c r="L1382" s="30" t="s">
        <v>36</v>
      </c>
      <c r="M1382" s="160">
        <v>142200</v>
      </c>
      <c r="N1382" s="160">
        <v>122292</v>
      </c>
      <c r="O1382" s="30" t="s">
        <v>267</v>
      </c>
    </row>
    <row r="1383" spans="1:15" x14ac:dyDescent="0.3">
      <c r="A1383" s="115" t="s">
        <v>1027</v>
      </c>
      <c r="B1383" s="10" t="s">
        <v>44</v>
      </c>
      <c r="C1383" s="32" t="s">
        <v>254</v>
      </c>
      <c r="D1383" s="32" t="s">
        <v>39</v>
      </c>
      <c r="E1383" s="32" t="s">
        <v>27</v>
      </c>
      <c r="F1383" s="32" t="s">
        <v>41</v>
      </c>
      <c r="G1383" s="32" t="s">
        <v>56</v>
      </c>
      <c r="H1383" s="41">
        <v>46138</v>
      </c>
      <c r="I1383" s="81">
        <v>429</v>
      </c>
      <c r="J1383" s="93">
        <v>200</v>
      </c>
      <c r="K1383" s="86">
        <v>0.13</v>
      </c>
      <c r="L1383" s="32" t="s">
        <v>36</v>
      </c>
      <c r="M1383" s="162">
        <v>85800</v>
      </c>
      <c r="N1383" s="162">
        <v>74646</v>
      </c>
      <c r="O1383" s="32" t="s">
        <v>265</v>
      </c>
    </row>
    <row r="1384" spans="1:15" x14ac:dyDescent="0.3">
      <c r="A1384" s="115" t="s">
        <v>1529</v>
      </c>
      <c r="B1384" s="11" t="s">
        <v>262</v>
      </c>
      <c r="C1384" s="30" t="s">
        <v>263</v>
      </c>
      <c r="D1384" s="30" t="s">
        <v>50</v>
      </c>
      <c r="E1384" s="30" t="s">
        <v>27</v>
      </c>
      <c r="F1384" s="30" t="s">
        <v>46</v>
      </c>
      <c r="G1384" s="30" t="s">
        <v>42</v>
      </c>
      <c r="H1384" s="39">
        <v>46138</v>
      </c>
      <c r="I1384" s="79">
        <v>373</v>
      </c>
      <c r="J1384" s="91">
        <v>820</v>
      </c>
      <c r="K1384" s="84">
        <v>0.11</v>
      </c>
      <c r="L1384" s="30" t="s">
        <v>36</v>
      </c>
      <c r="M1384" s="160">
        <v>305860</v>
      </c>
      <c r="N1384" s="160">
        <v>272215.40000000002</v>
      </c>
      <c r="O1384" s="30" t="s">
        <v>267</v>
      </c>
    </row>
    <row r="1385" spans="1:15" x14ac:dyDescent="0.3">
      <c r="A1385" s="115" t="s">
        <v>1530</v>
      </c>
      <c r="B1385" s="10" t="s">
        <v>25</v>
      </c>
      <c r="C1385" s="32" t="s">
        <v>257</v>
      </c>
      <c r="D1385" s="32" t="s">
        <v>26</v>
      </c>
      <c r="E1385" s="32" t="s">
        <v>40</v>
      </c>
      <c r="F1385" s="32" t="s">
        <v>52</v>
      </c>
      <c r="G1385" s="32" t="s">
        <v>47</v>
      </c>
      <c r="H1385" s="41">
        <v>46138</v>
      </c>
      <c r="I1385" s="81">
        <v>276</v>
      </c>
      <c r="J1385" s="93">
        <v>350</v>
      </c>
      <c r="K1385" s="86">
        <v>0.13</v>
      </c>
      <c r="L1385" s="32" t="s">
        <v>36</v>
      </c>
      <c r="M1385" s="162">
        <v>96600</v>
      </c>
      <c r="N1385" s="162">
        <v>84042</v>
      </c>
      <c r="O1385" s="32" t="s">
        <v>265</v>
      </c>
    </row>
    <row r="1386" spans="1:15" x14ac:dyDescent="0.3">
      <c r="A1386" s="115" t="s">
        <v>1531</v>
      </c>
      <c r="B1386" s="11" t="s">
        <v>44</v>
      </c>
      <c r="C1386" s="30" t="s">
        <v>254</v>
      </c>
      <c r="D1386" s="30" t="s">
        <v>39</v>
      </c>
      <c r="E1386" s="30" t="s">
        <v>51</v>
      </c>
      <c r="F1386" s="30" t="s">
        <v>46</v>
      </c>
      <c r="G1386" s="30" t="s">
        <v>35</v>
      </c>
      <c r="H1386" s="39">
        <v>46140</v>
      </c>
      <c r="I1386" s="79">
        <v>279</v>
      </c>
      <c r="J1386" s="91">
        <v>200</v>
      </c>
      <c r="K1386" s="84">
        <v>0.11</v>
      </c>
      <c r="L1386" s="30" t="s">
        <v>36</v>
      </c>
      <c r="M1386" s="160">
        <v>55800</v>
      </c>
      <c r="N1386" s="160">
        <v>49662</v>
      </c>
      <c r="O1386" s="30" t="s">
        <v>265</v>
      </c>
    </row>
    <row r="1387" spans="1:15" x14ac:dyDescent="0.3">
      <c r="A1387" s="115" t="s">
        <v>1532</v>
      </c>
      <c r="B1387" s="10" t="s">
        <v>38</v>
      </c>
      <c r="C1387" s="32" t="s">
        <v>247</v>
      </c>
      <c r="D1387" s="32" t="s">
        <v>39</v>
      </c>
      <c r="E1387" s="32" t="s">
        <v>33</v>
      </c>
      <c r="F1387" s="32" t="s">
        <v>46</v>
      </c>
      <c r="G1387" s="32" t="s">
        <v>56</v>
      </c>
      <c r="H1387" s="41">
        <v>46140</v>
      </c>
      <c r="I1387" s="81">
        <v>136</v>
      </c>
      <c r="J1387" s="93">
        <v>1200</v>
      </c>
      <c r="K1387" s="86">
        <v>0.14000000000000001</v>
      </c>
      <c r="L1387" s="32" t="s">
        <v>36</v>
      </c>
      <c r="M1387" s="162">
        <v>163200</v>
      </c>
      <c r="N1387" s="162">
        <v>140352</v>
      </c>
      <c r="O1387" s="32" t="s">
        <v>267</v>
      </c>
    </row>
    <row r="1388" spans="1:15" x14ac:dyDescent="0.3">
      <c r="A1388" s="115" t="s">
        <v>1533</v>
      </c>
      <c r="B1388" s="11" t="s">
        <v>55</v>
      </c>
      <c r="C1388" s="30" t="s">
        <v>249</v>
      </c>
      <c r="D1388" s="30" t="s">
        <v>39</v>
      </c>
      <c r="E1388" s="30" t="s">
        <v>33</v>
      </c>
      <c r="F1388" s="30" t="s">
        <v>34</v>
      </c>
      <c r="G1388" s="30" t="s">
        <v>35</v>
      </c>
      <c r="H1388" s="39">
        <v>46142</v>
      </c>
      <c r="I1388" s="79">
        <v>397</v>
      </c>
      <c r="J1388" s="91">
        <v>650</v>
      </c>
      <c r="K1388" s="84">
        <v>0</v>
      </c>
      <c r="L1388" s="30" t="s">
        <v>30</v>
      </c>
      <c r="M1388" s="160">
        <v>258050</v>
      </c>
      <c r="N1388" s="160">
        <v>258050</v>
      </c>
      <c r="O1388" s="30" t="s">
        <v>267</v>
      </c>
    </row>
    <row r="1389" spans="1:15" x14ac:dyDescent="0.3">
      <c r="A1389" s="115" t="s">
        <v>1534</v>
      </c>
      <c r="B1389" s="10" t="s">
        <v>49</v>
      </c>
      <c r="C1389" s="32" t="s">
        <v>251</v>
      </c>
      <c r="D1389" s="32" t="s">
        <v>50</v>
      </c>
      <c r="E1389" s="32" t="s">
        <v>40</v>
      </c>
      <c r="F1389" s="32" t="s">
        <v>46</v>
      </c>
      <c r="G1389" s="32" t="s">
        <v>42</v>
      </c>
      <c r="H1389" s="41">
        <v>46143</v>
      </c>
      <c r="I1389" s="81">
        <v>135</v>
      </c>
      <c r="J1389" s="93">
        <v>895</v>
      </c>
      <c r="K1389" s="86">
        <v>0.1</v>
      </c>
      <c r="L1389" s="32" t="s">
        <v>30</v>
      </c>
      <c r="M1389" s="162">
        <v>120825</v>
      </c>
      <c r="N1389" s="162">
        <v>108742.5</v>
      </c>
      <c r="O1389" s="32" t="s">
        <v>267</v>
      </c>
    </row>
    <row r="1390" spans="1:15" x14ac:dyDescent="0.3">
      <c r="A1390" s="115" t="s">
        <v>1535</v>
      </c>
      <c r="B1390" s="11" t="s">
        <v>32</v>
      </c>
      <c r="C1390" s="30" t="s">
        <v>246</v>
      </c>
      <c r="D1390" s="30" t="s">
        <v>26</v>
      </c>
      <c r="E1390" s="30" t="s">
        <v>27</v>
      </c>
      <c r="F1390" s="30" t="s">
        <v>34</v>
      </c>
      <c r="G1390" s="30" t="s">
        <v>53</v>
      </c>
      <c r="H1390" s="39">
        <v>46143</v>
      </c>
      <c r="I1390" s="79">
        <v>426</v>
      </c>
      <c r="J1390" s="91">
        <v>420</v>
      </c>
      <c r="K1390" s="84">
        <v>0.13</v>
      </c>
      <c r="L1390" s="30" t="s">
        <v>30</v>
      </c>
      <c r="M1390" s="160">
        <v>178920</v>
      </c>
      <c r="N1390" s="160">
        <v>155660.4</v>
      </c>
      <c r="O1390" s="30" t="s">
        <v>267</v>
      </c>
    </row>
    <row r="1391" spans="1:15" x14ac:dyDescent="0.3">
      <c r="A1391" s="115" t="s">
        <v>1536</v>
      </c>
      <c r="B1391" s="10" t="s">
        <v>32</v>
      </c>
      <c r="C1391" s="32" t="s">
        <v>246</v>
      </c>
      <c r="D1391" s="32" t="s">
        <v>26</v>
      </c>
      <c r="E1391" s="32" t="s">
        <v>45</v>
      </c>
      <c r="F1391" s="32" t="s">
        <v>28</v>
      </c>
      <c r="G1391" s="32" t="s">
        <v>29</v>
      </c>
      <c r="H1391" s="41">
        <v>46144</v>
      </c>
      <c r="I1391" s="81">
        <v>291</v>
      </c>
      <c r="J1391" s="93">
        <v>420</v>
      </c>
      <c r="K1391" s="86">
        <v>0.14000000000000001</v>
      </c>
      <c r="L1391" s="32" t="s">
        <v>36</v>
      </c>
      <c r="M1391" s="162">
        <v>122220</v>
      </c>
      <c r="N1391" s="162">
        <v>105109.2</v>
      </c>
      <c r="O1391" s="32" t="s">
        <v>267</v>
      </c>
    </row>
    <row r="1392" spans="1:15" x14ac:dyDescent="0.3">
      <c r="A1392" s="115" t="s">
        <v>1537</v>
      </c>
      <c r="B1392" s="11" t="s">
        <v>63</v>
      </c>
      <c r="C1392" s="30" t="s">
        <v>253</v>
      </c>
      <c r="D1392" s="30" t="s">
        <v>50</v>
      </c>
      <c r="E1392" s="30" t="s">
        <v>27</v>
      </c>
      <c r="F1392" s="30" t="s">
        <v>52</v>
      </c>
      <c r="G1392" s="30" t="s">
        <v>53</v>
      </c>
      <c r="H1392" s="39">
        <v>46144</v>
      </c>
      <c r="I1392" s="79">
        <v>345</v>
      </c>
      <c r="J1392" s="91">
        <v>750</v>
      </c>
      <c r="K1392" s="84">
        <v>0.14000000000000001</v>
      </c>
      <c r="L1392" s="30" t="s">
        <v>36</v>
      </c>
      <c r="M1392" s="160">
        <v>258750</v>
      </c>
      <c r="N1392" s="160">
        <v>222525</v>
      </c>
      <c r="O1392" s="30" t="s">
        <v>267</v>
      </c>
    </row>
    <row r="1393" spans="1:15" x14ac:dyDescent="0.3">
      <c r="A1393" s="115" t="s">
        <v>1538</v>
      </c>
      <c r="B1393" s="10" t="s">
        <v>61</v>
      </c>
      <c r="C1393" s="32" t="s">
        <v>244</v>
      </c>
      <c r="D1393" s="32" t="s">
        <v>26</v>
      </c>
      <c r="E1393" s="32" t="s">
        <v>51</v>
      </c>
      <c r="F1393" s="32" t="s">
        <v>52</v>
      </c>
      <c r="G1393" s="32" t="s">
        <v>47</v>
      </c>
      <c r="H1393" s="41">
        <v>46144</v>
      </c>
      <c r="I1393" s="81">
        <v>308</v>
      </c>
      <c r="J1393" s="93">
        <v>280</v>
      </c>
      <c r="K1393" s="86">
        <v>0.03</v>
      </c>
      <c r="L1393" s="32" t="s">
        <v>36</v>
      </c>
      <c r="M1393" s="162">
        <v>86240</v>
      </c>
      <c r="N1393" s="162">
        <v>83652.800000000003</v>
      </c>
      <c r="O1393" s="32" t="s">
        <v>265</v>
      </c>
    </row>
    <row r="1394" spans="1:15" x14ac:dyDescent="0.3">
      <c r="A1394" s="115" t="s">
        <v>1539</v>
      </c>
      <c r="B1394" s="11" t="s">
        <v>16</v>
      </c>
      <c r="C1394" s="30" t="s">
        <v>250</v>
      </c>
      <c r="D1394" s="30" t="s">
        <v>39</v>
      </c>
      <c r="E1394" s="30" t="s">
        <v>27</v>
      </c>
      <c r="F1394" s="30" t="s">
        <v>46</v>
      </c>
      <c r="G1394" s="30" t="s">
        <v>47</v>
      </c>
      <c r="H1394" s="39">
        <v>46148</v>
      </c>
      <c r="I1394" s="79">
        <v>157</v>
      </c>
      <c r="J1394" s="91">
        <v>990</v>
      </c>
      <c r="K1394" s="84">
        <v>0.15</v>
      </c>
      <c r="L1394" s="30" t="s">
        <v>36</v>
      </c>
      <c r="M1394" s="160">
        <v>155430</v>
      </c>
      <c r="N1394" s="160">
        <v>132115.5</v>
      </c>
      <c r="O1394" s="30" t="s">
        <v>267</v>
      </c>
    </row>
    <row r="1395" spans="1:15" x14ac:dyDescent="0.3">
      <c r="A1395" s="115" t="s">
        <v>1540</v>
      </c>
      <c r="B1395" s="10" t="s">
        <v>38</v>
      </c>
      <c r="C1395" s="32" t="s">
        <v>247</v>
      </c>
      <c r="D1395" s="32" t="s">
        <v>39</v>
      </c>
      <c r="E1395" s="32" t="s">
        <v>45</v>
      </c>
      <c r="F1395" s="32" t="s">
        <v>28</v>
      </c>
      <c r="G1395" s="32" t="s">
        <v>47</v>
      </c>
      <c r="H1395" s="41">
        <v>46148</v>
      </c>
      <c r="I1395" s="81">
        <v>39</v>
      </c>
      <c r="J1395" s="93">
        <v>1200</v>
      </c>
      <c r="K1395" s="86">
        <v>0.03</v>
      </c>
      <c r="L1395" s="32" t="s">
        <v>36</v>
      </c>
      <c r="M1395" s="162">
        <v>46800</v>
      </c>
      <c r="N1395" s="162">
        <v>45396</v>
      </c>
      <c r="O1395" s="32" t="s">
        <v>265</v>
      </c>
    </row>
    <row r="1396" spans="1:15" x14ac:dyDescent="0.3">
      <c r="A1396" s="115" t="s">
        <v>1541</v>
      </c>
      <c r="B1396" s="11" t="s">
        <v>55</v>
      </c>
      <c r="C1396" s="30" t="s">
        <v>249</v>
      </c>
      <c r="D1396" s="30" t="s">
        <v>39</v>
      </c>
      <c r="E1396" s="30" t="s">
        <v>33</v>
      </c>
      <c r="F1396" s="30" t="s">
        <v>34</v>
      </c>
      <c r="G1396" s="30" t="s">
        <v>47</v>
      </c>
      <c r="H1396" s="39">
        <v>46149</v>
      </c>
      <c r="I1396" s="79">
        <v>352</v>
      </c>
      <c r="J1396" s="91">
        <v>650</v>
      </c>
      <c r="K1396" s="84">
        <v>0.03</v>
      </c>
      <c r="L1396" s="30" t="s">
        <v>30</v>
      </c>
      <c r="M1396" s="160">
        <v>228800</v>
      </c>
      <c r="N1396" s="160">
        <v>221936</v>
      </c>
      <c r="O1396" s="30" t="s">
        <v>267</v>
      </c>
    </row>
    <row r="1397" spans="1:15" x14ac:dyDescent="0.3">
      <c r="A1397" s="115" t="s">
        <v>1542</v>
      </c>
      <c r="B1397" s="10" t="s">
        <v>25</v>
      </c>
      <c r="C1397" s="32" t="s">
        <v>257</v>
      </c>
      <c r="D1397" s="32" t="s">
        <v>26</v>
      </c>
      <c r="E1397" s="32" t="s">
        <v>45</v>
      </c>
      <c r="F1397" s="32" t="s">
        <v>34</v>
      </c>
      <c r="G1397" s="32" t="s">
        <v>35</v>
      </c>
      <c r="H1397" s="41">
        <v>46149</v>
      </c>
      <c r="I1397" s="81">
        <v>211</v>
      </c>
      <c r="J1397" s="93">
        <v>350</v>
      </c>
      <c r="K1397" s="86">
        <v>0</v>
      </c>
      <c r="L1397" s="32" t="s">
        <v>30</v>
      </c>
      <c r="M1397" s="162">
        <v>73850</v>
      </c>
      <c r="N1397" s="162">
        <v>73850</v>
      </c>
      <c r="O1397" s="32" t="s">
        <v>265</v>
      </c>
    </row>
    <row r="1398" spans="1:15" x14ac:dyDescent="0.3">
      <c r="A1398" s="115" t="s">
        <v>1543</v>
      </c>
      <c r="B1398" s="11" t="s">
        <v>32</v>
      </c>
      <c r="C1398" s="30" t="s">
        <v>246</v>
      </c>
      <c r="D1398" s="30" t="s">
        <v>26</v>
      </c>
      <c r="E1398" s="30" t="s">
        <v>45</v>
      </c>
      <c r="F1398" s="30" t="s">
        <v>52</v>
      </c>
      <c r="G1398" s="30" t="s">
        <v>56</v>
      </c>
      <c r="H1398" s="39">
        <v>46149</v>
      </c>
      <c r="I1398" s="79">
        <v>372</v>
      </c>
      <c r="J1398" s="91">
        <v>420</v>
      </c>
      <c r="K1398" s="84">
        <v>0.05</v>
      </c>
      <c r="L1398" s="30" t="s">
        <v>36</v>
      </c>
      <c r="M1398" s="160">
        <v>156240</v>
      </c>
      <c r="N1398" s="160">
        <v>148428</v>
      </c>
      <c r="O1398" s="30" t="s">
        <v>267</v>
      </c>
    </row>
    <row r="1399" spans="1:15" x14ac:dyDescent="0.3">
      <c r="A1399" s="115" t="s">
        <v>1544</v>
      </c>
      <c r="B1399" s="10" t="s">
        <v>61</v>
      </c>
      <c r="C1399" s="32" t="s">
        <v>244</v>
      </c>
      <c r="D1399" s="32" t="s">
        <v>26</v>
      </c>
      <c r="E1399" s="32" t="s">
        <v>51</v>
      </c>
      <c r="F1399" s="32" t="s">
        <v>46</v>
      </c>
      <c r="G1399" s="32" t="s">
        <v>47</v>
      </c>
      <c r="H1399" s="41">
        <v>46150</v>
      </c>
      <c r="I1399" s="81">
        <v>259</v>
      </c>
      <c r="J1399" s="93">
        <v>280</v>
      </c>
      <c r="K1399" s="86">
        <v>7.0000000000000007E-2</v>
      </c>
      <c r="L1399" s="32" t="s">
        <v>36</v>
      </c>
      <c r="M1399" s="162">
        <v>72520</v>
      </c>
      <c r="N1399" s="162">
        <v>67443.600000000006</v>
      </c>
      <c r="O1399" s="32" t="s">
        <v>265</v>
      </c>
    </row>
    <row r="1400" spans="1:15" x14ac:dyDescent="0.3">
      <c r="A1400" s="115" t="s">
        <v>1545</v>
      </c>
      <c r="B1400" s="11" t="s">
        <v>262</v>
      </c>
      <c r="C1400" s="30" t="s">
        <v>263</v>
      </c>
      <c r="D1400" s="30" t="s">
        <v>50</v>
      </c>
      <c r="E1400" s="30" t="s">
        <v>45</v>
      </c>
      <c r="F1400" s="30" t="s">
        <v>41</v>
      </c>
      <c r="G1400" s="30" t="s">
        <v>53</v>
      </c>
      <c r="H1400" s="39">
        <v>46150</v>
      </c>
      <c r="I1400" s="79">
        <v>311</v>
      </c>
      <c r="J1400" s="91">
        <v>820</v>
      </c>
      <c r="K1400" s="84">
        <v>0</v>
      </c>
      <c r="L1400" s="30" t="s">
        <v>30</v>
      </c>
      <c r="M1400" s="160">
        <v>255020</v>
      </c>
      <c r="N1400" s="160">
        <v>255020</v>
      </c>
      <c r="O1400" s="30" t="s">
        <v>267</v>
      </c>
    </row>
    <row r="1401" spans="1:15" x14ac:dyDescent="0.3">
      <c r="A1401" s="115" t="s">
        <v>1546</v>
      </c>
      <c r="B1401" s="10" t="s">
        <v>16</v>
      </c>
      <c r="C1401" s="32" t="s">
        <v>250</v>
      </c>
      <c r="D1401" s="32" t="s">
        <v>39</v>
      </c>
      <c r="E1401" s="32" t="s">
        <v>33</v>
      </c>
      <c r="F1401" s="32" t="s">
        <v>28</v>
      </c>
      <c r="G1401" s="32" t="s">
        <v>47</v>
      </c>
      <c r="H1401" s="41">
        <v>46150</v>
      </c>
      <c r="I1401" s="81">
        <v>374</v>
      </c>
      <c r="J1401" s="93">
        <v>990</v>
      </c>
      <c r="K1401" s="86">
        <v>0.11</v>
      </c>
      <c r="L1401" s="32" t="s">
        <v>36</v>
      </c>
      <c r="M1401" s="162">
        <v>370260</v>
      </c>
      <c r="N1401" s="162">
        <v>329531.40000000002</v>
      </c>
      <c r="O1401" s="32" t="s">
        <v>267</v>
      </c>
    </row>
    <row r="1402" spans="1:15" x14ac:dyDescent="0.3">
      <c r="A1402" s="115" t="s">
        <v>1547</v>
      </c>
      <c r="B1402" s="11" t="s">
        <v>61</v>
      </c>
      <c r="C1402" s="30" t="s">
        <v>244</v>
      </c>
      <c r="D1402" s="30" t="s">
        <v>26</v>
      </c>
      <c r="E1402" s="30" t="s">
        <v>27</v>
      </c>
      <c r="F1402" s="30" t="s">
        <v>52</v>
      </c>
      <c r="G1402" s="30" t="s">
        <v>29</v>
      </c>
      <c r="H1402" s="39">
        <v>46151</v>
      </c>
      <c r="I1402" s="79">
        <v>188</v>
      </c>
      <c r="J1402" s="91">
        <v>280</v>
      </c>
      <c r="K1402" s="84">
        <v>0</v>
      </c>
      <c r="L1402" s="30" t="s">
        <v>36</v>
      </c>
      <c r="M1402" s="160">
        <v>52640</v>
      </c>
      <c r="N1402" s="160">
        <v>52640</v>
      </c>
      <c r="O1402" s="30" t="s">
        <v>265</v>
      </c>
    </row>
    <row r="1403" spans="1:15" x14ac:dyDescent="0.3">
      <c r="A1403" s="115" t="s">
        <v>1548</v>
      </c>
      <c r="B1403" s="10" t="s">
        <v>44</v>
      </c>
      <c r="C1403" s="32" t="s">
        <v>254</v>
      </c>
      <c r="D1403" s="32" t="s">
        <v>39</v>
      </c>
      <c r="E1403" s="32" t="s">
        <v>33</v>
      </c>
      <c r="F1403" s="32" t="s">
        <v>41</v>
      </c>
      <c r="G1403" s="32" t="s">
        <v>35</v>
      </c>
      <c r="H1403" s="41">
        <v>46151</v>
      </c>
      <c r="I1403" s="81">
        <v>196</v>
      </c>
      <c r="J1403" s="93">
        <v>200</v>
      </c>
      <c r="K1403" s="86">
        <v>0.05</v>
      </c>
      <c r="L1403" s="32" t="s">
        <v>30</v>
      </c>
      <c r="M1403" s="162">
        <v>39200</v>
      </c>
      <c r="N1403" s="162">
        <v>37240</v>
      </c>
      <c r="O1403" s="32" t="s">
        <v>265</v>
      </c>
    </row>
    <row r="1404" spans="1:15" x14ac:dyDescent="0.3">
      <c r="A1404" s="115" t="s">
        <v>1549</v>
      </c>
      <c r="B1404" s="11" t="s">
        <v>55</v>
      </c>
      <c r="C1404" s="30" t="s">
        <v>249</v>
      </c>
      <c r="D1404" s="30" t="s">
        <v>39</v>
      </c>
      <c r="E1404" s="30" t="s">
        <v>27</v>
      </c>
      <c r="F1404" s="30" t="s">
        <v>52</v>
      </c>
      <c r="G1404" s="30" t="s">
        <v>47</v>
      </c>
      <c r="H1404" s="39">
        <v>46151</v>
      </c>
      <c r="I1404" s="79">
        <v>406</v>
      </c>
      <c r="J1404" s="91">
        <v>650</v>
      </c>
      <c r="K1404" s="84">
        <v>0</v>
      </c>
      <c r="L1404" s="30" t="s">
        <v>36</v>
      </c>
      <c r="M1404" s="160">
        <v>263900</v>
      </c>
      <c r="N1404" s="160">
        <v>263900</v>
      </c>
      <c r="O1404" s="30" t="s">
        <v>267</v>
      </c>
    </row>
    <row r="1405" spans="1:15" x14ac:dyDescent="0.3">
      <c r="A1405" s="115" t="s">
        <v>1550</v>
      </c>
      <c r="B1405" s="10" t="s">
        <v>49</v>
      </c>
      <c r="C1405" s="32" t="s">
        <v>251</v>
      </c>
      <c r="D1405" s="32" t="s">
        <v>50</v>
      </c>
      <c r="E1405" s="32" t="s">
        <v>45</v>
      </c>
      <c r="F1405" s="32" t="s">
        <v>41</v>
      </c>
      <c r="G1405" s="32" t="s">
        <v>47</v>
      </c>
      <c r="H1405" s="41">
        <v>46152</v>
      </c>
      <c r="I1405" s="81">
        <v>228</v>
      </c>
      <c r="J1405" s="93">
        <v>895</v>
      </c>
      <c r="K1405" s="86">
        <v>0.12</v>
      </c>
      <c r="L1405" s="32" t="s">
        <v>36</v>
      </c>
      <c r="M1405" s="162">
        <v>204060</v>
      </c>
      <c r="N1405" s="162">
        <v>179572.8</v>
      </c>
      <c r="O1405" s="32" t="s">
        <v>267</v>
      </c>
    </row>
    <row r="1406" spans="1:15" x14ac:dyDescent="0.3">
      <c r="A1406" s="115" t="s">
        <v>1551</v>
      </c>
      <c r="B1406" s="11" t="s">
        <v>44</v>
      </c>
      <c r="C1406" s="30" t="s">
        <v>254</v>
      </c>
      <c r="D1406" s="30" t="s">
        <v>39</v>
      </c>
      <c r="E1406" s="30" t="s">
        <v>40</v>
      </c>
      <c r="F1406" s="30" t="s">
        <v>41</v>
      </c>
      <c r="G1406" s="30" t="s">
        <v>42</v>
      </c>
      <c r="H1406" s="39">
        <v>46152</v>
      </c>
      <c r="I1406" s="79">
        <v>222</v>
      </c>
      <c r="J1406" s="91">
        <v>200</v>
      </c>
      <c r="K1406" s="84">
        <v>0.12</v>
      </c>
      <c r="L1406" s="30" t="s">
        <v>36</v>
      </c>
      <c r="M1406" s="160">
        <v>44400</v>
      </c>
      <c r="N1406" s="160">
        <v>39072</v>
      </c>
      <c r="O1406" s="30" t="s">
        <v>265</v>
      </c>
    </row>
    <row r="1407" spans="1:15" x14ac:dyDescent="0.3">
      <c r="A1407" s="115" t="s">
        <v>1552</v>
      </c>
      <c r="B1407" s="10" t="s">
        <v>260</v>
      </c>
      <c r="C1407" s="32" t="s">
        <v>261</v>
      </c>
      <c r="D1407" s="32" t="s">
        <v>39</v>
      </c>
      <c r="E1407" s="32" t="s">
        <v>45</v>
      </c>
      <c r="F1407" s="32" t="s">
        <v>46</v>
      </c>
      <c r="G1407" s="32" t="s">
        <v>47</v>
      </c>
      <c r="H1407" s="41">
        <v>46152</v>
      </c>
      <c r="I1407" s="81">
        <v>139</v>
      </c>
      <c r="J1407" s="93">
        <v>450</v>
      </c>
      <c r="K1407" s="86">
        <v>0.08</v>
      </c>
      <c r="L1407" s="32" t="s">
        <v>36</v>
      </c>
      <c r="M1407" s="162">
        <v>62550</v>
      </c>
      <c r="N1407" s="162">
        <v>57546</v>
      </c>
      <c r="O1407" s="32" t="s">
        <v>265</v>
      </c>
    </row>
    <row r="1408" spans="1:15" x14ac:dyDescent="0.3">
      <c r="A1408" s="115" t="s">
        <v>1553</v>
      </c>
      <c r="B1408" s="11" t="s">
        <v>55</v>
      </c>
      <c r="C1408" s="30" t="s">
        <v>249</v>
      </c>
      <c r="D1408" s="30" t="s">
        <v>39</v>
      </c>
      <c r="E1408" s="30" t="s">
        <v>40</v>
      </c>
      <c r="F1408" s="30" t="s">
        <v>41</v>
      </c>
      <c r="G1408" s="30" t="s">
        <v>29</v>
      </c>
      <c r="H1408" s="39">
        <v>46153</v>
      </c>
      <c r="I1408" s="79">
        <v>393</v>
      </c>
      <c r="J1408" s="91">
        <v>650</v>
      </c>
      <c r="K1408" s="84">
        <v>0.05</v>
      </c>
      <c r="L1408" s="30" t="s">
        <v>30</v>
      </c>
      <c r="M1408" s="160">
        <v>255450</v>
      </c>
      <c r="N1408" s="160">
        <v>242677.5</v>
      </c>
      <c r="O1408" s="30" t="s">
        <v>267</v>
      </c>
    </row>
    <row r="1409" spans="1:15" x14ac:dyDescent="0.3">
      <c r="A1409" s="115" t="s">
        <v>1554</v>
      </c>
      <c r="B1409" s="10" t="s">
        <v>25</v>
      </c>
      <c r="C1409" s="32" t="s">
        <v>257</v>
      </c>
      <c r="D1409" s="32" t="s">
        <v>26</v>
      </c>
      <c r="E1409" s="32" t="s">
        <v>51</v>
      </c>
      <c r="F1409" s="32" t="s">
        <v>46</v>
      </c>
      <c r="G1409" s="32" t="s">
        <v>42</v>
      </c>
      <c r="H1409" s="41">
        <v>46154</v>
      </c>
      <c r="I1409" s="81">
        <v>252</v>
      </c>
      <c r="J1409" s="93">
        <v>350</v>
      </c>
      <c r="K1409" s="86">
        <v>0.13</v>
      </c>
      <c r="L1409" s="32" t="s">
        <v>36</v>
      </c>
      <c r="M1409" s="162">
        <v>88200</v>
      </c>
      <c r="N1409" s="162">
        <v>76734</v>
      </c>
      <c r="O1409" s="32" t="s">
        <v>265</v>
      </c>
    </row>
    <row r="1410" spans="1:15" x14ac:dyDescent="0.3">
      <c r="A1410" s="115" t="s">
        <v>1555</v>
      </c>
      <c r="B1410" s="11" t="s">
        <v>38</v>
      </c>
      <c r="C1410" s="30" t="s">
        <v>247</v>
      </c>
      <c r="D1410" s="30" t="s">
        <v>39</v>
      </c>
      <c r="E1410" s="30" t="s">
        <v>51</v>
      </c>
      <c r="F1410" s="30" t="s">
        <v>46</v>
      </c>
      <c r="G1410" s="30" t="s">
        <v>56</v>
      </c>
      <c r="H1410" s="39">
        <v>46155</v>
      </c>
      <c r="I1410" s="79">
        <v>223</v>
      </c>
      <c r="J1410" s="91">
        <v>1200</v>
      </c>
      <c r="K1410" s="84">
        <v>0.1</v>
      </c>
      <c r="L1410" s="30" t="s">
        <v>36</v>
      </c>
      <c r="M1410" s="160">
        <v>267600</v>
      </c>
      <c r="N1410" s="160">
        <v>240840</v>
      </c>
      <c r="O1410" s="30" t="s">
        <v>267</v>
      </c>
    </row>
    <row r="1411" spans="1:15" x14ac:dyDescent="0.3">
      <c r="A1411" s="115" t="s">
        <v>1556</v>
      </c>
      <c r="B1411" s="10" t="s">
        <v>262</v>
      </c>
      <c r="C1411" s="32" t="s">
        <v>263</v>
      </c>
      <c r="D1411" s="32" t="s">
        <v>50</v>
      </c>
      <c r="E1411" s="32" t="s">
        <v>33</v>
      </c>
      <c r="F1411" s="32" t="s">
        <v>46</v>
      </c>
      <c r="G1411" s="32" t="s">
        <v>35</v>
      </c>
      <c r="H1411" s="41">
        <v>46155</v>
      </c>
      <c r="I1411" s="81">
        <v>176</v>
      </c>
      <c r="J1411" s="93">
        <v>820</v>
      </c>
      <c r="K1411" s="86">
        <v>0</v>
      </c>
      <c r="L1411" s="32" t="s">
        <v>36</v>
      </c>
      <c r="M1411" s="162">
        <v>144320</v>
      </c>
      <c r="N1411" s="162">
        <v>144320</v>
      </c>
      <c r="O1411" s="32" t="s">
        <v>267</v>
      </c>
    </row>
    <row r="1412" spans="1:15" x14ac:dyDescent="0.3">
      <c r="A1412" s="115" t="s">
        <v>1557</v>
      </c>
      <c r="B1412" s="11" t="s">
        <v>262</v>
      </c>
      <c r="C1412" s="30" t="s">
        <v>263</v>
      </c>
      <c r="D1412" s="30" t="s">
        <v>50</v>
      </c>
      <c r="E1412" s="30" t="s">
        <v>33</v>
      </c>
      <c r="F1412" s="30" t="s">
        <v>28</v>
      </c>
      <c r="G1412" s="30" t="s">
        <v>56</v>
      </c>
      <c r="H1412" s="39">
        <v>46156</v>
      </c>
      <c r="I1412" s="79">
        <v>315</v>
      </c>
      <c r="J1412" s="91">
        <v>820</v>
      </c>
      <c r="K1412" s="84">
        <v>0</v>
      </c>
      <c r="L1412" s="30" t="s">
        <v>36</v>
      </c>
      <c r="M1412" s="160">
        <v>258300</v>
      </c>
      <c r="N1412" s="160">
        <v>258300</v>
      </c>
      <c r="O1412" s="30" t="s">
        <v>267</v>
      </c>
    </row>
    <row r="1413" spans="1:15" x14ac:dyDescent="0.3">
      <c r="A1413" s="115" t="s">
        <v>1558</v>
      </c>
      <c r="B1413" s="10" t="s">
        <v>49</v>
      </c>
      <c r="C1413" s="32" t="s">
        <v>251</v>
      </c>
      <c r="D1413" s="32" t="s">
        <v>50</v>
      </c>
      <c r="E1413" s="32" t="s">
        <v>27</v>
      </c>
      <c r="F1413" s="32" t="s">
        <v>46</v>
      </c>
      <c r="G1413" s="32" t="s">
        <v>53</v>
      </c>
      <c r="H1413" s="41">
        <v>46156</v>
      </c>
      <c r="I1413" s="81">
        <v>198</v>
      </c>
      <c r="J1413" s="93">
        <v>895</v>
      </c>
      <c r="K1413" s="86">
        <v>0.1</v>
      </c>
      <c r="L1413" s="32" t="s">
        <v>30</v>
      </c>
      <c r="M1413" s="162">
        <v>177210</v>
      </c>
      <c r="N1413" s="162">
        <v>159489</v>
      </c>
      <c r="O1413" s="32" t="s">
        <v>267</v>
      </c>
    </row>
    <row r="1414" spans="1:15" x14ac:dyDescent="0.3">
      <c r="A1414" s="115" t="s">
        <v>1559</v>
      </c>
      <c r="B1414" s="11" t="s">
        <v>61</v>
      </c>
      <c r="C1414" s="30" t="s">
        <v>244</v>
      </c>
      <c r="D1414" s="30" t="s">
        <v>26</v>
      </c>
      <c r="E1414" s="30" t="s">
        <v>40</v>
      </c>
      <c r="F1414" s="30" t="s">
        <v>52</v>
      </c>
      <c r="G1414" s="30" t="s">
        <v>29</v>
      </c>
      <c r="H1414" s="39">
        <v>46156</v>
      </c>
      <c r="I1414" s="79">
        <v>300</v>
      </c>
      <c r="J1414" s="91">
        <v>280</v>
      </c>
      <c r="K1414" s="84">
        <v>0.1</v>
      </c>
      <c r="L1414" s="30" t="s">
        <v>36</v>
      </c>
      <c r="M1414" s="160">
        <v>84000</v>
      </c>
      <c r="N1414" s="160">
        <v>75600</v>
      </c>
      <c r="O1414" s="30" t="s">
        <v>265</v>
      </c>
    </row>
    <row r="1415" spans="1:15" x14ac:dyDescent="0.3">
      <c r="A1415" s="115" t="s">
        <v>1560</v>
      </c>
      <c r="B1415" s="10" t="s">
        <v>44</v>
      </c>
      <c r="C1415" s="32" t="s">
        <v>254</v>
      </c>
      <c r="D1415" s="32" t="s">
        <v>39</v>
      </c>
      <c r="E1415" s="32" t="s">
        <v>40</v>
      </c>
      <c r="F1415" s="32" t="s">
        <v>52</v>
      </c>
      <c r="G1415" s="32" t="s">
        <v>56</v>
      </c>
      <c r="H1415" s="41">
        <v>46157</v>
      </c>
      <c r="I1415" s="81">
        <v>482</v>
      </c>
      <c r="J1415" s="93">
        <v>200</v>
      </c>
      <c r="K1415" s="86">
        <v>0.14000000000000001</v>
      </c>
      <c r="L1415" s="32" t="s">
        <v>36</v>
      </c>
      <c r="M1415" s="162">
        <v>96400</v>
      </c>
      <c r="N1415" s="162">
        <v>82904</v>
      </c>
      <c r="O1415" s="32" t="s">
        <v>265</v>
      </c>
    </row>
    <row r="1416" spans="1:15" x14ac:dyDescent="0.3">
      <c r="A1416" s="115" t="s">
        <v>1561</v>
      </c>
      <c r="B1416" s="11" t="s">
        <v>63</v>
      </c>
      <c r="C1416" s="30" t="s">
        <v>253</v>
      </c>
      <c r="D1416" s="30" t="s">
        <v>50</v>
      </c>
      <c r="E1416" s="30" t="s">
        <v>45</v>
      </c>
      <c r="F1416" s="30" t="s">
        <v>52</v>
      </c>
      <c r="G1416" s="30" t="s">
        <v>42</v>
      </c>
      <c r="H1416" s="39">
        <v>46157</v>
      </c>
      <c r="I1416" s="79">
        <v>299</v>
      </c>
      <c r="J1416" s="91">
        <v>750</v>
      </c>
      <c r="K1416" s="84">
        <v>0.05</v>
      </c>
      <c r="L1416" s="30" t="s">
        <v>36</v>
      </c>
      <c r="M1416" s="160">
        <v>224250</v>
      </c>
      <c r="N1416" s="160">
        <v>213037.5</v>
      </c>
      <c r="O1416" s="30" t="s">
        <v>267</v>
      </c>
    </row>
    <row r="1417" spans="1:15" x14ac:dyDescent="0.3">
      <c r="A1417" s="128" t="s">
        <v>1562</v>
      </c>
      <c r="B1417" s="17" t="s">
        <v>55</v>
      </c>
      <c r="C1417" s="33" t="s">
        <v>249</v>
      </c>
      <c r="D1417" s="33" t="s">
        <v>39</v>
      </c>
      <c r="E1417" s="33" t="s">
        <v>51</v>
      </c>
      <c r="F1417" s="33" t="s">
        <v>34</v>
      </c>
      <c r="G1417" s="33" t="s">
        <v>29</v>
      </c>
      <c r="H1417" s="42">
        <v>46157</v>
      </c>
      <c r="I1417" s="82">
        <v>235</v>
      </c>
      <c r="J1417" s="94">
        <v>650</v>
      </c>
      <c r="K1417" s="87">
        <v>0.08</v>
      </c>
      <c r="L1417" s="33" t="s">
        <v>36</v>
      </c>
      <c r="M1417" s="163">
        <v>152750</v>
      </c>
      <c r="N1417" s="163">
        <v>140530</v>
      </c>
      <c r="O1417" s="33" t="s">
        <v>267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511E-0C41-467F-A41E-1E82FF27BEE6}">
  <dimension ref="C5:R44"/>
  <sheetViews>
    <sheetView topLeftCell="A13" workbookViewId="0">
      <selection activeCell="K39" sqref="K39:K43"/>
    </sheetView>
  </sheetViews>
  <sheetFormatPr defaultRowHeight="14.4" x14ac:dyDescent="0.3"/>
  <cols>
    <col min="3" max="3" width="14.44140625" bestFit="1" customWidth="1"/>
    <col min="4" max="4" width="22.21875" bestFit="1" customWidth="1"/>
    <col min="5" max="5" width="15.33203125" customWidth="1"/>
    <col min="6" max="6" width="13.109375" bestFit="1" customWidth="1"/>
    <col min="7" max="7" width="14.109375" customWidth="1"/>
    <col min="10" max="10" width="31.88671875" bestFit="1" customWidth="1"/>
    <col min="11" max="11" width="22.21875" bestFit="1" customWidth="1"/>
    <col min="12" max="12" width="21.21875" customWidth="1"/>
    <col min="17" max="17" width="16.88671875" bestFit="1" customWidth="1"/>
    <col min="18" max="18" width="22.21875" bestFit="1" customWidth="1"/>
    <col min="19" max="19" width="16.109375" bestFit="1" customWidth="1"/>
  </cols>
  <sheetData>
    <row r="5" spans="3:18" x14ac:dyDescent="0.3">
      <c r="C5" s="174" t="s">
        <v>1586</v>
      </c>
      <c r="J5" s="174" t="s">
        <v>1588</v>
      </c>
      <c r="Q5" s="174" t="s">
        <v>1590</v>
      </c>
    </row>
    <row r="6" spans="3:18" x14ac:dyDescent="0.3">
      <c r="C6" s="174"/>
    </row>
    <row r="7" spans="3:18" x14ac:dyDescent="0.3">
      <c r="C7" s="172" t="s">
        <v>11</v>
      </c>
      <c r="D7" t="s">
        <v>36</v>
      </c>
      <c r="J7" s="172" t="s">
        <v>11</v>
      </c>
      <c r="K7" t="s">
        <v>36</v>
      </c>
      <c r="Q7" s="172" t="s">
        <v>11</v>
      </c>
      <c r="R7" t="s">
        <v>36</v>
      </c>
    </row>
    <row r="9" spans="3:18" x14ac:dyDescent="0.3">
      <c r="C9" s="172" t="s">
        <v>1570</v>
      </c>
      <c r="D9" s="172" t="s">
        <v>1585</v>
      </c>
      <c r="J9" s="172" t="s">
        <v>1565</v>
      </c>
      <c r="K9" t="s">
        <v>1570</v>
      </c>
      <c r="Q9" s="172" t="s">
        <v>1565</v>
      </c>
      <c r="R9" t="s">
        <v>1570</v>
      </c>
    </row>
    <row r="10" spans="3:18" x14ac:dyDescent="0.3">
      <c r="C10" s="172" t="s">
        <v>1565</v>
      </c>
      <c r="D10" t="s">
        <v>1567</v>
      </c>
      <c r="E10" t="s">
        <v>1568</v>
      </c>
      <c r="F10" t="s">
        <v>1569</v>
      </c>
      <c r="G10" t="s">
        <v>1566</v>
      </c>
      <c r="J10" s="173" t="s">
        <v>50</v>
      </c>
      <c r="K10" s="164">
        <v>25889410.799999993</v>
      </c>
      <c r="Q10" s="173" t="s">
        <v>34</v>
      </c>
      <c r="R10" s="164">
        <v>28690897.699999996</v>
      </c>
    </row>
    <row r="11" spans="3:18" x14ac:dyDescent="0.3">
      <c r="C11" s="173" t="s">
        <v>1573</v>
      </c>
      <c r="D11" s="164">
        <v>5108949.5</v>
      </c>
      <c r="E11" s="164">
        <v>4766789.5</v>
      </c>
      <c r="F11" s="164">
        <v>5244011.8499999987</v>
      </c>
      <c r="G11" s="164">
        <v>15119750.849999998</v>
      </c>
      <c r="J11" s="173" t="s">
        <v>39</v>
      </c>
      <c r="K11" s="164">
        <v>41917737.899999991</v>
      </c>
      <c r="Q11" s="173" t="s">
        <v>52</v>
      </c>
      <c r="R11" s="164">
        <v>25782801.650000002</v>
      </c>
    </row>
    <row r="12" spans="3:18" x14ac:dyDescent="0.3">
      <c r="C12" s="173" t="s">
        <v>1574</v>
      </c>
      <c r="D12" s="164">
        <v>4080558.65</v>
      </c>
      <c r="E12" s="164">
        <v>5661650.3500000006</v>
      </c>
      <c r="F12" s="164">
        <v>5333288.95</v>
      </c>
      <c r="G12" s="164">
        <v>15075497.949999999</v>
      </c>
      <c r="J12" s="173" t="s">
        <v>59</v>
      </c>
      <c r="K12" s="164">
        <v>31746372</v>
      </c>
      <c r="Q12" s="173" t="s">
        <v>41</v>
      </c>
      <c r="R12" s="164">
        <v>22826856.350000001</v>
      </c>
    </row>
    <row r="13" spans="3:18" x14ac:dyDescent="0.3">
      <c r="C13" s="173" t="s">
        <v>1575</v>
      </c>
      <c r="D13" s="164">
        <v>4918146.5999999996</v>
      </c>
      <c r="E13" s="164">
        <v>5851903.3499999996</v>
      </c>
      <c r="F13" s="164">
        <v>5829287.7500000009</v>
      </c>
      <c r="G13" s="164">
        <v>16599337.699999999</v>
      </c>
      <c r="J13" s="173" t="s">
        <v>26</v>
      </c>
      <c r="K13" s="164">
        <v>20595780.399999999</v>
      </c>
      <c r="Q13" s="173" t="s">
        <v>28</v>
      </c>
      <c r="R13" s="164">
        <v>22530254.600000001</v>
      </c>
    </row>
    <row r="14" spans="3:18" x14ac:dyDescent="0.3">
      <c r="C14" s="173" t="s">
        <v>1576</v>
      </c>
      <c r="D14" s="164">
        <v>5978014.8499999996</v>
      </c>
      <c r="E14" s="164">
        <v>4488471.25</v>
      </c>
      <c r="F14" s="164">
        <v>5604900.1999999993</v>
      </c>
      <c r="G14" s="164">
        <v>16071386.299999999</v>
      </c>
      <c r="J14" s="173" t="s">
        <v>1566</v>
      </c>
      <c r="K14" s="164">
        <v>120149301.09999999</v>
      </c>
      <c r="Q14" s="173" t="s">
        <v>46</v>
      </c>
      <c r="R14" s="164">
        <v>20318490.799999993</v>
      </c>
    </row>
    <row r="15" spans="3:18" x14ac:dyDescent="0.3">
      <c r="C15" s="173" t="s">
        <v>1577</v>
      </c>
      <c r="D15" s="164">
        <v>33880</v>
      </c>
      <c r="E15" s="164">
        <v>2758113.35</v>
      </c>
      <c r="F15" s="164">
        <v>2959197.8000000003</v>
      </c>
      <c r="G15" s="164">
        <v>5751191.1500000004</v>
      </c>
      <c r="Q15" s="173" t="s">
        <v>1566</v>
      </c>
      <c r="R15" s="164">
        <v>120149301.09999999</v>
      </c>
    </row>
    <row r="16" spans="3:18" x14ac:dyDescent="0.3">
      <c r="C16" s="173" t="s">
        <v>1578</v>
      </c>
      <c r="D16" s="164">
        <v>4224813.75</v>
      </c>
      <c r="E16" s="164">
        <v>6315554.5999999996</v>
      </c>
      <c r="F16" s="164"/>
      <c r="G16" s="164">
        <v>10540368.35</v>
      </c>
    </row>
    <row r="17" spans="3:18" x14ac:dyDescent="0.3">
      <c r="C17" s="173" t="s">
        <v>1579</v>
      </c>
      <c r="D17" s="164">
        <v>4074311.8000000003</v>
      </c>
      <c r="E17" s="164">
        <v>5084961.0999999996</v>
      </c>
      <c r="F17" s="164"/>
      <c r="G17" s="164">
        <v>9159272.9000000004</v>
      </c>
    </row>
    <row r="18" spans="3:18" x14ac:dyDescent="0.3">
      <c r="C18" s="173" t="s">
        <v>1580</v>
      </c>
      <c r="D18" s="164">
        <v>3302361</v>
      </c>
      <c r="E18" s="164">
        <v>4220503.0999999996</v>
      </c>
      <c r="F18" s="164"/>
      <c r="G18" s="164">
        <v>7522864.0999999996</v>
      </c>
    </row>
    <row r="19" spans="3:18" x14ac:dyDescent="0.3">
      <c r="C19" s="173" t="s">
        <v>1581</v>
      </c>
      <c r="D19" s="164">
        <v>2903069.3</v>
      </c>
      <c r="E19" s="164">
        <v>4278758.0999999996</v>
      </c>
      <c r="F19" s="164"/>
      <c r="G19" s="164">
        <v>7181827.3999999994</v>
      </c>
    </row>
    <row r="20" spans="3:18" x14ac:dyDescent="0.3">
      <c r="C20" s="173" t="s">
        <v>1582</v>
      </c>
      <c r="D20" s="164">
        <v>3353023.2</v>
      </c>
      <c r="E20" s="164">
        <v>4379108.1999999993</v>
      </c>
      <c r="F20" s="164"/>
      <c r="G20" s="164">
        <v>7732131.3999999994</v>
      </c>
    </row>
    <row r="21" spans="3:18" x14ac:dyDescent="0.3">
      <c r="C21" s="173" t="s">
        <v>1583</v>
      </c>
      <c r="D21" s="164">
        <v>2909902.6000000006</v>
      </c>
      <c r="E21" s="164">
        <v>4129634.8000000007</v>
      </c>
      <c r="F21" s="164"/>
      <c r="G21" s="164">
        <v>7039537.4000000013</v>
      </c>
    </row>
    <row r="22" spans="3:18" x14ac:dyDescent="0.3">
      <c r="C22" s="173" t="s">
        <v>1584</v>
      </c>
      <c r="D22" s="164">
        <v>996842.50000000012</v>
      </c>
      <c r="E22" s="164">
        <v>1359293.1</v>
      </c>
      <c r="F22" s="164"/>
      <c r="G22" s="164">
        <v>2356135.6</v>
      </c>
    </row>
    <row r="23" spans="3:18" x14ac:dyDescent="0.3">
      <c r="C23" s="173" t="s">
        <v>1566</v>
      </c>
      <c r="D23" s="164">
        <v>41883873.750000007</v>
      </c>
      <c r="E23" s="164">
        <v>53294740.800000004</v>
      </c>
      <c r="F23" s="164">
        <v>24970686.550000001</v>
      </c>
      <c r="G23" s="164">
        <v>120149301.10000001</v>
      </c>
    </row>
    <row r="25" spans="3:18" x14ac:dyDescent="0.3">
      <c r="J25" s="174" t="s">
        <v>1589</v>
      </c>
      <c r="Q25" s="174" t="s">
        <v>1591</v>
      </c>
    </row>
    <row r="27" spans="3:18" x14ac:dyDescent="0.3">
      <c r="C27" s="174" t="s">
        <v>1587</v>
      </c>
      <c r="J27" s="172" t="s">
        <v>11</v>
      </c>
      <c r="K27" t="s">
        <v>36</v>
      </c>
      <c r="Q27" s="172" t="s">
        <v>11</v>
      </c>
      <c r="R27" t="s">
        <v>36</v>
      </c>
    </row>
    <row r="29" spans="3:18" x14ac:dyDescent="0.3">
      <c r="C29" s="172" t="s">
        <v>11</v>
      </c>
      <c r="D29" t="s">
        <v>36</v>
      </c>
      <c r="J29" s="172" t="s">
        <v>1565</v>
      </c>
      <c r="K29" t="s">
        <v>1570</v>
      </c>
      <c r="Q29" s="172" t="s">
        <v>1565</v>
      </c>
      <c r="R29" t="s">
        <v>1570</v>
      </c>
    </row>
    <row r="30" spans="3:18" x14ac:dyDescent="0.3">
      <c r="J30" s="173" t="s">
        <v>255</v>
      </c>
      <c r="K30" s="177">
        <v>31746372</v>
      </c>
      <c r="Q30" s="173" t="s">
        <v>56</v>
      </c>
      <c r="R30" s="164">
        <v>16630815</v>
      </c>
    </row>
    <row r="31" spans="3:18" x14ac:dyDescent="0.3">
      <c r="C31" s="172" t="s">
        <v>1565</v>
      </c>
      <c r="D31" t="s">
        <v>1570</v>
      </c>
      <c r="J31" s="173" t="s">
        <v>247</v>
      </c>
      <c r="K31" s="177">
        <v>16727004</v>
      </c>
      <c r="Q31" s="173" t="s">
        <v>53</v>
      </c>
      <c r="R31" s="164">
        <v>19592693.75</v>
      </c>
    </row>
    <row r="32" spans="3:18" x14ac:dyDescent="0.3">
      <c r="C32" s="173" t="s">
        <v>33</v>
      </c>
      <c r="D32" s="164">
        <v>30799214.700000003</v>
      </c>
      <c r="J32" s="173" t="s">
        <v>251</v>
      </c>
      <c r="K32" s="177">
        <v>13868400.899999999</v>
      </c>
      <c r="Q32" s="173" t="s">
        <v>42</v>
      </c>
      <c r="R32" s="164">
        <v>18952285.949999996</v>
      </c>
    </row>
    <row r="33" spans="3:18" x14ac:dyDescent="0.3">
      <c r="C33" s="173" t="s">
        <v>51</v>
      </c>
      <c r="D33" s="164">
        <v>26072315.949999996</v>
      </c>
      <c r="J33" s="173" t="s">
        <v>250</v>
      </c>
      <c r="K33" s="177">
        <v>11949012.9</v>
      </c>
      <c r="Q33" s="173" t="s">
        <v>47</v>
      </c>
      <c r="R33" s="164">
        <v>17690429.549999997</v>
      </c>
    </row>
    <row r="34" spans="3:18" x14ac:dyDescent="0.3">
      <c r="C34" s="173" t="s">
        <v>40</v>
      </c>
      <c r="D34" s="164">
        <v>24112143.450000007</v>
      </c>
      <c r="J34" s="173" t="s">
        <v>253</v>
      </c>
      <c r="K34" s="177">
        <v>8343457.5</v>
      </c>
      <c r="Q34" s="173" t="s">
        <v>35</v>
      </c>
      <c r="R34" s="164">
        <v>18976359.099999998</v>
      </c>
    </row>
    <row r="35" spans="3:18" x14ac:dyDescent="0.3">
      <c r="C35" s="173" t="s">
        <v>45</v>
      </c>
      <c r="D35" s="164">
        <v>20957379.449999999</v>
      </c>
      <c r="J35" s="173" t="s">
        <v>1566</v>
      </c>
      <c r="K35" s="177">
        <v>82634247.299999997</v>
      </c>
      <c r="Q35" s="173" t="s">
        <v>29</v>
      </c>
      <c r="R35" s="164">
        <v>28306717.750000004</v>
      </c>
    </row>
    <row r="36" spans="3:18" x14ac:dyDescent="0.3">
      <c r="C36" s="173" t="s">
        <v>27</v>
      </c>
      <c r="D36" s="164">
        <v>18208247.549999997</v>
      </c>
      <c r="Q36" s="173" t="s">
        <v>1566</v>
      </c>
      <c r="R36" s="164">
        <v>120149301.09999999</v>
      </c>
    </row>
    <row r="37" spans="3:18" x14ac:dyDescent="0.3">
      <c r="C37" s="173" t="s">
        <v>1566</v>
      </c>
      <c r="D37" s="164">
        <v>120149301.09999999</v>
      </c>
    </row>
    <row r="38" spans="3:18" x14ac:dyDescent="0.3">
      <c r="J38" s="175" t="s">
        <v>1565</v>
      </c>
      <c r="K38" s="175" t="s">
        <v>1570</v>
      </c>
      <c r="L38" s="175" t="s">
        <v>1596</v>
      </c>
    </row>
    <row r="39" spans="3:18" x14ac:dyDescent="0.3">
      <c r="J39" s="173" t="s">
        <v>253</v>
      </c>
      <c r="K39" s="177">
        <v>8343457.5</v>
      </c>
      <c r="L39" s="164">
        <f>31746372-K39</f>
        <v>23402914.5</v>
      </c>
    </row>
    <row r="40" spans="3:18" x14ac:dyDescent="0.3">
      <c r="J40" s="173" t="s">
        <v>250</v>
      </c>
      <c r="K40" s="177">
        <v>11949012.9</v>
      </c>
      <c r="L40" s="164">
        <f>31746372-K40</f>
        <v>19797359.100000001</v>
      </c>
    </row>
    <row r="41" spans="3:18" x14ac:dyDescent="0.3">
      <c r="J41" s="173" t="s">
        <v>251</v>
      </c>
      <c r="K41" s="177">
        <v>13868400.899999999</v>
      </c>
      <c r="L41" s="164">
        <f>31746372-K41</f>
        <v>17877971.100000001</v>
      </c>
    </row>
    <row r="42" spans="3:18" x14ac:dyDescent="0.3">
      <c r="J42" s="173" t="s">
        <v>247</v>
      </c>
      <c r="K42" s="177">
        <v>16727004</v>
      </c>
      <c r="L42" s="164">
        <f>31746372-K42</f>
        <v>15019368</v>
      </c>
    </row>
    <row r="43" spans="3:18" x14ac:dyDescent="0.3">
      <c r="J43" s="173" t="s">
        <v>255</v>
      </c>
      <c r="K43" s="177">
        <v>31746372</v>
      </c>
      <c r="L43" s="164">
        <f>31746372-K43</f>
        <v>0</v>
      </c>
    </row>
    <row r="44" spans="3:18" x14ac:dyDescent="0.3">
      <c r="J44" s="179" t="s">
        <v>1566</v>
      </c>
      <c r="K44" s="180">
        <v>82634247.299999997</v>
      </c>
    </row>
  </sheetData>
  <sortState xmlns:xlrd2="http://schemas.microsoft.com/office/spreadsheetml/2017/richdata2" ref="J39:L44">
    <sortCondition ref="K39:K4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4B1-A792-4F2A-9787-5A6E7630AAB7}">
  <dimension ref="A1:B6"/>
  <sheetViews>
    <sheetView workbookViewId="0">
      <selection activeCell="E4" sqref="E4"/>
    </sheetView>
  </sheetViews>
  <sheetFormatPr defaultRowHeight="14.4" x14ac:dyDescent="0.3"/>
  <cols>
    <col min="1" max="1" width="19.109375" bestFit="1" customWidth="1"/>
    <col min="2" max="2" width="22.88671875" bestFit="1" customWidth="1"/>
  </cols>
  <sheetData>
    <row r="1" spans="1:2" x14ac:dyDescent="0.3">
      <c r="A1" s="174" t="s">
        <v>1592</v>
      </c>
      <c r="B1" s="174" t="s">
        <v>1593</v>
      </c>
    </row>
    <row r="2" spans="1:2" x14ac:dyDescent="0.3">
      <c r="A2" t="s">
        <v>1563</v>
      </c>
      <c r="B2" s="177">
        <f>SUMIF(data[Payment Status], "Paid", data[Net Revenue (₦)])</f>
        <v>120149301.10000004</v>
      </c>
    </row>
    <row r="3" spans="1:2" x14ac:dyDescent="0.3">
      <c r="A3" t="s">
        <v>1564</v>
      </c>
      <c r="B3">
        <f>COUNTIF(data[Payment Status], "Paid")</f>
        <v>910</v>
      </c>
    </row>
    <row r="4" spans="1:2" x14ac:dyDescent="0.3">
      <c r="A4" t="s">
        <v>1594</v>
      </c>
      <c r="B4" s="178">
        <f>AVERAGEIF(data[Payment Status],"Paid",data[Net Revenue (₦)])</f>
        <v>132032.19901098905</v>
      </c>
    </row>
    <row r="5" spans="1:2" x14ac:dyDescent="0.3">
      <c r="A5" t="s">
        <v>1571</v>
      </c>
      <c r="B5" t="str">
        <f>INDEX(data[Region],MATCH(_xlfn.MAXIFS(data[Net Revenue (₦)],data[Payment Status],"Paid"),data[Net Revenue (₦)],0))</f>
        <v>East</v>
      </c>
    </row>
    <row r="6" spans="1:2" x14ac:dyDescent="0.3">
      <c r="A6" t="s">
        <v>1572</v>
      </c>
      <c r="B6" t="str">
        <f>INDEX(data[Product Name],MATCH(_xlfn.MAXIFS(data[Net Revenue (₦)],data[Payment Status],"Paid"),data[Net Revenue (₦)],0))</f>
        <v>NutriMix Cereal Box 500g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D128-7096-43D8-A196-A0F74CEEE2C3}">
  <dimension ref="AU28"/>
  <sheetViews>
    <sheetView showGridLines="0" tabSelected="1" zoomScale="50" zoomScaleNormal="50" workbookViewId="0">
      <selection activeCell="AR21" sqref="AR21"/>
    </sheetView>
  </sheetViews>
  <sheetFormatPr defaultRowHeight="14.4" x14ac:dyDescent="0.3"/>
  <cols>
    <col min="1" max="16384" width="8.88671875" style="176"/>
  </cols>
  <sheetData>
    <row r="28" spans="47:47" x14ac:dyDescent="0.3">
      <c r="AU28" s="176" t="s">
        <v>1595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28FD87-D384-4B9E-A4C6-36EA0303CE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Sales_raw_data</vt:lpstr>
      <vt:lpstr>Product_Lookup</vt:lpstr>
      <vt:lpstr>Clean_data</vt:lpstr>
      <vt:lpstr>New_Sales_Data</vt:lpstr>
      <vt:lpstr>Combined_Data</vt:lpstr>
      <vt:lpstr>Pivot Tables</vt:lpstr>
      <vt:lpstr>KPIs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joel adusei</cp:lastModifiedBy>
  <cp:revision>0</cp:revision>
  <dcterms:created xsi:type="dcterms:W3CDTF">2026-04-29T11:57:32Z</dcterms:created>
  <dcterms:modified xsi:type="dcterms:W3CDTF">2026-05-17T21:10:26Z</dcterms:modified>
  <dc:language>en-US</dc:language>
</cp:coreProperties>
</file>